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FC389\Downloads\"/>
    </mc:Choice>
  </mc:AlternateContent>
  <xr:revisionPtr revIDLastSave="0" documentId="8_{5BB9C05B-DB0A-425C-943F-6E70B6A8CA7F}" xr6:coauthVersionLast="47" xr6:coauthVersionMax="47" xr10:uidLastSave="{00000000-0000-0000-0000-000000000000}"/>
  <bookViews>
    <workbookView xWindow="-120" yWindow="-120" windowWidth="29040" windowHeight="15720" activeTab="4" xr2:uid="{D03AB14D-E185-4242-BDA7-46E6849C317A}"/>
  </bookViews>
  <sheets>
    <sheet name="Regression" sheetId="2" r:id="rId1"/>
    <sheet name="Regression_2" sheetId="3" r:id="rId2"/>
    <sheet name="Regression_3" sheetId="4" r:id="rId3"/>
    <sheet name="Regression_4" sheetId="5" r:id="rId4"/>
    <sheet name="carrier_scorecard_export" sheetId="1" r:id="rId5"/>
  </sheets>
  <calcPr calcId="0"/>
</workbook>
</file>

<file path=xl/calcChain.xml><?xml version="1.0" encoding="utf-8"?>
<calcChain xmlns="http://schemas.openxmlformats.org/spreadsheetml/2006/main">
  <c r="AC663" i="1" l="1"/>
  <c r="AD663" i="1"/>
  <c r="AH663" i="1"/>
  <c r="AI663" i="1"/>
  <c r="AK663" i="1" s="1"/>
  <c r="AJ663" i="1"/>
  <c r="AL663" i="1" s="1"/>
  <c r="AC12" i="1"/>
  <c r="AD12" i="1"/>
  <c r="AH12" i="1"/>
  <c r="AI12" i="1"/>
  <c r="AK12" i="1" s="1"/>
  <c r="AJ12" i="1"/>
  <c r="AL12" i="1" s="1"/>
  <c r="AC13" i="1"/>
  <c r="AD13" i="1"/>
  <c r="AH13" i="1"/>
  <c r="AI13" i="1"/>
  <c r="AK13" i="1" s="1"/>
  <c r="AJ13" i="1"/>
  <c r="AL13" i="1" s="1"/>
  <c r="AC2" i="1"/>
  <c r="AD2" i="1"/>
  <c r="AH2" i="1"/>
  <c r="AI2" i="1"/>
  <c r="AK2" i="1" s="1"/>
  <c r="AJ2" i="1"/>
  <c r="AL2" i="1" s="1"/>
  <c r="AC14" i="1"/>
  <c r="AD14" i="1"/>
  <c r="AH14" i="1"/>
  <c r="AI14" i="1"/>
  <c r="AK14" i="1" s="1"/>
  <c r="AJ14" i="1"/>
  <c r="AL14" i="1" s="1"/>
  <c r="AC15" i="1"/>
  <c r="AD15" i="1"/>
  <c r="AH15" i="1"/>
  <c r="AI15" i="1"/>
  <c r="AK15" i="1" s="1"/>
  <c r="AJ15" i="1"/>
  <c r="AL15" i="1"/>
  <c r="AC16" i="1"/>
  <c r="AD16" i="1"/>
  <c r="AH16" i="1"/>
  <c r="AI16" i="1"/>
  <c r="AK16" i="1" s="1"/>
  <c r="AJ16" i="1"/>
  <c r="AL16" i="1" s="1"/>
  <c r="AC17" i="1"/>
  <c r="AD17" i="1"/>
  <c r="AH17" i="1"/>
  <c r="AI17" i="1"/>
  <c r="AK17" i="1" s="1"/>
  <c r="AJ17" i="1"/>
  <c r="AL17" i="1" s="1"/>
  <c r="AC18" i="1"/>
  <c r="AD18" i="1"/>
  <c r="AH18" i="1"/>
  <c r="AI18" i="1"/>
  <c r="AJ18" i="1"/>
  <c r="AL18" i="1" s="1"/>
  <c r="AK18" i="1"/>
  <c r="AC19" i="1"/>
  <c r="AD19" i="1"/>
  <c r="AH19" i="1"/>
  <c r="AI19" i="1"/>
  <c r="AK19" i="1" s="1"/>
  <c r="AJ19" i="1"/>
  <c r="AL19" i="1" s="1"/>
  <c r="AC20" i="1"/>
  <c r="AD20" i="1"/>
  <c r="AH20" i="1"/>
  <c r="AI20" i="1"/>
  <c r="AK20" i="1" s="1"/>
  <c r="AJ20" i="1"/>
  <c r="AL20" i="1" s="1"/>
  <c r="AC21" i="1"/>
  <c r="AD21" i="1"/>
  <c r="AH21" i="1"/>
  <c r="AI21" i="1"/>
  <c r="AK21" i="1" s="1"/>
  <c r="AJ21" i="1"/>
  <c r="AL21" i="1" s="1"/>
  <c r="AC664" i="1"/>
  <c r="AD664" i="1"/>
  <c r="AH664" i="1"/>
  <c r="AI664" i="1"/>
  <c r="AK664" i="1" s="1"/>
  <c r="AJ664" i="1"/>
  <c r="AL664" i="1" s="1"/>
  <c r="AC22" i="1"/>
  <c r="AD22" i="1"/>
  <c r="AH22" i="1"/>
  <c r="AI22" i="1"/>
  <c r="AK22" i="1" s="1"/>
  <c r="AJ22" i="1"/>
  <c r="AL22" i="1" s="1"/>
  <c r="AC23" i="1"/>
  <c r="AD23" i="1"/>
  <c r="AH23" i="1"/>
  <c r="AI23" i="1"/>
  <c r="AK23" i="1" s="1"/>
  <c r="AJ23" i="1"/>
  <c r="AL23" i="1" s="1"/>
  <c r="AC24" i="1"/>
  <c r="AD24" i="1"/>
  <c r="AH24" i="1"/>
  <c r="AI24" i="1"/>
  <c r="AJ24" i="1"/>
  <c r="AL24" i="1" s="1"/>
  <c r="AK24" i="1"/>
  <c r="AC25" i="1"/>
  <c r="AD25" i="1"/>
  <c r="AH25" i="1"/>
  <c r="AI25" i="1"/>
  <c r="AK25" i="1" s="1"/>
  <c r="AJ25" i="1"/>
  <c r="AL25" i="1"/>
  <c r="AC26" i="1"/>
  <c r="AD26" i="1"/>
  <c r="AH26" i="1"/>
  <c r="AI26" i="1"/>
  <c r="AK26" i="1" s="1"/>
  <c r="AJ26" i="1"/>
  <c r="AL26" i="1" s="1"/>
  <c r="AC27" i="1"/>
  <c r="AD27" i="1"/>
  <c r="AH27" i="1"/>
  <c r="AI27" i="1"/>
  <c r="AK27" i="1" s="1"/>
  <c r="AJ27" i="1"/>
  <c r="AL27" i="1" s="1"/>
  <c r="AC28" i="1"/>
  <c r="AD28" i="1"/>
  <c r="AH28" i="1"/>
  <c r="AI28" i="1"/>
  <c r="AK28" i="1" s="1"/>
  <c r="AJ28" i="1"/>
  <c r="AL28" i="1"/>
  <c r="AC29" i="1"/>
  <c r="AD29" i="1"/>
  <c r="AH29" i="1"/>
  <c r="AI29" i="1"/>
  <c r="AK29" i="1" s="1"/>
  <c r="AJ29" i="1"/>
  <c r="AL29" i="1" s="1"/>
  <c r="AC30" i="1"/>
  <c r="AD30" i="1"/>
  <c r="AH30" i="1"/>
  <c r="AI30" i="1"/>
  <c r="AK30" i="1" s="1"/>
  <c r="AJ30" i="1"/>
  <c r="AL30" i="1" s="1"/>
  <c r="AC31" i="1"/>
  <c r="AD31" i="1"/>
  <c r="AH31" i="1"/>
  <c r="AI31" i="1"/>
  <c r="AK31" i="1" s="1"/>
  <c r="AJ31" i="1"/>
  <c r="AL31" i="1" s="1"/>
  <c r="AC32" i="1"/>
  <c r="AD32" i="1"/>
  <c r="AH32" i="1"/>
  <c r="AI32" i="1"/>
  <c r="AK32" i="1" s="1"/>
  <c r="AJ32" i="1"/>
  <c r="AL32" i="1" s="1"/>
  <c r="AC33" i="1"/>
  <c r="AD33" i="1"/>
  <c r="AH33" i="1"/>
  <c r="AI33" i="1"/>
  <c r="AK33" i="1" s="1"/>
  <c r="AJ33" i="1"/>
  <c r="AL33" i="1" s="1"/>
  <c r="AC34" i="1"/>
  <c r="AD34" i="1"/>
  <c r="AH34" i="1"/>
  <c r="AI34" i="1"/>
  <c r="AK34" i="1" s="1"/>
  <c r="AJ34" i="1"/>
  <c r="AL34" i="1"/>
  <c r="AC35" i="1"/>
  <c r="AD35" i="1"/>
  <c r="AH35" i="1"/>
  <c r="AI35" i="1"/>
  <c r="AK35" i="1" s="1"/>
  <c r="AJ35" i="1"/>
  <c r="AL35" i="1" s="1"/>
  <c r="AC3" i="1"/>
  <c r="AD3" i="1"/>
  <c r="AH3" i="1"/>
  <c r="AI3" i="1"/>
  <c r="AK3" i="1" s="1"/>
  <c r="AJ3" i="1"/>
  <c r="AL3" i="1" s="1"/>
  <c r="AC36" i="1"/>
  <c r="AD36" i="1"/>
  <c r="AH36" i="1"/>
  <c r="AI36" i="1"/>
  <c r="AK36" i="1" s="1"/>
  <c r="AJ36" i="1"/>
  <c r="AL36" i="1" s="1"/>
  <c r="AC37" i="1"/>
  <c r="AD37" i="1"/>
  <c r="AH37" i="1"/>
  <c r="AI37" i="1"/>
  <c r="AK37" i="1" s="1"/>
  <c r="AJ37" i="1"/>
  <c r="AL37" i="1" s="1"/>
  <c r="AC38" i="1"/>
  <c r="AD38" i="1"/>
  <c r="AH38" i="1"/>
  <c r="AI38" i="1"/>
  <c r="AK38" i="1" s="1"/>
  <c r="AJ38" i="1"/>
  <c r="AL38" i="1" s="1"/>
  <c r="AC665" i="1"/>
  <c r="AD665" i="1"/>
  <c r="AH665" i="1"/>
  <c r="AI665" i="1"/>
  <c r="AK665" i="1" s="1"/>
  <c r="AJ665" i="1"/>
  <c r="AL665" i="1" s="1"/>
  <c r="AC39" i="1"/>
  <c r="AD39" i="1"/>
  <c r="AH39" i="1"/>
  <c r="AI39" i="1"/>
  <c r="AJ39" i="1"/>
  <c r="AL39" i="1" s="1"/>
  <c r="AK39" i="1"/>
  <c r="AC40" i="1"/>
  <c r="AD40" i="1"/>
  <c r="AH40" i="1"/>
  <c r="AI40" i="1"/>
  <c r="AK40" i="1" s="1"/>
  <c r="AJ40" i="1"/>
  <c r="AL40" i="1" s="1"/>
  <c r="AC41" i="1"/>
  <c r="AD41" i="1"/>
  <c r="AH41" i="1"/>
  <c r="AI41" i="1"/>
  <c r="AK41" i="1" s="1"/>
  <c r="AJ41" i="1"/>
  <c r="AL41" i="1" s="1"/>
  <c r="AC42" i="1"/>
  <c r="AD42" i="1"/>
  <c r="AH42" i="1"/>
  <c r="AI42" i="1"/>
  <c r="AK42" i="1" s="1"/>
  <c r="AJ42" i="1"/>
  <c r="AL42" i="1" s="1"/>
  <c r="AC43" i="1"/>
  <c r="AD43" i="1"/>
  <c r="AH43" i="1"/>
  <c r="AI43" i="1"/>
  <c r="AK43" i="1" s="1"/>
  <c r="AJ43" i="1"/>
  <c r="AL43" i="1" s="1"/>
  <c r="AC44" i="1"/>
  <c r="AD44" i="1"/>
  <c r="AH44" i="1"/>
  <c r="AI44" i="1"/>
  <c r="AK44" i="1" s="1"/>
  <c r="AJ44" i="1"/>
  <c r="AL44" i="1" s="1"/>
  <c r="AC45" i="1"/>
  <c r="AD45" i="1"/>
  <c r="AH45" i="1"/>
  <c r="AI45" i="1"/>
  <c r="AK45" i="1" s="1"/>
  <c r="AJ45" i="1"/>
  <c r="AL45" i="1" s="1"/>
  <c r="AC46" i="1"/>
  <c r="AD46" i="1"/>
  <c r="AH46" i="1"/>
  <c r="AI46" i="1"/>
  <c r="AK46" i="1" s="1"/>
  <c r="AJ46" i="1"/>
  <c r="AL46" i="1" s="1"/>
  <c r="AC47" i="1"/>
  <c r="AD47" i="1"/>
  <c r="AH47" i="1"/>
  <c r="AI47" i="1"/>
  <c r="AK47" i="1" s="1"/>
  <c r="AJ47" i="1"/>
  <c r="AL47" i="1" s="1"/>
  <c r="AC48" i="1"/>
  <c r="AD48" i="1"/>
  <c r="AH48" i="1"/>
  <c r="AI48" i="1"/>
  <c r="AK48" i="1" s="1"/>
  <c r="AJ48" i="1"/>
  <c r="AL48" i="1" s="1"/>
  <c r="AC49" i="1"/>
  <c r="AD49" i="1"/>
  <c r="AH49" i="1"/>
  <c r="AI49" i="1"/>
  <c r="AJ49" i="1"/>
  <c r="AL49" i="1" s="1"/>
  <c r="AK49" i="1"/>
  <c r="AC50" i="1"/>
  <c r="AD50" i="1"/>
  <c r="AH50" i="1"/>
  <c r="AI50" i="1"/>
  <c r="AK50" i="1" s="1"/>
  <c r="AJ50" i="1"/>
  <c r="AL50" i="1" s="1"/>
  <c r="AC51" i="1"/>
  <c r="AD51" i="1"/>
  <c r="AH51" i="1"/>
  <c r="AI51" i="1"/>
  <c r="AK51" i="1" s="1"/>
  <c r="AJ51" i="1"/>
  <c r="AL51" i="1" s="1"/>
  <c r="AC52" i="1"/>
  <c r="AD52" i="1"/>
  <c r="AH52" i="1"/>
  <c r="AI52" i="1"/>
  <c r="AJ52" i="1"/>
  <c r="AK52" i="1"/>
  <c r="AL52" i="1"/>
  <c r="AC666" i="1"/>
  <c r="AD666" i="1"/>
  <c r="AH666" i="1"/>
  <c r="AI666" i="1"/>
  <c r="AK666" i="1" s="1"/>
  <c r="AJ666" i="1"/>
  <c r="AL666" i="1"/>
  <c r="AC53" i="1"/>
  <c r="AD53" i="1"/>
  <c r="AH53" i="1"/>
  <c r="AI53" i="1"/>
  <c r="AK53" i="1" s="1"/>
  <c r="AJ53" i="1"/>
  <c r="AL53" i="1" s="1"/>
  <c r="AC54" i="1"/>
  <c r="AD54" i="1"/>
  <c r="AH54" i="1"/>
  <c r="AI54" i="1"/>
  <c r="AK54" i="1" s="1"/>
  <c r="AJ54" i="1"/>
  <c r="AL54" i="1" s="1"/>
  <c r="AC55" i="1"/>
  <c r="AD55" i="1"/>
  <c r="AH55" i="1"/>
  <c r="AI55" i="1"/>
  <c r="AK55" i="1" s="1"/>
  <c r="AJ55" i="1"/>
  <c r="AL55" i="1" s="1"/>
  <c r="AC56" i="1"/>
  <c r="AD56" i="1"/>
  <c r="AH56" i="1"/>
  <c r="AI56" i="1"/>
  <c r="AK56" i="1" s="1"/>
  <c r="AJ56" i="1"/>
  <c r="AL56" i="1" s="1"/>
  <c r="AC57" i="1"/>
  <c r="AD57" i="1"/>
  <c r="AH57" i="1"/>
  <c r="AI57" i="1"/>
  <c r="AJ57" i="1"/>
  <c r="AL57" i="1" s="1"/>
  <c r="AK57" i="1"/>
  <c r="AC58" i="1"/>
  <c r="AD58" i="1"/>
  <c r="AH58" i="1"/>
  <c r="AI58" i="1"/>
  <c r="AK58" i="1" s="1"/>
  <c r="AJ58" i="1"/>
  <c r="AL58" i="1"/>
  <c r="AC59" i="1"/>
  <c r="AD59" i="1"/>
  <c r="AH59" i="1"/>
  <c r="AI59" i="1"/>
  <c r="AK59" i="1" s="1"/>
  <c r="AJ59" i="1"/>
  <c r="AL59" i="1" s="1"/>
  <c r="AC667" i="1"/>
  <c r="AD667" i="1"/>
  <c r="AH667" i="1"/>
  <c r="AI667" i="1"/>
  <c r="AK667" i="1" s="1"/>
  <c r="AJ667" i="1"/>
  <c r="AL667" i="1" s="1"/>
  <c r="AC60" i="1"/>
  <c r="AD60" i="1"/>
  <c r="AH60" i="1"/>
  <c r="AI60" i="1"/>
  <c r="AK60" i="1" s="1"/>
  <c r="AJ60" i="1"/>
  <c r="AL60" i="1"/>
  <c r="AC61" i="1"/>
  <c r="AD61" i="1"/>
  <c r="AH61" i="1"/>
  <c r="AI61" i="1"/>
  <c r="AK61" i="1" s="1"/>
  <c r="AJ61" i="1"/>
  <c r="AL61" i="1" s="1"/>
  <c r="AC668" i="1"/>
  <c r="AD668" i="1"/>
  <c r="AH668" i="1"/>
  <c r="AI668" i="1"/>
  <c r="AK668" i="1" s="1"/>
  <c r="AJ668" i="1"/>
  <c r="AL668" i="1" s="1"/>
  <c r="AC62" i="1"/>
  <c r="AD62" i="1"/>
  <c r="AH62" i="1"/>
  <c r="AI62" i="1"/>
  <c r="AK62" i="1" s="1"/>
  <c r="AJ62" i="1"/>
  <c r="AL62" i="1" s="1"/>
  <c r="AC63" i="1"/>
  <c r="AD63" i="1"/>
  <c r="AH63" i="1"/>
  <c r="AI63" i="1"/>
  <c r="AK63" i="1" s="1"/>
  <c r="AJ63" i="1"/>
  <c r="AL63" i="1" s="1"/>
  <c r="AC64" i="1"/>
  <c r="AD64" i="1"/>
  <c r="AH64" i="1"/>
  <c r="AI64" i="1"/>
  <c r="AK64" i="1" s="1"/>
  <c r="AJ64" i="1"/>
  <c r="AL64" i="1" s="1"/>
  <c r="AC65" i="1"/>
  <c r="AD65" i="1"/>
  <c r="AH65" i="1"/>
  <c r="AI65" i="1"/>
  <c r="AK65" i="1" s="1"/>
  <c r="AJ65" i="1"/>
  <c r="AL65" i="1" s="1"/>
  <c r="AC66" i="1"/>
  <c r="AD66" i="1"/>
  <c r="AH66" i="1"/>
  <c r="AI66" i="1"/>
  <c r="AK66" i="1" s="1"/>
  <c r="AJ66" i="1"/>
  <c r="AL66" i="1" s="1"/>
  <c r="AC67" i="1"/>
  <c r="AD67" i="1"/>
  <c r="AH67" i="1"/>
  <c r="AI67" i="1"/>
  <c r="AJ67" i="1"/>
  <c r="AL67" i="1" s="1"/>
  <c r="AK67" i="1"/>
  <c r="AC68" i="1"/>
  <c r="AD68" i="1"/>
  <c r="AH68" i="1"/>
  <c r="AI68" i="1"/>
  <c r="AK68" i="1" s="1"/>
  <c r="AJ68" i="1"/>
  <c r="AL68" i="1" s="1"/>
  <c r="AC69" i="1"/>
  <c r="AD69" i="1"/>
  <c r="AH69" i="1"/>
  <c r="AI69" i="1"/>
  <c r="AK69" i="1" s="1"/>
  <c r="AJ69" i="1"/>
  <c r="AL69" i="1" s="1"/>
  <c r="AC669" i="1"/>
  <c r="AD669" i="1"/>
  <c r="AH669" i="1"/>
  <c r="AI669" i="1"/>
  <c r="AJ669" i="1"/>
  <c r="AL669" i="1" s="1"/>
  <c r="AK669" i="1"/>
  <c r="AC70" i="1"/>
  <c r="AD70" i="1"/>
  <c r="AH70" i="1"/>
  <c r="AI70" i="1"/>
  <c r="AK70" i="1" s="1"/>
  <c r="AJ70" i="1"/>
  <c r="AL70" i="1"/>
  <c r="AC71" i="1"/>
  <c r="AD71" i="1"/>
  <c r="AH71" i="1"/>
  <c r="AI71" i="1"/>
  <c r="AK71" i="1" s="1"/>
  <c r="AJ71" i="1"/>
  <c r="AL71" i="1" s="1"/>
  <c r="AC72" i="1"/>
  <c r="AD72" i="1"/>
  <c r="AH72" i="1"/>
  <c r="AI72" i="1"/>
  <c r="AK72" i="1" s="1"/>
  <c r="AJ72" i="1"/>
  <c r="AL72" i="1"/>
  <c r="AC670" i="1"/>
  <c r="AD670" i="1"/>
  <c r="AH670" i="1"/>
  <c r="AI670" i="1"/>
  <c r="AK670" i="1" s="1"/>
  <c r="AJ670" i="1"/>
  <c r="AL670" i="1" s="1"/>
  <c r="AC73" i="1"/>
  <c r="AD73" i="1"/>
  <c r="AH73" i="1"/>
  <c r="AI73" i="1"/>
  <c r="AK73" i="1" s="1"/>
  <c r="AJ73" i="1"/>
  <c r="AL73" i="1" s="1"/>
  <c r="AC74" i="1"/>
  <c r="AD74" i="1"/>
  <c r="AH74" i="1"/>
  <c r="AI74" i="1"/>
  <c r="AK74" i="1" s="1"/>
  <c r="AJ74" i="1"/>
  <c r="AL74" i="1" s="1"/>
  <c r="AC671" i="1"/>
  <c r="AD671" i="1"/>
  <c r="AH671" i="1"/>
  <c r="AI671" i="1"/>
  <c r="AK671" i="1" s="1"/>
  <c r="AJ671" i="1"/>
  <c r="AL671" i="1"/>
  <c r="AC75" i="1"/>
  <c r="AD75" i="1"/>
  <c r="AH75" i="1"/>
  <c r="AI75" i="1"/>
  <c r="AK75" i="1" s="1"/>
  <c r="AJ75" i="1"/>
  <c r="AL75" i="1" s="1"/>
  <c r="AC76" i="1"/>
  <c r="AD76" i="1"/>
  <c r="AH76" i="1"/>
  <c r="AI76" i="1"/>
  <c r="AJ76" i="1"/>
  <c r="AL76" i="1" s="1"/>
  <c r="AK76" i="1"/>
  <c r="AC77" i="1"/>
  <c r="AD77" i="1"/>
  <c r="AH77" i="1"/>
  <c r="AI77" i="1"/>
  <c r="AK77" i="1" s="1"/>
  <c r="AJ77" i="1"/>
  <c r="AL77" i="1"/>
  <c r="AC78" i="1"/>
  <c r="AD78" i="1"/>
  <c r="AH78" i="1"/>
  <c r="AI78" i="1"/>
  <c r="AK78" i="1" s="1"/>
  <c r="AJ78" i="1"/>
  <c r="AL78" i="1" s="1"/>
  <c r="AC79" i="1"/>
  <c r="AD79" i="1"/>
  <c r="AH79" i="1"/>
  <c r="AI79" i="1"/>
  <c r="AJ79" i="1"/>
  <c r="AL79" i="1" s="1"/>
  <c r="AK79" i="1"/>
  <c r="AC80" i="1"/>
  <c r="AD80" i="1"/>
  <c r="AH80" i="1"/>
  <c r="AI80" i="1"/>
  <c r="AK80" i="1" s="1"/>
  <c r="AJ80" i="1"/>
  <c r="AL80" i="1" s="1"/>
  <c r="AC81" i="1"/>
  <c r="AD81" i="1"/>
  <c r="AH81" i="1"/>
  <c r="AI81" i="1"/>
  <c r="AK81" i="1" s="1"/>
  <c r="AJ81" i="1"/>
  <c r="AL81" i="1" s="1"/>
  <c r="AC82" i="1"/>
  <c r="AD82" i="1"/>
  <c r="AH82" i="1"/>
  <c r="AI82" i="1"/>
  <c r="AK82" i="1" s="1"/>
  <c r="AJ82" i="1"/>
  <c r="AL82" i="1" s="1"/>
  <c r="AC83" i="1"/>
  <c r="AD83" i="1"/>
  <c r="AH83" i="1"/>
  <c r="AI83" i="1"/>
  <c r="AK83" i="1" s="1"/>
  <c r="AJ83" i="1"/>
  <c r="AL83" i="1" s="1"/>
  <c r="AC84" i="1"/>
  <c r="AD84" i="1"/>
  <c r="AH84" i="1"/>
  <c r="AI84" i="1"/>
  <c r="AK84" i="1" s="1"/>
  <c r="AJ84" i="1"/>
  <c r="AL84" i="1" s="1"/>
  <c r="AC85" i="1"/>
  <c r="AD85" i="1"/>
  <c r="AH85" i="1"/>
  <c r="AI85" i="1"/>
  <c r="AK85" i="1" s="1"/>
  <c r="AJ85" i="1"/>
  <c r="AL85" i="1" s="1"/>
  <c r="AC86" i="1"/>
  <c r="AD86" i="1"/>
  <c r="AH86" i="1"/>
  <c r="AI86" i="1"/>
  <c r="AJ86" i="1"/>
  <c r="AK86" i="1"/>
  <c r="AL86" i="1"/>
  <c r="AC87" i="1"/>
  <c r="AD87" i="1"/>
  <c r="AH87" i="1"/>
  <c r="AI87" i="1"/>
  <c r="AK87" i="1" s="1"/>
  <c r="AJ87" i="1"/>
  <c r="AL87" i="1" s="1"/>
  <c r="AC88" i="1"/>
  <c r="AD88" i="1"/>
  <c r="AH88" i="1"/>
  <c r="AI88" i="1"/>
  <c r="AJ88" i="1"/>
  <c r="AL88" i="1" s="1"/>
  <c r="AK88" i="1"/>
  <c r="AC89" i="1"/>
  <c r="AD89" i="1"/>
  <c r="AH89" i="1"/>
  <c r="AI89" i="1"/>
  <c r="AK89" i="1" s="1"/>
  <c r="AJ89" i="1"/>
  <c r="AL89" i="1" s="1"/>
  <c r="AC90" i="1"/>
  <c r="AD90" i="1"/>
  <c r="AH90" i="1"/>
  <c r="AI90" i="1"/>
  <c r="AK90" i="1" s="1"/>
  <c r="AJ90" i="1"/>
  <c r="AL90" i="1" s="1"/>
  <c r="AC91" i="1"/>
  <c r="AD91" i="1"/>
  <c r="AH91" i="1"/>
  <c r="AI91" i="1"/>
  <c r="AK91" i="1" s="1"/>
  <c r="AJ91" i="1"/>
  <c r="AL91" i="1" s="1"/>
  <c r="AC92" i="1"/>
  <c r="AD92" i="1"/>
  <c r="AH92" i="1"/>
  <c r="AI92" i="1"/>
  <c r="AK92" i="1" s="1"/>
  <c r="AJ92" i="1"/>
  <c r="AL92" i="1" s="1"/>
  <c r="AC93" i="1"/>
  <c r="AD93" i="1"/>
  <c r="AH93" i="1"/>
  <c r="AI93" i="1"/>
  <c r="AK93" i="1" s="1"/>
  <c r="AJ93" i="1"/>
  <c r="AL93" i="1" s="1"/>
  <c r="AC94" i="1"/>
  <c r="AD94" i="1"/>
  <c r="AH94" i="1"/>
  <c r="AI94" i="1"/>
  <c r="AK94" i="1" s="1"/>
  <c r="AJ94" i="1"/>
  <c r="AL94" i="1"/>
  <c r="AC95" i="1"/>
  <c r="AD95" i="1"/>
  <c r="AH95" i="1"/>
  <c r="AI95" i="1"/>
  <c r="AK95" i="1" s="1"/>
  <c r="AJ95" i="1"/>
  <c r="AL95" i="1" s="1"/>
  <c r="AC96" i="1"/>
  <c r="AD96" i="1"/>
  <c r="AH96" i="1"/>
  <c r="AI96" i="1"/>
  <c r="AK96" i="1" s="1"/>
  <c r="AJ96" i="1"/>
  <c r="AL96" i="1" s="1"/>
  <c r="AC97" i="1"/>
  <c r="AD97" i="1"/>
  <c r="AH97" i="1"/>
  <c r="AI97" i="1"/>
  <c r="AJ97" i="1"/>
  <c r="AL97" i="1" s="1"/>
  <c r="AK97" i="1"/>
  <c r="AC98" i="1"/>
  <c r="AD98" i="1"/>
  <c r="AH98" i="1"/>
  <c r="AI98" i="1"/>
  <c r="AK98" i="1" s="1"/>
  <c r="AJ98" i="1"/>
  <c r="AL98" i="1"/>
  <c r="AC99" i="1"/>
  <c r="AD99" i="1"/>
  <c r="AH99" i="1"/>
  <c r="AI99" i="1"/>
  <c r="AK99" i="1" s="1"/>
  <c r="AJ99" i="1"/>
  <c r="AL99" i="1" s="1"/>
  <c r="AC100" i="1"/>
  <c r="AD100" i="1"/>
  <c r="AH100" i="1"/>
  <c r="AI100" i="1"/>
  <c r="AJ100" i="1"/>
  <c r="AL100" i="1" s="1"/>
  <c r="AK100" i="1"/>
  <c r="AC101" i="1"/>
  <c r="AD101" i="1"/>
  <c r="AH101" i="1"/>
  <c r="AI101" i="1"/>
  <c r="AK101" i="1" s="1"/>
  <c r="AJ101" i="1"/>
  <c r="AL101" i="1" s="1"/>
  <c r="AC102" i="1"/>
  <c r="AD102" i="1"/>
  <c r="AH102" i="1"/>
  <c r="AI102" i="1"/>
  <c r="AK102" i="1" s="1"/>
  <c r="AJ102" i="1"/>
  <c r="AL102" i="1" s="1"/>
  <c r="AC103" i="1"/>
  <c r="AD103" i="1"/>
  <c r="AH103" i="1"/>
  <c r="AI103" i="1"/>
  <c r="AK103" i="1" s="1"/>
  <c r="AJ103" i="1"/>
  <c r="AL103" i="1" s="1"/>
  <c r="AC104" i="1"/>
  <c r="AD104" i="1"/>
  <c r="AH104" i="1"/>
  <c r="AI104" i="1"/>
  <c r="AK104" i="1" s="1"/>
  <c r="AJ104" i="1"/>
  <c r="AL104" i="1" s="1"/>
  <c r="AC105" i="1"/>
  <c r="AD105" i="1"/>
  <c r="AH105" i="1"/>
  <c r="AI105" i="1"/>
  <c r="AK105" i="1" s="1"/>
  <c r="AJ105" i="1"/>
  <c r="AL105" i="1" s="1"/>
  <c r="AC106" i="1"/>
  <c r="AD106" i="1"/>
  <c r="AH106" i="1"/>
  <c r="AI106" i="1"/>
  <c r="AK106" i="1" s="1"/>
  <c r="AJ106" i="1"/>
  <c r="AL106" i="1"/>
  <c r="AC107" i="1"/>
  <c r="AD107" i="1"/>
  <c r="AH107" i="1"/>
  <c r="AI107" i="1"/>
  <c r="AK107" i="1" s="1"/>
  <c r="AJ107" i="1"/>
  <c r="AL107" i="1" s="1"/>
  <c r="AC108" i="1"/>
  <c r="AD108" i="1"/>
  <c r="AH108" i="1"/>
  <c r="AI108" i="1"/>
  <c r="AK108" i="1" s="1"/>
  <c r="AJ108" i="1"/>
  <c r="AL108" i="1" s="1"/>
  <c r="AC109" i="1"/>
  <c r="AD109" i="1"/>
  <c r="AH109" i="1"/>
  <c r="AI109" i="1"/>
  <c r="AK109" i="1" s="1"/>
  <c r="AJ109" i="1"/>
  <c r="AL109" i="1" s="1"/>
  <c r="AC110" i="1"/>
  <c r="AD110" i="1"/>
  <c r="AH110" i="1"/>
  <c r="AI110" i="1"/>
  <c r="AK110" i="1" s="1"/>
  <c r="AJ110" i="1"/>
  <c r="AL110" i="1" s="1"/>
  <c r="AC4" i="1"/>
  <c r="AD4" i="1"/>
  <c r="AH4" i="1"/>
  <c r="AI4" i="1"/>
  <c r="AK4" i="1" s="1"/>
  <c r="AJ4" i="1"/>
  <c r="AL4" i="1" s="1"/>
  <c r="AC111" i="1"/>
  <c r="AD111" i="1"/>
  <c r="AH111" i="1"/>
  <c r="AI111" i="1"/>
  <c r="AK111" i="1" s="1"/>
  <c r="AJ111" i="1"/>
  <c r="AL111" i="1"/>
  <c r="AC112" i="1"/>
  <c r="AD112" i="1"/>
  <c r="AH112" i="1"/>
  <c r="AI112" i="1"/>
  <c r="AK112" i="1" s="1"/>
  <c r="AJ112" i="1"/>
  <c r="AL112" i="1" s="1"/>
  <c r="AC672" i="1"/>
  <c r="AD672" i="1"/>
  <c r="AH672" i="1"/>
  <c r="AI672" i="1"/>
  <c r="AK672" i="1" s="1"/>
  <c r="AJ672" i="1"/>
  <c r="AL672" i="1" s="1"/>
  <c r="AC113" i="1"/>
  <c r="AD113" i="1"/>
  <c r="AH113" i="1"/>
  <c r="AI113" i="1"/>
  <c r="AK113" i="1" s="1"/>
  <c r="AJ113" i="1"/>
  <c r="AL113" i="1" s="1"/>
  <c r="AC114" i="1"/>
  <c r="AD114" i="1"/>
  <c r="AH114" i="1"/>
  <c r="AI114" i="1"/>
  <c r="AK114" i="1" s="1"/>
  <c r="AJ114" i="1"/>
  <c r="AL114" i="1" s="1"/>
  <c r="AC115" i="1"/>
  <c r="AD115" i="1"/>
  <c r="AH115" i="1"/>
  <c r="AI115" i="1"/>
  <c r="AK115" i="1" s="1"/>
  <c r="AJ115" i="1"/>
  <c r="AL115" i="1" s="1"/>
  <c r="AC116" i="1"/>
  <c r="AD116" i="1"/>
  <c r="AH116" i="1"/>
  <c r="AI116" i="1"/>
  <c r="AK116" i="1" s="1"/>
  <c r="AJ116" i="1"/>
  <c r="AL116" i="1" s="1"/>
  <c r="AC117" i="1"/>
  <c r="AD117" i="1"/>
  <c r="AH117" i="1"/>
  <c r="AI117" i="1"/>
  <c r="AK117" i="1" s="1"/>
  <c r="AJ117" i="1"/>
  <c r="AL117" i="1" s="1"/>
  <c r="AC118" i="1"/>
  <c r="AD118" i="1"/>
  <c r="AH118" i="1"/>
  <c r="AI118" i="1"/>
  <c r="AK118" i="1" s="1"/>
  <c r="AJ118" i="1"/>
  <c r="AL118" i="1" s="1"/>
  <c r="AC119" i="1"/>
  <c r="AD119" i="1"/>
  <c r="AH119" i="1"/>
  <c r="AI119" i="1"/>
  <c r="AJ119" i="1"/>
  <c r="AL119" i="1" s="1"/>
  <c r="AK119" i="1"/>
  <c r="AC120" i="1"/>
  <c r="AD120" i="1"/>
  <c r="AH120" i="1"/>
  <c r="AI120" i="1"/>
  <c r="AK120" i="1" s="1"/>
  <c r="AJ120" i="1"/>
  <c r="AL120" i="1" s="1"/>
  <c r="AC121" i="1"/>
  <c r="AD121" i="1"/>
  <c r="AH121" i="1"/>
  <c r="AI121" i="1"/>
  <c r="AK121" i="1" s="1"/>
  <c r="AJ121" i="1"/>
  <c r="AL121" i="1" s="1"/>
  <c r="AC122" i="1"/>
  <c r="AD122" i="1"/>
  <c r="AH122" i="1"/>
  <c r="AI122" i="1"/>
  <c r="AK122" i="1" s="1"/>
  <c r="AJ122" i="1"/>
  <c r="AL122" i="1" s="1"/>
  <c r="AC123" i="1"/>
  <c r="AD123" i="1"/>
  <c r="AH123" i="1"/>
  <c r="AI123" i="1"/>
  <c r="AK123" i="1" s="1"/>
  <c r="AJ123" i="1"/>
  <c r="AL123" i="1" s="1"/>
  <c r="AC124" i="1"/>
  <c r="AD124" i="1"/>
  <c r="AH124" i="1"/>
  <c r="AI124" i="1"/>
  <c r="AK124" i="1" s="1"/>
  <c r="AJ124" i="1"/>
  <c r="AL124" i="1" s="1"/>
  <c r="AC125" i="1"/>
  <c r="AD125" i="1"/>
  <c r="AH125" i="1"/>
  <c r="AI125" i="1"/>
  <c r="AK125" i="1" s="1"/>
  <c r="AJ125" i="1"/>
  <c r="AL125" i="1" s="1"/>
  <c r="AC126" i="1"/>
  <c r="AD126" i="1"/>
  <c r="AH126" i="1"/>
  <c r="AI126" i="1"/>
  <c r="AK126" i="1" s="1"/>
  <c r="AJ126" i="1"/>
  <c r="AL126" i="1" s="1"/>
  <c r="AC127" i="1"/>
  <c r="AD127" i="1"/>
  <c r="AH127" i="1"/>
  <c r="AI127" i="1"/>
  <c r="AK127" i="1" s="1"/>
  <c r="AJ127" i="1"/>
  <c r="AL127" i="1" s="1"/>
  <c r="AC128" i="1"/>
  <c r="AD128" i="1"/>
  <c r="AH128" i="1"/>
  <c r="AI128" i="1"/>
  <c r="AJ128" i="1"/>
  <c r="AK128" i="1"/>
  <c r="AL128" i="1"/>
  <c r="AC129" i="1"/>
  <c r="AD129" i="1"/>
  <c r="AH129" i="1"/>
  <c r="AI129" i="1"/>
  <c r="AK129" i="1" s="1"/>
  <c r="AJ129" i="1"/>
  <c r="AL129" i="1" s="1"/>
  <c r="AC130" i="1"/>
  <c r="AD130" i="1"/>
  <c r="AH130" i="1"/>
  <c r="AI130" i="1"/>
  <c r="AK130" i="1" s="1"/>
  <c r="AJ130" i="1"/>
  <c r="AL130" i="1" s="1"/>
  <c r="AC131" i="1"/>
  <c r="AD131" i="1"/>
  <c r="AH131" i="1"/>
  <c r="AI131" i="1"/>
  <c r="AK131" i="1" s="1"/>
  <c r="AJ131" i="1"/>
  <c r="AL131" i="1" s="1"/>
  <c r="AC132" i="1"/>
  <c r="AD132" i="1"/>
  <c r="AH132" i="1"/>
  <c r="AI132" i="1"/>
  <c r="AJ132" i="1"/>
  <c r="AK132" i="1"/>
  <c r="AL132" i="1"/>
  <c r="AC133" i="1"/>
  <c r="AD133" i="1"/>
  <c r="AH133" i="1"/>
  <c r="AI133" i="1"/>
  <c r="AJ133" i="1"/>
  <c r="AL133" i="1" s="1"/>
  <c r="AK133" i="1"/>
  <c r="AC134" i="1"/>
  <c r="AD134" i="1"/>
  <c r="AH134" i="1"/>
  <c r="AI134" i="1"/>
  <c r="AJ134" i="1"/>
  <c r="AL134" i="1" s="1"/>
  <c r="AK134" i="1"/>
  <c r="AC135" i="1"/>
  <c r="AD135" i="1"/>
  <c r="AH135" i="1"/>
  <c r="AI135" i="1"/>
  <c r="AK135" i="1" s="1"/>
  <c r="AJ135" i="1"/>
  <c r="AL135" i="1" s="1"/>
  <c r="AC136" i="1"/>
  <c r="AD136" i="1"/>
  <c r="AH136" i="1"/>
  <c r="AI136" i="1"/>
  <c r="AK136" i="1" s="1"/>
  <c r="AJ136" i="1"/>
  <c r="AL136" i="1"/>
  <c r="AC137" i="1"/>
  <c r="AD137" i="1"/>
  <c r="AH137" i="1"/>
  <c r="AI137" i="1"/>
  <c r="AK137" i="1" s="1"/>
  <c r="AJ137" i="1"/>
  <c r="AL137" i="1"/>
  <c r="AC138" i="1"/>
  <c r="AD138" i="1"/>
  <c r="AH138" i="1"/>
  <c r="AI138" i="1"/>
  <c r="AK138" i="1" s="1"/>
  <c r="AJ138" i="1"/>
  <c r="AL138" i="1" s="1"/>
  <c r="AC139" i="1"/>
  <c r="AD139" i="1"/>
  <c r="AH139" i="1"/>
  <c r="AI139" i="1"/>
  <c r="AK139" i="1" s="1"/>
  <c r="AJ139" i="1"/>
  <c r="AL139" i="1" s="1"/>
  <c r="AC140" i="1"/>
  <c r="AD140" i="1"/>
  <c r="AH140" i="1"/>
  <c r="AI140" i="1"/>
  <c r="AK140" i="1" s="1"/>
  <c r="AJ140" i="1"/>
  <c r="AL140" i="1" s="1"/>
  <c r="AC141" i="1"/>
  <c r="AD141" i="1"/>
  <c r="AH141" i="1"/>
  <c r="AI141" i="1"/>
  <c r="AK141" i="1" s="1"/>
  <c r="AJ141" i="1"/>
  <c r="AL141" i="1"/>
  <c r="AC142" i="1"/>
  <c r="AD142" i="1"/>
  <c r="AH142" i="1"/>
  <c r="AI142" i="1"/>
  <c r="AK142" i="1" s="1"/>
  <c r="AJ142" i="1"/>
  <c r="AL142" i="1" s="1"/>
  <c r="AC673" i="1"/>
  <c r="AD673" i="1"/>
  <c r="AH673" i="1"/>
  <c r="AI673" i="1"/>
  <c r="AK673" i="1" s="1"/>
  <c r="AJ673" i="1"/>
  <c r="AL673" i="1" s="1"/>
  <c r="AC143" i="1"/>
  <c r="AD143" i="1"/>
  <c r="AH143" i="1"/>
  <c r="AI143" i="1"/>
  <c r="AK143" i="1" s="1"/>
  <c r="AJ143" i="1"/>
  <c r="AL143" i="1"/>
  <c r="AC144" i="1"/>
  <c r="AD144" i="1"/>
  <c r="AH144" i="1"/>
  <c r="AI144" i="1"/>
  <c r="AJ144" i="1"/>
  <c r="AL144" i="1" s="1"/>
  <c r="AK144" i="1"/>
  <c r="AC145" i="1"/>
  <c r="AD145" i="1"/>
  <c r="AH145" i="1"/>
  <c r="AI145" i="1"/>
  <c r="AK145" i="1" s="1"/>
  <c r="AJ145" i="1"/>
  <c r="AL145" i="1" s="1"/>
  <c r="AC146" i="1"/>
  <c r="AD146" i="1"/>
  <c r="AH146" i="1"/>
  <c r="AI146" i="1"/>
  <c r="AK146" i="1" s="1"/>
  <c r="AJ146" i="1"/>
  <c r="AL146" i="1" s="1"/>
  <c r="AC147" i="1"/>
  <c r="AD147" i="1"/>
  <c r="AH147" i="1"/>
  <c r="AI147" i="1"/>
  <c r="AK147" i="1" s="1"/>
  <c r="AJ147" i="1"/>
  <c r="AL147" i="1"/>
  <c r="AC148" i="1"/>
  <c r="AD148" i="1"/>
  <c r="AH148" i="1"/>
  <c r="AI148" i="1"/>
  <c r="AK148" i="1" s="1"/>
  <c r="AJ148" i="1"/>
  <c r="AL148" i="1"/>
  <c r="AC674" i="1"/>
  <c r="AD674" i="1"/>
  <c r="AH674" i="1"/>
  <c r="AI674" i="1"/>
  <c r="AK674" i="1" s="1"/>
  <c r="AJ674" i="1"/>
  <c r="AL674" i="1" s="1"/>
  <c r="AC149" i="1"/>
  <c r="AD149" i="1"/>
  <c r="AH149" i="1"/>
  <c r="AI149" i="1"/>
  <c r="AK149" i="1" s="1"/>
  <c r="AJ149" i="1"/>
  <c r="AL149" i="1" s="1"/>
  <c r="AC675" i="1"/>
  <c r="AD675" i="1"/>
  <c r="AH675" i="1"/>
  <c r="AI675" i="1"/>
  <c r="AK675" i="1" s="1"/>
  <c r="AJ675" i="1"/>
  <c r="AL675" i="1" s="1"/>
  <c r="AC150" i="1"/>
  <c r="AD150" i="1"/>
  <c r="AH150" i="1"/>
  <c r="AI150" i="1"/>
  <c r="AK150" i="1" s="1"/>
  <c r="AJ150" i="1"/>
  <c r="AL150" i="1" s="1"/>
  <c r="AC676" i="1"/>
  <c r="AD676" i="1"/>
  <c r="AH676" i="1"/>
  <c r="AI676" i="1"/>
  <c r="AK676" i="1" s="1"/>
  <c r="AJ676" i="1"/>
  <c r="AL676" i="1" s="1"/>
  <c r="AC151" i="1"/>
  <c r="AD151" i="1"/>
  <c r="AH151" i="1"/>
  <c r="AI151" i="1"/>
  <c r="AJ151" i="1"/>
  <c r="AL151" i="1" s="1"/>
  <c r="AK151" i="1"/>
  <c r="AC152" i="1"/>
  <c r="AD152" i="1"/>
  <c r="AH152" i="1"/>
  <c r="AI152" i="1"/>
  <c r="AK152" i="1" s="1"/>
  <c r="AJ152" i="1"/>
  <c r="AL152" i="1" s="1"/>
  <c r="AC677" i="1"/>
  <c r="AD677" i="1"/>
  <c r="AH677" i="1"/>
  <c r="AI677" i="1"/>
  <c r="AK677" i="1" s="1"/>
  <c r="AJ677" i="1"/>
  <c r="AL677" i="1" s="1"/>
  <c r="AC153" i="1"/>
  <c r="AD153" i="1"/>
  <c r="AH153" i="1"/>
  <c r="AI153" i="1"/>
  <c r="AK153" i="1" s="1"/>
  <c r="AJ153" i="1"/>
  <c r="AL153" i="1"/>
  <c r="AC154" i="1"/>
  <c r="AD154" i="1"/>
  <c r="AH154" i="1"/>
  <c r="AI154" i="1"/>
  <c r="AK154" i="1" s="1"/>
  <c r="AJ154" i="1"/>
  <c r="AL154" i="1"/>
  <c r="AC155" i="1"/>
  <c r="AD155" i="1"/>
  <c r="AH155" i="1"/>
  <c r="AI155" i="1"/>
  <c r="AK155" i="1" s="1"/>
  <c r="AJ155" i="1"/>
  <c r="AL155" i="1" s="1"/>
  <c r="AC156" i="1"/>
  <c r="AD156" i="1"/>
  <c r="AH156" i="1"/>
  <c r="AI156" i="1"/>
  <c r="AK156" i="1" s="1"/>
  <c r="AJ156" i="1"/>
  <c r="AL156" i="1" s="1"/>
  <c r="AC678" i="1"/>
  <c r="AD678" i="1"/>
  <c r="AH678" i="1"/>
  <c r="AI678" i="1"/>
  <c r="AK678" i="1" s="1"/>
  <c r="AJ678" i="1"/>
  <c r="AL678" i="1"/>
  <c r="AC157" i="1"/>
  <c r="AD157" i="1"/>
  <c r="AH157" i="1"/>
  <c r="AI157" i="1"/>
  <c r="AK157" i="1" s="1"/>
  <c r="AJ157" i="1"/>
  <c r="AL157" i="1" s="1"/>
  <c r="AC158" i="1"/>
  <c r="AD158" i="1"/>
  <c r="AH158" i="1"/>
  <c r="AI158" i="1"/>
  <c r="AK158" i="1" s="1"/>
  <c r="AJ158" i="1"/>
  <c r="AL158" i="1" s="1"/>
  <c r="AC159" i="1"/>
  <c r="AD159" i="1"/>
  <c r="AH159" i="1"/>
  <c r="AI159" i="1"/>
  <c r="AK159" i="1" s="1"/>
  <c r="AJ159" i="1"/>
  <c r="AL159" i="1" s="1"/>
  <c r="AC160" i="1"/>
  <c r="AD160" i="1"/>
  <c r="AH160" i="1"/>
  <c r="AI160" i="1"/>
  <c r="AK160" i="1" s="1"/>
  <c r="AJ160" i="1"/>
  <c r="AL160" i="1"/>
  <c r="AC161" i="1"/>
  <c r="AD161" i="1"/>
  <c r="AH161" i="1"/>
  <c r="AI161" i="1"/>
  <c r="AK161" i="1" s="1"/>
  <c r="AJ161" i="1"/>
  <c r="AL161" i="1" s="1"/>
  <c r="AC679" i="1"/>
  <c r="AD679" i="1"/>
  <c r="AH679" i="1"/>
  <c r="AI679" i="1"/>
  <c r="AJ679" i="1"/>
  <c r="AL679" i="1" s="1"/>
  <c r="AK679" i="1"/>
  <c r="AC162" i="1"/>
  <c r="AD162" i="1"/>
  <c r="AH162" i="1"/>
  <c r="AI162" i="1"/>
  <c r="AK162" i="1" s="1"/>
  <c r="AJ162" i="1"/>
  <c r="AL162" i="1" s="1"/>
  <c r="AC163" i="1"/>
  <c r="AD163" i="1"/>
  <c r="AH163" i="1"/>
  <c r="AI163" i="1"/>
  <c r="AK163" i="1" s="1"/>
  <c r="AJ163" i="1"/>
  <c r="AL163" i="1" s="1"/>
  <c r="AC164" i="1"/>
  <c r="AD164" i="1"/>
  <c r="AH164" i="1"/>
  <c r="AI164" i="1"/>
  <c r="AK164" i="1" s="1"/>
  <c r="AJ164" i="1"/>
  <c r="AL164" i="1" s="1"/>
  <c r="AC680" i="1"/>
  <c r="AD680" i="1"/>
  <c r="AH680" i="1"/>
  <c r="AI680" i="1"/>
  <c r="AK680" i="1" s="1"/>
  <c r="AJ680" i="1"/>
  <c r="AL680" i="1" s="1"/>
  <c r="AC681" i="1"/>
  <c r="AD681" i="1"/>
  <c r="AH681" i="1"/>
  <c r="AI681" i="1"/>
  <c r="AK681" i="1" s="1"/>
  <c r="AJ681" i="1"/>
  <c r="AL681" i="1" s="1"/>
  <c r="AC165" i="1"/>
  <c r="AD165" i="1"/>
  <c r="AH165" i="1"/>
  <c r="AI165" i="1"/>
  <c r="AK165" i="1" s="1"/>
  <c r="AJ165" i="1"/>
  <c r="AL165" i="1"/>
  <c r="AC166" i="1"/>
  <c r="AD166" i="1"/>
  <c r="AH166" i="1"/>
  <c r="AI166" i="1"/>
  <c r="AK166" i="1" s="1"/>
  <c r="AJ166" i="1"/>
  <c r="AL166" i="1" s="1"/>
  <c r="AC167" i="1"/>
  <c r="AD167" i="1"/>
  <c r="AH167" i="1"/>
  <c r="AI167" i="1"/>
  <c r="AJ167" i="1"/>
  <c r="AL167" i="1" s="1"/>
  <c r="AK167" i="1"/>
  <c r="AC168" i="1"/>
  <c r="AD168" i="1"/>
  <c r="AH168" i="1"/>
  <c r="AI168" i="1"/>
  <c r="AK168" i="1" s="1"/>
  <c r="AJ168" i="1"/>
  <c r="AL168" i="1"/>
  <c r="AC169" i="1"/>
  <c r="AD169" i="1"/>
  <c r="AH169" i="1"/>
  <c r="AI169" i="1"/>
  <c r="AK169" i="1" s="1"/>
  <c r="AJ169" i="1"/>
  <c r="AL169" i="1" s="1"/>
  <c r="AC170" i="1"/>
  <c r="AD170" i="1"/>
  <c r="AH170" i="1"/>
  <c r="AI170" i="1"/>
  <c r="AK170" i="1" s="1"/>
  <c r="AJ170" i="1"/>
  <c r="AL170" i="1"/>
  <c r="AC682" i="1"/>
  <c r="AD682" i="1"/>
  <c r="AH682" i="1"/>
  <c r="AI682" i="1"/>
  <c r="AK682" i="1" s="1"/>
  <c r="AJ682" i="1"/>
  <c r="AL682" i="1" s="1"/>
  <c r="AC171" i="1"/>
  <c r="AD171" i="1"/>
  <c r="AH171" i="1"/>
  <c r="AI171" i="1"/>
  <c r="AK171" i="1" s="1"/>
  <c r="AJ171" i="1"/>
  <c r="AL171" i="1" s="1"/>
  <c r="AC683" i="1"/>
  <c r="AD683" i="1"/>
  <c r="AH683" i="1"/>
  <c r="AI683" i="1"/>
  <c r="AJ683" i="1"/>
  <c r="AL683" i="1" s="1"/>
  <c r="AK683" i="1"/>
  <c r="AC172" i="1"/>
  <c r="AD172" i="1"/>
  <c r="AH172" i="1"/>
  <c r="AI172" i="1"/>
  <c r="AK172" i="1" s="1"/>
  <c r="AJ172" i="1"/>
  <c r="AL172" i="1" s="1"/>
  <c r="AC173" i="1"/>
  <c r="AD173" i="1"/>
  <c r="AH173" i="1"/>
  <c r="AI173" i="1"/>
  <c r="AK173" i="1" s="1"/>
  <c r="AJ173" i="1"/>
  <c r="AL173" i="1" s="1"/>
  <c r="AC174" i="1"/>
  <c r="AD174" i="1"/>
  <c r="AH174" i="1"/>
  <c r="AI174" i="1"/>
  <c r="AK174" i="1" s="1"/>
  <c r="AJ174" i="1"/>
  <c r="AL174" i="1"/>
  <c r="AC175" i="1"/>
  <c r="AD175" i="1"/>
  <c r="AH175" i="1"/>
  <c r="AI175" i="1"/>
  <c r="AK175" i="1" s="1"/>
  <c r="AJ175" i="1"/>
  <c r="AL175" i="1" s="1"/>
  <c r="AC176" i="1"/>
  <c r="AD176" i="1"/>
  <c r="AH176" i="1"/>
  <c r="AI176" i="1"/>
  <c r="AK176" i="1" s="1"/>
  <c r="AJ176" i="1"/>
  <c r="AL176" i="1" s="1"/>
  <c r="AC177" i="1"/>
  <c r="AD177" i="1"/>
  <c r="AH177" i="1"/>
  <c r="AI177" i="1"/>
  <c r="AJ177" i="1"/>
  <c r="AL177" i="1" s="1"/>
  <c r="AK177" i="1"/>
  <c r="AC178" i="1"/>
  <c r="AD178" i="1"/>
  <c r="AH178" i="1"/>
  <c r="AI178" i="1"/>
  <c r="AK178" i="1" s="1"/>
  <c r="AJ178" i="1"/>
  <c r="AL178" i="1" s="1"/>
  <c r="AC179" i="1"/>
  <c r="AD179" i="1"/>
  <c r="AH179" i="1"/>
  <c r="AI179" i="1"/>
  <c r="AK179" i="1" s="1"/>
  <c r="AJ179" i="1"/>
  <c r="AL179" i="1"/>
  <c r="AC180" i="1"/>
  <c r="AD180" i="1"/>
  <c r="AH180" i="1"/>
  <c r="AI180" i="1"/>
  <c r="AJ180" i="1"/>
  <c r="AL180" i="1" s="1"/>
  <c r="AK180" i="1"/>
  <c r="AC181" i="1"/>
  <c r="AD181" i="1"/>
  <c r="AH181" i="1"/>
  <c r="AI181" i="1"/>
  <c r="AK181" i="1" s="1"/>
  <c r="AJ181" i="1"/>
  <c r="AL181" i="1" s="1"/>
  <c r="AC182" i="1"/>
  <c r="AD182" i="1"/>
  <c r="AH182" i="1"/>
  <c r="AI182" i="1"/>
  <c r="AJ182" i="1"/>
  <c r="AL182" i="1" s="1"/>
  <c r="AK182" i="1"/>
  <c r="AC183" i="1"/>
  <c r="AD183" i="1"/>
  <c r="AH183" i="1"/>
  <c r="AI183" i="1"/>
  <c r="AK183" i="1" s="1"/>
  <c r="AJ183" i="1"/>
  <c r="AL183" i="1"/>
  <c r="AC184" i="1"/>
  <c r="AD184" i="1"/>
  <c r="AH184" i="1"/>
  <c r="AI184" i="1"/>
  <c r="AK184" i="1" s="1"/>
  <c r="AJ184" i="1"/>
  <c r="AL184" i="1" s="1"/>
  <c r="AC185" i="1"/>
  <c r="AD185" i="1"/>
  <c r="AH185" i="1"/>
  <c r="AI185" i="1"/>
  <c r="AK185" i="1" s="1"/>
  <c r="AJ185" i="1"/>
  <c r="AL185" i="1" s="1"/>
  <c r="AC186" i="1"/>
  <c r="AD186" i="1"/>
  <c r="AH186" i="1"/>
  <c r="AI186" i="1"/>
  <c r="AK186" i="1" s="1"/>
  <c r="AJ186" i="1"/>
  <c r="AL186" i="1" s="1"/>
  <c r="AC187" i="1"/>
  <c r="AD187" i="1"/>
  <c r="AH187" i="1"/>
  <c r="AI187" i="1"/>
  <c r="AK187" i="1" s="1"/>
  <c r="AJ187" i="1"/>
  <c r="AL187" i="1"/>
  <c r="AC188" i="1"/>
  <c r="AD188" i="1"/>
  <c r="AH188" i="1"/>
  <c r="AI188" i="1"/>
  <c r="AK188" i="1" s="1"/>
  <c r="AJ188" i="1"/>
  <c r="AL188" i="1" s="1"/>
  <c r="AC189" i="1"/>
  <c r="AD189" i="1"/>
  <c r="AH189" i="1"/>
  <c r="AI189" i="1"/>
  <c r="AK189" i="1" s="1"/>
  <c r="AJ189" i="1"/>
  <c r="AL189" i="1" s="1"/>
  <c r="AC190" i="1"/>
  <c r="AD190" i="1"/>
  <c r="AH190" i="1"/>
  <c r="AI190" i="1"/>
  <c r="AK190" i="1" s="1"/>
  <c r="AJ190" i="1"/>
  <c r="AL190" i="1" s="1"/>
  <c r="AC191" i="1"/>
  <c r="AD191" i="1"/>
  <c r="AH191" i="1"/>
  <c r="AI191" i="1"/>
  <c r="AK191" i="1" s="1"/>
  <c r="AJ191" i="1"/>
  <c r="AL191" i="1" s="1"/>
  <c r="AC192" i="1"/>
  <c r="AD192" i="1"/>
  <c r="AH192" i="1"/>
  <c r="AI192" i="1"/>
  <c r="AJ192" i="1"/>
  <c r="AK192" i="1"/>
  <c r="AL192" i="1"/>
  <c r="AC193" i="1"/>
  <c r="AD193" i="1"/>
  <c r="AH193" i="1"/>
  <c r="AI193" i="1"/>
  <c r="AK193" i="1" s="1"/>
  <c r="AJ193" i="1"/>
  <c r="AL193" i="1" s="1"/>
  <c r="AC194" i="1"/>
  <c r="AD194" i="1"/>
  <c r="AH194" i="1"/>
  <c r="AI194" i="1"/>
  <c r="AK194" i="1" s="1"/>
  <c r="AJ194" i="1"/>
  <c r="AL194" i="1" s="1"/>
  <c r="AC195" i="1"/>
  <c r="AD195" i="1"/>
  <c r="AH195" i="1"/>
  <c r="AI195" i="1"/>
  <c r="AJ195" i="1"/>
  <c r="AL195" i="1" s="1"/>
  <c r="AK195" i="1"/>
  <c r="AC196" i="1"/>
  <c r="AD196" i="1"/>
  <c r="AH196" i="1"/>
  <c r="AI196" i="1"/>
  <c r="AK196" i="1" s="1"/>
  <c r="AJ196" i="1"/>
  <c r="AL196" i="1" s="1"/>
  <c r="AC197" i="1"/>
  <c r="AD197" i="1"/>
  <c r="AH197" i="1"/>
  <c r="AI197" i="1"/>
  <c r="AK197" i="1" s="1"/>
  <c r="AJ197" i="1"/>
  <c r="AL197" i="1" s="1"/>
  <c r="AC198" i="1"/>
  <c r="AD198" i="1"/>
  <c r="AH198" i="1"/>
  <c r="AI198" i="1"/>
  <c r="AK198" i="1" s="1"/>
  <c r="AJ198" i="1"/>
  <c r="AL198" i="1" s="1"/>
  <c r="AC199" i="1"/>
  <c r="AD199" i="1"/>
  <c r="AH199" i="1"/>
  <c r="AI199" i="1"/>
  <c r="AK199" i="1" s="1"/>
  <c r="AJ199" i="1"/>
  <c r="AL199" i="1"/>
  <c r="AC200" i="1"/>
  <c r="AD200" i="1"/>
  <c r="AH200" i="1"/>
  <c r="AI200" i="1"/>
  <c r="AK200" i="1" s="1"/>
  <c r="AJ200" i="1"/>
  <c r="AL200" i="1" s="1"/>
  <c r="AC201" i="1"/>
  <c r="AD201" i="1"/>
  <c r="AH201" i="1"/>
  <c r="AI201" i="1"/>
  <c r="AK201" i="1" s="1"/>
  <c r="AJ201" i="1"/>
  <c r="AL201" i="1" s="1"/>
  <c r="AC202" i="1"/>
  <c r="AD202" i="1"/>
  <c r="AH202" i="1"/>
  <c r="AI202" i="1"/>
  <c r="AK202" i="1" s="1"/>
  <c r="AJ202" i="1"/>
  <c r="AL202" i="1" s="1"/>
  <c r="AC203" i="1"/>
  <c r="AD203" i="1"/>
  <c r="AH203" i="1"/>
  <c r="AI203" i="1"/>
  <c r="AJ203" i="1"/>
  <c r="AL203" i="1" s="1"/>
  <c r="AK203" i="1"/>
  <c r="AC204" i="1"/>
  <c r="AD204" i="1"/>
  <c r="AH204" i="1"/>
  <c r="AI204" i="1"/>
  <c r="AK204" i="1" s="1"/>
  <c r="AJ204" i="1"/>
  <c r="AL204" i="1" s="1"/>
  <c r="AC205" i="1"/>
  <c r="AD205" i="1"/>
  <c r="AH205" i="1"/>
  <c r="AI205" i="1"/>
  <c r="AK205" i="1" s="1"/>
  <c r="AJ205" i="1"/>
  <c r="AL205" i="1" s="1"/>
  <c r="AC206" i="1"/>
  <c r="AD206" i="1"/>
  <c r="AH206" i="1"/>
  <c r="AI206" i="1"/>
  <c r="AK206" i="1" s="1"/>
  <c r="AJ206" i="1"/>
  <c r="AL206" i="1" s="1"/>
  <c r="AC207" i="1"/>
  <c r="AD207" i="1"/>
  <c r="AH207" i="1"/>
  <c r="AI207" i="1"/>
  <c r="AK207" i="1" s="1"/>
  <c r="AJ207" i="1"/>
  <c r="AL207" i="1" s="1"/>
  <c r="AC208" i="1"/>
  <c r="AD208" i="1"/>
  <c r="AH208" i="1"/>
  <c r="AI208" i="1"/>
  <c r="AK208" i="1" s="1"/>
  <c r="AJ208" i="1"/>
  <c r="AL208" i="1" s="1"/>
  <c r="AC209" i="1"/>
  <c r="AD209" i="1"/>
  <c r="AH209" i="1"/>
  <c r="AI209" i="1"/>
  <c r="AK209" i="1" s="1"/>
  <c r="AJ209" i="1"/>
  <c r="AL209" i="1" s="1"/>
  <c r="AC210" i="1"/>
  <c r="AD210" i="1"/>
  <c r="AH210" i="1"/>
  <c r="AI210" i="1"/>
  <c r="AK210" i="1" s="1"/>
  <c r="AJ210" i="1"/>
  <c r="AL210" i="1"/>
  <c r="AC211" i="1"/>
  <c r="AD211" i="1"/>
  <c r="AH211" i="1"/>
  <c r="AI211" i="1"/>
  <c r="AJ211" i="1"/>
  <c r="AK211" i="1"/>
  <c r="AL211" i="1"/>
  <c r="AC212" i="1"/>
  <c r="AD212" i="1"/>
  <c r="AH212" i="1"/>
  <c r="AI212" i="1"/>
  <c r="AK212" i="1" s="1"/>
  <c r="AJ212" i="1"/>
  <c r="AL212" i="1" s="1"/>
  <c r="AC213" i="1"/>
  <c r="AD213" i="1"/>
  <c r="AH213" i="1"/>
  <c r="AI213" i="1"/>
  <c r="AK213" i="1" s="1"/>
  <c r="AJ213" i="1"/>
  <c r="AL213" i="1" s="1"/>
  <c r="AC214" i="1"/>
  <c r="AD214" i="1"/>
  <c r="AH214" i="1"/>
  <c r="AI214" i="1"/>
  <c r="AK214" i="1" s="1"/>
  <c r="AJ214" i="1"/>
  <c r="AL214" i="1"/>
  <c r="AC215" i="1"/>
  <c r="AD215" i="1"/>
  <c r="AH215" i="1"/>
  <c r="AI215" i="1"/>
  <c r="AK215" i="1" s="1"/>
  <c r="AJ215" i="1"/>
  <c r="AL215" i="1"/>
  <c r="AC216" i="1"/>
  <c r="AD216" i="1"/>
  <c r="AH216" i="1"/>
  <c r="AI216" i="1"/>
  <c r="AK216" i="1" s="1"/>
  <c r="AJ216" i="1"/>
  <c r="AL216" i="1" s="1"/>
  <c r="AC217" i="1"/>
  <c r="AD217" i="1"/>
  <c r="AH217" i="1"/>
  <c r="AI217" i="1"/>
  <c r="AK217" i="1" s="1"/>
  <c r="AJ217" i="1"/>
  <c r="AL217" i="1" s="1"/>
  <c r="AC218" i="1"/>
  <c r="AD218" i="1"/>
  <c r="AH218" i="1"/>
  <c r="AI218" i="1"/>
  <c r="AK218" i="1" s="1"/>
  <c r="AJ218" i="1"/>
  <c r="AL218" i="1" s="1"/>
  <c r="AC219" i="1"/>
  <c r="AD219" i="1"/>
  <c r="AH219" i="1"/>
  <c r="AI219" i="1"/>
  <c r="AK219" i="1" s="1"/>
  <c r="AJ219" i="1"/>
  <c r="AL219" i="1"/>
  <c r="AC220" i="1"/>
  <c r="AD220" i="1"/>
  <c r="AH220" i="1"/>
  <c r="AI220" i="1"/>
  <c r="AK220" i="1" s="1"/>
  <c r="AJ220" i="1"/>
  <c r="AL220" i="1"/>
  <c r="AC221" i="1"/>
  <c r="AD221" i="1"/>
  <c r="AH221" i="1"/>
  <c r="AI221" i="1"/>
  <c r="AK221" i="1" s="1"/>
  <c r="AJ221" i="1"/>
  <c r="AL221" i="1" s="1"/>
  <c r="AC684" i="1"/>
  <c r="AD684" i="1"/>
  <c r="AH684" i="1"/>
  <c r="AI684" i="1"/>
  <c r="AK684" i="1" s="1"/>
  <c r="AJ684" i="1"/>
  <c r="AL684" i="1" s="1"/>
  <c r="AC222" i="1"/>
  <c r="AD222" i="1"/>
  <c r="AH222" i="1"/>
  <c r="AI222" i="1"/>
  <c r="AK222" i="1" s="1"/>
  <c r="AJ222" i="1"/>
  <c r="AL222" i="1" s="1"/>
  <c r="AC223" i="1"/>
  <c r="AD223" i="1"/>
  <c r="AH223" i="1"/>
  <c r="AI223" i="1"/>
  <c r="AK223" i="1" s="1"/>
  <c r="AJ223" i="1"/>
  <c r="AL223" i="1" s="1"/>
  <c r="AC224" i="1"/>
  <c r="AD224" i="1"/>
  <c r="AH224" i="1"/>
  <c r="AI224" i="1"/>
  <c r="AJ224" i="1"/>
  <c r="AL224" i="1" s="1"/>
  <c r="AK224" i="1"/>
  <c r="AC225" i="1"/>
  <c r="AD225" i="1"/>
  <c r="AH225" i="1"/>
  <c r="AI225" i="1"/>
  <c r="AK225" i="1" s="1"/>
  <c r="AJ225" i="1"/>
  <c r="AL225" i="1" s="1"/>
  <c r="AC226" i="1"/>
  <c r="AD226" i="1"/>
  <c r="AH226" i="1"/>
  <c r="AI226" i="1"/>
  <c r="AK226" i="1" s="1"/>
  <c r="AJ226" i="1"/>
  <c r="AL226" i="1" s="1"/>
  <c r="AC227" i="1"/>
  <c r="AD227" i="1"/>
  <c r="AH227" i="1"/>
  <c r="AI227" i="1"/>
  <c r="AK227" i="1" s="1"/>
  <c r="AJ227" i="1"/>
  <c r="AL227" i="1" s="1"/>
  <c r="AC228" i="1"/>
  <c r="AD228" i="1"/>
  <c r="AH228" i="1"/>
  <c r="AI228" i="1"/>
  <c r="AK228" i="1" s="1"/>
  <c r="AJ228" i="1"/>
  <c r="AL228" i="1" s="1"/>
  <c r="AC229" i="1"/>
  <c r="AD229" i="1"/>
  <c r="AH229" i="1"/>
  <c r="AI229" i="1"/>
  <c r="AK229" i="1" s="1"/>
  <c r="AJ229" i="1"/>
  <c r="AL229" i="1" s="1"/>
  <c r="AC230" i="1"/>
  <c r="AD230" i="1"/>
  <c r="AH230" i="1"/>
  <c r="AI230" i="1"/>
  <c r="AJ230" i="1"/>
  <c r="AL230" i="1" s="1"/>
  <c r="AK230" i="1"/>
  <c r="AC231" i="1"/>
  <c r="AD231" i="1"/>
  <c r="AH231" i="1"/>
  <c r="AI231" i="1"/>
  <c r="AK231" i="1" s="1"/>
  <c r="AJ231" i="1"/>
  <c r="AL231" i="1" s="1"/>
  <c r="AC232" i="1"/>
  <c r="AD232" i="1"/>
  <c r="AH232" i="1"/>
  <c r="AI232" i="1"/>
  <c r="AJ232" i="1"/>
  <c r="AL232" i="1" s="1"/>
  <c r="AK232" i="1"/>
  <c r="AC685" i="1"/>
  <c r="AD685" i="1"/>
  <c r="AH685" i="1"/>
  <c r="AI685" i="1"/>
  <c r="AJ685" i="1"/>
  <c r="AL685" i="1" s="1"/>
  <c r="AK685" i="1"/>
  <c r="AC686" i="1"/>
  <c r="AD686" i="1"/>
  <c r="AH686" i="1"/>
  <c r="AI686" i="1"/>
  <c r="AK686" i="1" s="1"/>
  <c r="AJ686" i="1"/>
  <c r="AL686" i="1" s="1"/>
  <c r="AC687" i="1"/>
  <c r="AD687" i="1"/>
  <c r="AH687" i="1"/>
  <c r="AI687" i="1"/>
  <c r="AK687" i="1" s="1"/>
  <c r="AJ687" i="1"/>
  <c r="AL687" i="1" s="1"/>
  <c r="AC233" i="1"/>
  <c r="AD233" i="1"/>
  <c r="AH233" i="1"/>
  <c r="AI233" i="1"/>
  <c r="AJ233" i="1"/>
  <c r="AL233" i="1" s="1"/>
  <c r="AK233" i="1"/>
  <c r="AC688" i="1"/>
  <c r="AD688" i="1"/>
  <c r="AH688" i="1"/>
  <c r="AI688" i="1"/>
  <c r="AK688" i="1" s="1"/>
  <c r="AJ688" i="1"/>
  <c r="AL688" i="1"/>
  <c r="AC234" i="1"/>
  <c r="AD234" i="1"/>
  <c r="AH234" i="1"/>
  <c r="AI234" i="1"/>
  <c r="AK234" i="1" s="1"/>
  <c r="AJ234" i="1"/>
  <c r="AL234" i="1" s="1"/>
  <c r="AC235" i="1"/>
  <c r="AD235" i="1"/>
  <c r="AH235" i="1"/>
  <c r="AI235" i="1"/>
  <c r="AK235" i="1" s="1"/>
  <c r="AJ235" i="1"/>
  <c r="AL235" i="1"/>
  <c r="AC236" i="1"/>
  <c r="AD236" i="1"/>
  <c r="AH236" i="1"/>
  <c r="AI236" i="1"/>
  <c r="AK236" i="1" s="1"/>
  <c r="AJ236" i="1"/>
  <c r="AL236" i="1"/>
  <c r="AC237" i="1"/>
  <c r="AD237" i="1"/>
  <c r="AH237" i="1"/>
  <c r="AI237" i="1"/>
  <c r="AK237" i="1" s="1"/>
  <c r="AJ237" i="1"/>
  <c r="AL237" i="1" s="1"/>
  <c r="AC238" i="1"/>
  <c r="AD238" i="1"/>
  <c r="AH238" i="1"/>
  <c r="AI238" i="1"/>
  <c r="AK238" i="1" s="1"/>
  <c r="AJ238" i="1"/>
  <c r="AL238" i="1" s="1"/>
  <c r="AC689" i="1"/>
  <c r="AD689" i="1"/>
  <c r="AH689" i="1"/>
  <c r="AI689" i="1"/>
  <c r="AK689" i="1" s="1"/>
  <c r="AJ689" i="1"/>
  <c r="AL689" i="1" s="1"/>
  <c r="AC690" i="1"/>
  <c r="AD690" i="1"/>
  <c r="AH690" i="1"/>
  <c r="AI690" i="1"/>
  <c r="AK690" i="1" s="1"/>
  <c r="AJ690" i="1"/>
  <c r="AL690" i="1" s="1"/>
  <c r="AC691" i="1"/>
  <c r="AD691" i="1"/>
  <c r="AH691" i="1"/>
  <c r="AI691" i="1"/>
  <c r="AK691" i="1" s="1"/>
  <c r="AJ691" i="1"/>
  <c r="AL691" i="1"/>
  <c r="AC239" i="1"/>
  <c r="AD239" i="1"/>
  <c r="AH239" i="1"/>
  <c r="AI239" i="1"/>
  <c r="AK239" i="1" s="1"/>
  <c r="AJ239" i="1"/>
  <c r="AL239" i="1" s="1"/>
  <c r="AC240" i="1"/>
  <c r="AD240" i="1"/>
  <c r="AH240" i="1"/>
  <c r="AI240" i="1"/>
  <c r="AK240" i="1" s="1"/>
  <c r="AJ240" i="1"/>
  <c r="AL240" i="1" s="1"/>
  <c r="AC241" i="1"/>
  <c r="AD241" i="1"/>
  <c r="AH241" i="1"/>
  <c r="AI241" i="1"/>
  <c r="AJ241" i="1"/>
  <c r="AK241" i="1"/>
  <c r="AL241" i="1"/>
  <c r="AC242" i="1"/>
  <c r="AD242" i="1"/>
  <c r="AH242" i="1"/>
  <c r="AI242" i="1"/>
  <c r="AK242" i="1" s="1"/>
  <c r="AJ242" i="1"/>
  <c r="AL242" i="1" s="1"/>
  <c r="AC243" i="1"/>
  <c r="AD243" i="1"/>
  <c r="AH243" i="1"/>
  <c r="AI243" i="1"/>
  <c r="AK243" i="1" s="1"/>
  <c r="AJ243" i="1"/>
  <c r="AL243" i="1"/>
  <c r="AC244" i="1"/>
  <c r="AD244" i="1"/>
  <c r="AH244" i="1"/>
  <c r="AI244" i="1"/>
  <c r="AJ244" i="1"/>
  <c r="AL244" i="1" s="1"/>
  <c r="AK244" i="1"/>
  <c r="AC245" i="1"/>
  <c r="AD245" i="1"/>
  <c r="AH245" i="1"/>
  <c r="AI245" i="1"/>
  <c r="AK245" i="1" s="1"/>
  <c r="AJ245" i="1"/>
  <c r="AL245" i="1"/>
  <c r="AC246" i="1"/>
  <c r="AD246" i="1"/>
  <c r="AH246" i="1"/>
  <c r="AI246" i="1"/>
  <c r="AJ246" i="1"/>
  <c r="AL246" i="1" s="1"/>
  <c r="AK246" i="1"/>
  <c r="AC247" i="1"/>
  <c r="AD247" i="1"/>
  <c r="AH247" i="1"/>
  <c r="AI247" i="1"/>
  <c r="AK247" i="1" s="1"/>
  <c r="AJ247" i="1"/>
  <c r="AL247" i="1"/>
  <c r="AC692" i="1"/>
  <c r="AD692" i="1"/>
  <c r="AH692" i="1"/>
  <c r="AI692" i="1"/>
  <c r="AK692" i="1" s="1"/>
  <c r="AJ692" i="1"/>
  <c r="AL692" i="1"/>
  <c r="AC248" i="1"/>
  <c r="AD248" i="1"/>
  <c r="AH248" i="1"/>
  <c r="AI248" i="1"/>
  <c r="AK248" i="1" s="1"/>
  <c r="AJ248" i="1"/>
  <c r="AL248" i="1" s="1"/>
  <c r="AC249" i="1"/>
  <c r="AD249" i="1"/>
  <c r="AH249" i="1"/>
  <c r="AI249" i="1"/>
  <c r="AK249" i="1" s="1"/>
  <c r="AJ249" i="1"/>
  <c r="AL249" i="1" s="1"/>
  <c r="AC250" i="1"/>
  <c r="AD250" i="1"/>
  <c r="AH250" i="1"/>
  <c r="AI250" i="1"/>
  <c r="AK250" i="1" s="1"/>
  <c r="AJ250" i="1"/>
  <c r="AL250" i="1"/>
  <c r="AC5" i="1"/>
  <c r="AD5" i="1"/>
  <c r="AH5" i="1"/>
  <c r="AI5" i="1"/>
  <c r="AK5" i="1" s="1"/>
  <c r="AJ5" i="1"/>
  <c r="AL5" i="1" s="1"/>
  <c r="AC251" i="1"/>
  <c r="AD251" i="1"/>
  <c r="AH251" i="1"/>
  <c r="AI251" i="1"/>
  <c r="AK251" i="1" s="1"/>
  <c r="AJ251" i="1"/>
  <c r="AL251" i="1" s="1"/>
  <c r="AC252" i="1"/>
  <c r="AD252" i="1"/>
  <c r="AH252" i="1"/>
  <c r="AI252" i="1"/>
  <c r="AK252" i="1" s="1"/>
  <c r="AJ252" i="1"/>
  <c r="AL252" i="1" s="1"/>
  <c r="AC253" i="1"/>
  <c r="AD253" i="1"/>
  <c r="AH253" i="1"/>
  <c r="AI253" i="1"/>
  <c r="AK253" i="1" s="1"/>
  <c r="AJ253" i="1"/>
  <c r="AL253" i="1" s="1"/>
  <c r="AC254" i="1"/>
  <c r="AD254" i="1"/>
  <c r="AH254" i="1"/>
  <c r="AI254" i="1"/>
  <c r="AK254" i="1" s="1"/>
  <c r="AJ254" i="1"/>
  <c r="AL254" i="1" s="1"/>
  <c r="AC255" i="1"/>
  <c r="AD255" i="1"/>
  <c r="AH255" i="1"/>
  <c r="AI255" i="1"/>
  <c r="AJ255" i="1"/>
  <c r="AK255" i="1"/>
  <c r="AL255" i="1"/>
  <c r="AC256" i="1"/>
  <c r="AD256" i="1"/>
  <c r="AH256" i="1"/>
  <c r="AI256" i="1"/>
  <c r="AK256" i="1" s="1"/>
  <c r="AJ256" i="1"/>
  <c r="AL256" i="1" s="1"/>
  <c r="AC257" i="1"/>
  <c r="AD257" i="1"/>
  <c r="AH257" i="1"/>
  <c r="AI257" i="1"/>
  <c r="AK257" i="1" s="1"/>
  <c r="AJ257" i="1"/>
  <c r="AL257" i="1" s="1"/>
  <c r="AC258" i="1"/>
  <c r="AD258" i="1"/>
  <c r="AH258" i="1"/>
  <c r="AI258" i="1"/>
  <c r="AK258" i="1" s="1"/>
  <c r="AJ258" i="1"/>
  <c r="AL258" i="1"/>
  <c r="AC259" i="1"/>
  <c r="AD259" i="1"/>
  <c r="AH259" i="1"/>
  <c r="AI259" i="1"/>
  <c r="AK259" i="1" s="1"/>
  <c r="AJ259" i="1"/>
  <c r="AL259" i="1" s="1"/>
  <c r="AC260" i="1"/>
  <c r="AD260" i="1"/>
  <c r="AH260" i="1"/>
  <c r="AI260" i="1"/>
  <c r="AJ260" i="1"/>
  <c r="AK260" i="1"/>
  <c r="AL260" i="1"/>
  <c r="AC261" i="1"/>
  <c r="AD261" i="1"/>
  <c r="AH261" i="1"/>
  <c r="AI261" i="1"/>
  <c r="AK261" i="1" s="1"/>
  <c r="AJ261" i="1"/>
  <c r="AL261" i="1" s="1"/>
  <c r="AC262" i="1"/>
  <c r="AD262" i="1"/>
  <c r="AH262" i="1"/>
  <c r="AI262" i="1"/>
  <c r="AK262" i="1" s="1"/>
  <c r="AJ262" i="1"/>
  <c r="AL262" i="1" s="1"/>
  <c r="AC263" i="1"/>
  <c r="AD263" i="1"/>
  <c r="AH263" i="1"/>
  <c r="AI263" i="1"/>
  <c r="AJ263" i="1"/>
  <c r="AK263" i="1"/>
  <c r="AL263" i="1"/>
  <c r="AC6" i="1"/>
  <c r="AD6" i="1"/>
  <c r="AH6" i="1"/>
  <c r="AI6" i="1"/>
  <c r="AK6" i="1" s="1"/>
  <c r="AJ6" i="1"/>
  <c r="AL6" i="1" s="1"/>
  <c r="AC264" i="1"/>
  <c r="AD264" i="1"/>
  <c r="AH264" i="1"/>
  <c r="AI264" i="1"/>
  <c r="AK264" i="1" s="1"/>
  <c r="AJ264" i="1"/>
  <c r="AL264" i="1" s="1"/>
  <c r="AC265" i="1"/>
  <c r="AD265" i="1"/>
  <c r="AH265" i="1"/>
  <c r="AI265" i="1"/>
  <c r="AK265" i="1" s="1"/>
  <c r="AJ265" i="1"/>
  <c r="AL265" i="1" s="1"/>
  <c r="AC693" i="1"/>
  <c r="AD693" i="1"/>
  <c r="AH693" i="1"/>
  <c r="AI693" i="1"/>
  <c r="AK693" i="1" s="1"/>
  <c r="AJ693" i="1"/>
  <c r="AL693" i="1"/>
  <c r="AC266" i="1"/>
  <c r="AD266" i="1"/>
  <c r="AH266" i="1"/>
  <c r="AI266" i="1"/>
  <c r="AK266" i="1" s="1"/>
  <c r="AJ266" i="1"/>
  <c r="AL266" i="1" s="1"/>
  <c r="AC267" i="1"/>
  <c r="AD267" i="1"/>
  <c r="AH267" i="1"/>
  <c r="AI267" i="1"/>
  <c r="AK267" i="1" s="1"/>
  <c r="AJ267" i="1"/>
  <c r="AL267" i="1" s="1"/>
  <c r="AC268" i="1"/>
  <c r="AD268" i="1"/>
  <c r="AH268" i="1"/>
  <c r="AI268" i="1"/>
  <c r="AK268" i="1" s="1"/>
  <c r="AJ268" i="1"/>
  <c r="AL268" i="1"/>
  <c r="AC269" i="1"/>
  <c r="AD269" i="1"/>
  <c r="AH269" i="1"/>
  <c r="AI269" i="1"/>
  <c r="AK269" i="1" s="1"/>
  <c r="AJ269" i="1"/>
  <c r="AL269" i="1" s="1"/>
  <c r="AC270" i="1"/>
  <c r="AD270" i="1"/>
  <c r="AH270" i="1"/>
  <c r="AI270" i="1"/>
  <c r="AK270" i="1" s="1"/>
  <c r="AJ270" i="1"/>
  <c r="AL270" i="1"/>
  <c r="AC271" i="1"/>
  <c r="AD271" i="1"/>
  <c r="AH271" i="1"/>
  <c r="AI271" i="1"/>
  <c r="AJ271" i="1"/>
  <c r="AK271" i="1"/>
  <c r="AL271" i="1"/>
  <c r="AC272" i="1"/>
  <c r="AD272" i="1"/>
  <c r="AH272" i="1"/>
  <c r="AI272" i="1"/>
  <c r="AK272" i="1" s="1"/>
  <c r="AJ272" i="1"/>
  <c r="AL272" i="1" s="1"/>
  <c r="AC273" i="1"/>
  <c r="AD273" i="1"/>
  <c r="AH273" i="1"/>
  <c r="AI273" i="1"/>
  <c r="AK273" i="1" s="1"/>
  <c r="AJ273" i="1"/>
  <c r="AL273" i="1" s="1"/>
  <c r="AC694" i="1"/>
  <c r="AD694" i="1"/>
  <c r="AH694" i="1"/>
  <c r="AI694" i="1"/>
  <c r="AK694" i="1" s="1"/>
  <c r="AJ694" i="1"/>
  <c r="AL694" i="1" s="1"/>
  <c r="AC274" i="1"/>
  <c r="AD274" i="1"/>
  <c r="AH274" i="1"/>
  <c r="AI274" i="1"/>
  <c r="AK274" i="1" s="1"/>
  <c r="AJ274" i="1"/>
  <c r="AL274" i="1" s="1"/>
  <c r="AC275" i="1"/>
  <c r="AD275" i="1"/>
  <c r="AH275" i="1"/>
  <c r="AI275" i="1"/>
  <c r="AJ275" i="1"/>
  <c r="AL275" i="1" s="1"/>
  <c r="AK275" i="1"/>
  <c r="AC276" i="1"/>
  <c r="AD276" i="1"/>
  <c r="AH276" i="1"/>
  <c r="AI276" i="1"/>
  <c r="AK276" i="1" s="1"/>
  <c r="AJ276" i="1"/>
  <c r="AL276" i="1" s="1"/>
  <c r="AC277" i="1"/>
  <c r="AD277" i="1"/>
  <c r="AH277" i="1"/>
  <c r="AI277" i="1"/>
  <c r="AK277" i="1" s="1"/>
  <c r="AJ277" i="1"/>
  <c r="AL277" i="1" s="1"/>
  <c r="AC278" i="1"/>
  <c r="AD278" i="1"/>
  <c r="AH278" i="1"/>
  <c r="AI278" i="1"/>
  <c r="AK278" i="1" s="1"/>
  <c r="AJ278" i="1"/>
  <c r="AL278" i="1"/>
  <c r="AC279" i="1"/>
  <c r="AD279" i="1"/>
  <c r="AH279" i="1"/>
  <c r="AI279" i="1"/>
  <c r="AK279" i="1" s="1"/>
  <c r="AJ279" i="1"/>
  <c r="AL279" i="1" s="1"/>
  <c r="AC280" i="1"/>
  <c r="AD280" i="1"/>
  <c r="AH280" i="1"/>
  <c r="AI280" i="1"/>
  <c r="AJ280" i="1"/>
  <c r="AL280" i="1" s="1"/>
  <c r="AK280" i="1"/>
  <c r="AC695" i="1"/>
  <c r="AD695" i="1"/>
  <c r="AH695" i="1"/>
  <c r="AI695" i="1"/>
  <c r="AK695" i="1" s="1"/>
  <c r="AJ695" i="1"/>
  <c r="AL695" i="1" s="1"/>
  <c r="AC281" i="1"/>
  <c r="AD281" i="1"/>
  <c r="AH281" i="1"/>
  <c r="AI281" i="1"/>
  <c r="AK281" i="1" s="1"/>
  <c r="AJ281" i="1"/>
  <c r="AL281" i="1" s="1"/>
  <c r="AC696" i="1"/>
  <c r="AD696" i="1"/>
  <c r="AH696" i="1"/>
  <c r="AI696" i="1"/>
  <c r="AK696" i="1" s="1"/>
  <c r="AJ696" i="1"/>
  <c r="AL696" i="1"/>
  <c r="AC282" i="1"/>
  <c r="AD282" i="1"/>
  <c r="AH282" i="1"/>
  <c r="AI282" i="1"/>
  <c r="AK282" i="1" s="1"/>
  <c r="AJ282" i="1"/>
  <c r="AL282" i="1" s="1"/>
  <c r="AC283" i="1"/>
  <c r="AD283" i="1"/>
  <c r="AH283" i="1"/>
  <c r="AI283" i="1"/>
  <c r="AK283" i="1" s="1"/>
  <c r="AJ283" i="1"/>
  <c r="AL283" i="1" s="1"/>
  <c r="AC284" i="1"/>
  <c r="AD284" i="1"/>
  <c r="AH284" i="1"/>
  <c r="AI284" i="1"/>
  <c r="AK284" i="1" s="1"/>
  <c r="AJ284" i="1"/>
  <c r="AL284" i="1"/>
  <c r="AC285" i="1"/>
  <c r="AD285" i="1"/>
  <c r="AH285" i="1"/>
  <c r="AI285" i="1"/>
  <c r="AK285" i="1" s="1"/>
  <c r="AJ285" i="1"/>
  <c r="AL285" i="1" s="1"/>
  <c r="AC286" i="1"/>
  <c r="AD286" i="1"/>
  <c r="AH286" i="1"/>
  <c r="AI286" i="1"/>
  <c r="AK286" i="1" s="1"/>
  <c r="AJ286" i="1"/>
  <c r="AL286" i="1"/>
  <c r="AC697" i="1"/>
  <c r="AD697" i="1"/>
  <c r="AH697" i="1"/>
  <c r="AI697" i="1"/>
  <c r="AK697" i="1" s="1"/>
  <c r="AJ697" i="1"/>
  <c r="AL697" i="1" s="1"/>
  <c r="AC287" i="1"/>
  <c r="AD287" i="1"/>
  <c r="AH287" i="1"/>
  <c r="AI287" i="1"/>
  <c r="AK287" i="1" s="1"/>
  <c r="AJ287" i="1"/>
  <c r="AL287" i="1" s="1"/>
  <c r="AC288" i="1"/>
  <c r="AD288" i="1"/>
  <c r="AH288" i="1"/>
  <c r="AI288" i="1"/>
  <c r="AK288" i="1" s="1"/>
  <c r="AJ288" i="1"/>
  <c r="AL288" i="1" s="1"/>
  <c r="AC289" i="1"/>
  <c r="AD289" i="1"/>
  <c r="AH289" i="1"/>
  <c r="AI289" i="1"/>
  <c r="AK289" i="1" s="1"/>
  <c r="AJ289" i="1"/>
  <c r="AL289" i="1"/>
  <c r="AC290" i="1"/>
  <c r="AD290" i="1"/>
  <c r="AH290" i="1"/>
  <c r="AI290" i="1"/>
  <c r="AK290" i="1" s="1"/>
  <c r="AJ290" i="1"/>
  <c r="AL290" i="1" s="1"/>
  <c r="AC291" i="1"/>
  <c r="AD291" i="1"/>
  <c r="AH291" i="1"/>
  <c r="AI291" i="1"/>
  <c r="AJ291" i="1"/>
  <c r="AK291" i="1"/>
  <c r="AL291" i="1"/>
  <c r="AC292" i="1"/>
  <c r="AD292" i="1"/>
  <c r="AH292" i="1"/>
  <c r="AI292" i="1"/>
  <c r="AK292" i="1" s="1"/>
  <c r="AJ292" i="1"/>
  <c r="AL292" i="1"/>
  <c r="AC293" i="1"/>
  <c r="AD293" i="1"/>
  <c r="AH293" i="1"/>
  <c r="AI293" i="1"/>
  <c r="AJ293" i="1"/>
  <c r="AL293" i="1" s="1"/>
  <c r="AK293" i="1"/>
  <c r="AC294" i="1"/>
  <c r="AD294" i="1"/>
  <c r="AH294" i="1"/>
  <c r="AI294" i="1"/>
  <c r="AK294" i="1" s="1"/>
  <c r="AJ294" i="1"/>
  <c r="AL294" i="1" s="1"/>
  <c r="AC295" i="1"/>
  <c r="AD295" i="1"/>
  <c r="AH295" i="1"/>
  <c r="AI295" i="1"/>
  <c r="AJ295" i="1"/>
  <c r="AL295" i="1" s="1"/>
  <c r="AK295" i="1"/>
  <c r="AC296" i="1"/>
  <c r="AD296" i="1"/>
  <c r="AH296" i="1"/>
  <c r="AI296" i="1"/>
  <c r="AK296" i="1" s="1"/>
  <c r="AJ296" i="1"/>
  <c r="AL296" i="1" s="1"/>
  <c r="AC297" i="1"/>
  <c r="AD297" i="1"/>
  <c r="AH297" i="1"/>
  <c r="AI297" i="1"/>
  <c r="AK297" i="1" s="1"/>
  <c r="AJ297" i="1"/>
  <c r="AL297" i="1" s="1"/>
  <c r="AC698" i="1"/>
  <c r="AD698" i="1"/>
  <c r="AH698" i="1"/>
  <c r="AI698" i="1"/>
  <c r="AK698" i="1" s="1"/>
  <c r="AJ698" i="1"/>
  <c r="AL698" i="1" s="1"/>
  <c r="AC699" i="1"/>
  <c r="AD699" i="1"/>
  <c r="AH699" i="1"/>
  <c r="AI699" i="1"/>
  <c r="AK699" i="1" s="1"/>
  <c r="AJ699" i="1"/>
  <c r="AL699" i="1" s="1"/>
  <c r="AC700" i="1"/>
  <c r="AD700" i="1"/>
  <c r="AH700" i="1"/>
  <c r="AI700" i="1"/>
  <c r="AK700" i="1" s="1"/>
  <c r="AJ700" i="1"/>
  <c r="AL700" i="1" s="1"/>
  <c r="AC298" i="1"/>
  <c r="AD298" i="1"/>
  <c r="AH298" i="1"/>
  <c r="AI298" i="1"/>
  <c r="AJ298" i="1"/>
  <c r="AL298" i="1" s="1"/>
  <c r="AK298" i="1"/>
  <c r="AC701" i="1"/>
  <c r="AD701" i="1"/>
  <c r="AH701" i="1"/>
  <c r="AI701" i="1"/>
  <c r="AK701" i="1" s="1"/>
  <c r="AJ701" i="1"/>
  <c r="AL701" i="1" s="1"/>
  <c r="AC299" i="1"/>
  <c r="AD299" i="1"/>
  <c r="AH299" i="1"/>
  <c r="AI299" i="1"/>
  <c r="AK299" i="1" s="1"/>
  <c r="AJ299" i="1"/>
  <c r="AL299" i="1"/>
  <c r="AC300" i="1"/>
  <c r="AD300" i="1"/>
  <c r="AH300" i="1"/>
  <c r="AI300" i="1"/>
  <c r="AK300" i="1" s="1"/>
  <c r="AJ300" i="1"/>
  <c r="AL300" i="1" s="1"/>
  <c r="AC301" i="1"/>
  <c r="AD301" i="1"/>
  <c r="AH301" i="1"/>
  <c r="AI301" i="1"/>
  <c r="AK301" i="1" s="1"/>
  <c r="AJ301" i="1"/>
  <c r="AL301" i="1" s="1"/>
  <c r="AC302" i="1"/>
  <c r="AD302" i="1"/>
  <c r="AH302" i="1"/>
  <c r="AI302" i="1"/>
  <c r="AK302" i="1" s="1"/>
  <c r="AJ302" i="1"/>
  <c r="AL302" i="1" s="1"/>
  <c r="AC303" i="1"/>
  <c r="AD303" i="1"/>
  <c r="AH303" i="1"/>
  <c r="AI303" i="1"/>
  <c r="AK303" i="1" s="1"/>
  <c r="AJ303" i="1"/>
  <c r="AL303" i="1" s="1"/>
  <c r="AC304" i="1"/>
  <c r="AD304" i="1"/>
  <c r="AH304" i="1"/>
  <c r="AI304" i="1"/>
  <c r="AJ304" i="1"/>
  <c r="AK304" i="1"/>
  <c r="AL304" i="1"/>
  <c r="AC305" i="1"/>
  <c r="AD305" i="1"/>
  <c r="AH305" i="1"/>
  <c r="AI305" i="1"/>
  <c r="AK305" i="1" s="1"/>
  <c r="AJ305" i="1"/>
  <c r="AL305" i="1" s="1"/>
  <c r="AC306" i="1"/>
  <c r="AD306" i="1"/>
  <c r="AH306" i="1"/>
  <c r="AI306" i="1"/>
  <c r="AK306" i="1" s="1"/>
  <c r="AJ306" i="1"/>
  <c r="AL306" i="1" s="1"/>
  <c r="AC307" i="1"/>
  <c r="AD307" i="1"/>
  <c r="AH307" i="1"/>
  <c r="AI307" i="1"/>
  <c r="AK307" i="1" s="1"/>
  <c r="AJ307" i="1"/>
  <c r="AL307" i="1" s="1"/>
  <c r="AC308" i="1"/>
  <c r="AD308" i="1"/>
  <c r="AH308" i="1"/>
  <c r="AI308" i="1"/>
  <c r="AK308" i="1" s="1"/>
  <c r="AJ308" i="1"/>
  <c r="AL308" i="1" s="1"/>
  <c r="AC309" i="1"/>
  <c r="AD309" i="1"/>
  <c r="AH309" i="1"/>
  <c r="AI309" i="1"/>
  <c r="AK309" i="1" s="1"/>
  <c r="AJ309" i="1"/>
  <c r="AL309" i="1" s="1"/>
  <c r="AC310" i="1"/>
  <c r="AD310" i="1"/>
  <c r="AH310" i="1"/>
  <c r="AI310" i="1"/>
  <c r="AK310" i="1" s="1"/>
  <c r="AJ310" i="1"/>
  <c r="AL310" i="1" s="1"/>
  <c r="AC311" i="1"/>
  <c r="AD311" i="1"/>
  <c r="AH311" i="1"/>
  <c r="AI311" i="1"/>
  <c r="AK311" i="1" s="1"/>
  <c r="AJ311" i="1"/>
  <c r="AL311" i="1" s="1"/>
  <c r="AC312" i="1"/>
  <c r="AD312" i="1"/>
  <c r="AH312" i="1"/>
  <c r="AI312" i="1"/>
  <c r="AJ312" i="1"/>
  <c r="AL312" i="1" s="1"/>
  <c r="AK312" i="1"/>
  <c r="AC313" i="1"/>
  <c r="AD313" i="1"/>
  <c r="AH313" i="1"/>
  <c r="AI313" i="1"/>
  <c r="AK313" i="1" s="1"/>
  <c r="AJ313" i="1"/>
  <c r="AL313" i="1"/>
  <c r="AC314" i="1"/>
  <c r="AD314" i="1"/>
  <c r="AH314" i="1"/>
  <c r="AI314" i="1"/>
  <c r="AK314" i="1" s="1"/>
  <c r="AJ314" i="1"/>
  <c r="AL314" i="1" s="1"/>
  <c r="AC315" i="1"/>
  <c r="AD315" i="1"/>
  <c r="AH315" i="1"/>
  <c r="AI315" i="1"/>
  <c r="AK315" i="1" s="1"/>
  <c r="AJ315" i="1"/>
  <c r="AL315" i="1"/>
  <c r="AC702" i="1"/>
  <c r="AD702" i="1"/>
  <c r="AH702" i="1"/>
  <c r="AI702" i="1"/>
  <c r="AJ702" i="1"/>
  <c r="AL702" i="1" s="1"/>
  <c r="AK702" i="1"/>
  <c r="AC703" i="1"/>
  <c r="AD703" i="1"/>
  <c r="AH703" i="1"/>
  <c r="AI703" i="1"/>
  <c r="AK703" i="1" s="1"/>
  <c r="AJ703" i="1"/>
  <c r="AL703" i="1" s="1"/>
  <c r="AC316" i="1"/>
  <c r="AD316" i="1"/>
  <c r="AH316" i="1"/>
  <c r="AI316" i="1"/>
  <c r="AK316" i="1" s="1"/>
  <c r="AJ316" i="1"/>
  <c r="AL316" i="1"/>
  <c r="AC317" i="1"/>
  <c r="AD317" i="1"/>
  <c r="AH317" i="1"/>
  <c r="AI317" i="1"/>
  <c r="AK317" i="1" s="1"/>
  <c r="AJ317" i="1"/>
  <c r="AL317" i="1" s="1"/>
  <c r="AC318" i="1"/>
  <c r="AD318" i="1"/>
  <c r="AH318" i="1"/>
  <c r="AI318" i="1"/>
  <c r="AK318" i="1" s="1"/>
  <c r="AJ318" i="1"/>
  <c r="AL318" i="1"/>
  <c r="AC319" i="1"/>
  <c r="AD319" i="1"/>
  <c r="AH319" i="1"/>
  <c r="AI319" i="1"/>
  <c r="AK319" i="1" s="1"/>
  <c r="AJ319" i="1"/>
  <c r="AL319" i="1" s="1"/>
  <c r="AC320" i="1"/>
  <c r="AD320" i="1"/>
  <c r="AH320" i="1"/>
  <c r="AI320" i="1"/>
  <c r="AK320" i="1" s="1"/>
  <c r="AJ320" i="1"/>
  <c r="AL320" i="1" s="1"/>
  <c r="AC321" i="1"/>
  <c r="AD321" i="1"/>
  <c r="AH321" i="1"/>
  <c r="AI321" i="1"/>
  <c r="AK321" i="1" s="1"/>
  <c r="AJ321" i="1"/>
  <c r="AL321" i="1" s="1"/>
  <c r="AC322" i="1"/>
  <c r="AD322" i="1"/>
  <c r="AH322" i="1"/>
  <c r="AI322" i="1"/>
  <c r="AK322" i="1" s="1"/>
  <c r="AJ322" i="1"/>
  <c r="AL322" i="1"/>
  <c r="AC323" i="1"/>
  <c r="AD323" i="1"/>
  <c r="AH323" i="1"/>
  <c r="AI323" i="1"/>
  <c r="AK323" i="1" s="1"/>
  <c r="AJ323" i="1"/>
  <c r="AL323" i="1" s="1"/>
  <c r="AC324" i="1"/>
  <c r="AD324" i="1"/>
  <c r="AH324" i="1"/>
  <c r="AI324" i="1"/>
  <c r="AK324" i="1" s="1"/>
  <c r="AJ324" i="1"/>
  <c r="AL324" i="1" s="1"/>
  <c r="AC325" i="1"/>
  <c r="AD325" i="1"/>
  <c r="AH325" i="1"/>
  <c r="AI325" i="1"/>
  <c r="AK325" i="1" s="1"/>
  <c r="AJ325" i="1"/>
  <c r="AL325" i="1" s="1"/>
  <c r="AC326" i="1"/>
  <c r="AD326" i="1"/>
  <c r="AH326" i="1"/>
  <c r="AI326" i="1"/>
  <c r="AK326" i="1" s="1"/>
  <c r="AJ326" i="1"/>
  <c r="AL326" i="1" s="1"/>
  <c r="AC327" i="1"/>
  <c r="AD327" i="1"/>
  <c r="AH327" i="1"/>
  <c r="AI327" i="1"/>
  <c r="AK327" i="1" s="1"/>
  <c r="AJ327" i="1"/>
  <c r="AL327" i="1" s="1"/>
  <c r="AC328" i="1"/>
  <c r="AD328" i="1"/>
  <c r="AH328" i="1"/>
  <c r="AI328" i="1"/>
  <c r="AK328" i="1" s="1"/>
  <c r="AJ328" i="1"/>
  <c r="AL328" i="1" s="1"/>
  <c r="AC329" i="1"/>
  <c r="AD329" i="1"/>
  <c r="AH329" i="1"/>
  <c r="AI329" i="1"/>
  <c r="AJ329" i="1"/>
  <c r="AL329" i="1" s="1"/>
  <c r="AK329" i="1"/>
  <c r="AC330" i="1"/>
  <c r="AD330" i="1"/>
  <c r="AH330" i="1"/>
  <c r="AI330" i="1"/>
  <c r="AK330" i="1" s="1"/>
  <c r="AJ330" i="1"/>
  <c r="AL330" i="1"/>
  <c r="AC331" i="1"/>
  <c r="AD331" i="1"/>
  <c r="AH331" i="1"/>
  <c r="AI331" i="1"/>
  <c r="AK331" i="1" s="1"/>
  <c r="AJ331" i="1"/>
  <c r="AL331" i="1" s="1"/>
  <c r="AC332" i="1"/>
  <c r="AD332" i="1"/>
  <c r="AH332" i="1"/>
  <c r="AI332" i="1"/>
  <c r="AJ332" i="1"/>
  <c r="AL332" i="1" s="1"/>
  <c r="AK332" i="1"/>
  <c r="AC333" i="1"/>
  <c r="AD333" i="1"/>
  <c r="AH333" i="1"/>
  <c r="AI333" i="1"/>
  <c r="AK333" i="1" s="1"/>
  <c r="AJ333" i="1"/>
  <c r="AL333" i="1" s="1"/>
  <c r="AC334" i="1"/>
  <c r="AD334" i="1"/>
  <c r="AH334" i="1"/>
  <c r="AI334" i="1"/>
  <c r="AK334" i="1" s="1"/>
  <c r="AJ334" i="1"/>
  <c r="AL334" i="1"/>
  <c r="AC335" i="1"/>
  <c r="AD335" i="1"/>
  <c r="AH335" i="1"/>
  <c r="AI335" i="1"/>
  <c r="AK335" i="1" s="1"/>
  <c r="AJ335" i="1"/>
  <c r="AL335" i="1" s="1"/>
  <c r="AC336" i="1"/>
  <c r="AD336" i="1"/>
  <c r="AH336" i="1"/>
  <c r="AI336" i="1"/>
  <c r="AK336" i="1" s="1"/>
  <c r="AJ336" i="1"/>
  <c r="AL336" i="1" s="1"/>
  <c r="AC337" i="1"/>
  <c r="AD337" i="1"/>
  <c r="AH337" i="1"/>
  <c r="AI337" i="1"/>
  <c r="AK337" i="1" s="1"/>
  <c r="AJ337" i="1"/>
  <c r="AL337" i="1" s="1"/>
  <c r="AC338" i="1"/>
  <c r="AD338" i="1"/>
  <c r="AH338" i="1"/>
  <c r="AI338" i="1"/>
  <c r="AK338" i="1" s="1"/>
  <c r="AJ338" i="1"/>
  <c r="AL338" i="1" s="1"/>
  <c r="AC339" i="1"/>
  <c r="AD339" i="1"/>
  <c r="AH339" i="1"/>
  <c r="AI339" i="1"/>
  <c r="AK339" i="1" s="1"/>
  <c r="AJ339" i="1"/>
  <c r="AL339" i="1" s="1"/>
  <c r="AC7" i="1"/>
  <c r="AD7" i="1"/>
  <c r="AH7" i="1"/>
  <c r="AI7" i="1"/>
  <c r="AK7" i="1" s="1"/>
  <c r="AJ7" i="1"/>
  <c r="AL7" i="1" s="1"/>
  <c r="AC340" i="1"/>
  <c r="AD340" i="1"/>
  <c r="AH340" i="1"/>
  <c r="AI340" i="1"/>
  <c r="AJ340" i="1"/>
  <c r="AK340" i="1"/>
  <c r="AL340" i="1"/>
  <c r="AC341" i="1"/>
  <c r="AD341" i="1"/>
  <c r="AH341" i="1"/>
  <c r="AI341" i="1"/>
  <c r="AK341" i="1" s="1"/>
  <c r="AJ341" i="1"/>
  <c r="AL341" i="1" s="1"/>
  <c r="AC342" i="1"/>
  <c r="AD342" i="1"/>
  <c r="AH342" i="1"/>
  <c r="AI342" i="1"/>
  <c r="AK342" i="1" s="1"/>
  <c r="AJ342" i="1"/>
  <c r="AL342" i="1" s="1"/>
  <c r="AC343" i="1"/>
  <c r="AD343" i="1"/>
  <c r="AH343" i="1"/>
  <c r="AI343" i="1"/>
  <c r="AK343" i="1" s="1"/>
  <c r="AJ343" i="1"/>
  <c r="AL343" i="1" s="1"/>
  <c r="AC344" i="1"/>
  <c r="AD344" i="1"/>
  <c r="AH344" i="1"/>
  <c r="AI344" i="1"/>
  <c r="AK344" i="1" s="1"/>
  <c r="AJ344" i="1"/>
  <c r="AL344" i="1" s="1"/>
  <c r="AC345" i="1"/>
  <c r="AD345" i="1"/>
  <c r="AH345" i="1"/>
  <c r="AI345" i="1"/>
  <c r="AK345" i="1" s="1"/>
  <c r="AJ345" i="1"/>
  <c r="AL345" i="1"/>
  <c r="AC346" i="1"/>
  <c r="AD346" i="1"/>
  <c r="AH346" i="1"/>
  <c r="AI346" i="1"/>
  <c r="AK346" i="1" s="1"/>
  <c r="AJ346" i="1"/>
  <c r="AL346" i="1" s="1"/>
  <c r="AC347" i="1"/>
  <c r="AD347" i="1"/>
  <c r="AH347" i="1"/>
  <c r="AI347" i="1"/>
  <c r="AK347" i="1" s="1"/>
  <c r="AJ347" i="1"/>
  <c r="AL347" i="1" s="1"/>
  <c r="AC348" i="1"/>
  <c r="AD348" i="1"/>
  <c r="AH348" i="1"/>
  <c r="AI348" i="1"/>
  <c r="AJ348" i="1"/>
  <c r="AL348" i="1" s="1"/>
  <c r="AK348" i="1"/>
  <c r="AC349" i="1"/>
  <c r="AD349" i="1"/>
  <c r="AH349" i="1"/>
  <c r="AI349" i="1"/>
  <c r="AK349" i="1" s="1"/>
  <c r="AJ349" i="1"/>
  <c r="AL349" i="1" s="1"/>
  <c r="AC350" i="1"/>
  <c r="AD350" i="1"/>
  <c r="AH350" i="1"/>
  <c r="AI350" i="1"/>
  <c r="AK350" i="1" s="1"/>
  <c r="AJ350" i="1"/>
  <c r="AL350" i="1"/>
  <c r="AC351" i="1"/>
  <c r="AD351" i="1"/>
  <c r="AH351" i="1"/>
  <c r="AI351" i="1"/>
  <c r="AK351" i="1" s="1"/>
  <c r="AJ351" i="1"/>
  <c r="AL351" i="1" s="1"/>
  <c r="AC704" i="1"/>
  <c r="AD704" i="1"/>
  <c r="AH704" i="1"/>
  <c r="AI704" i="1"/>
  <c r="AK704" i="1" s="1"/>
  <c r="AJ704" i="1"/>
  <c r="AL704" i="1"/>
  <c r="AC352" i="1"/>
  <c r="AD352" i="1"/>
  <c r="AH352" i="1"/>
  <c r="AI352" i="1"/>
  <c r="AK352" i="1" s="1"/>
  <c r="AJ352" i="1"/>
  <c r="AL352" i="1" s="1"/>
  <c r="AC353" i="1"/>
  <c r="AD353" i="1"/>
  <c r="AH353" i="1"/>
  <c r="AI353" i="1"/>
  <c r="AK353" i="1" s="1"/>
  <c r="AJ353" i="1"/>
  <c r="AL353" i="1" s="1"/>
  <c r="AC354" i="1"/>
  <c r="AD354" i="1"/>
  <c r="AH354" i="1"/>
  <c r="AI354" i="1"/>
  <c r="AK354" i="1" s="1"/>
  <c r="AJ354" i="1"/>
  <c r="AL354" i="1" s="1"/>
  <c r="AC355" i="1"/>
  <c r="AD355" i="1"/>
  <c r="AH355" i="1"/>
  <c r="AI355" i="1"/>
  <c r="AK355" i="1" s="1"/>
  <c r="AJ355" i="1"/>
  <c r="AL355" i="1" s="1"/>
  <c r="AC356" i="1"/>
  <c r="AD356" i="1"/>
  <c r="AH356" i="1"/>
  <c r="AI356" i="1"/>
  <c r="AK356" i="1" s="1"/>
  <c r="AJ356" i="1"/>
  <c r="AL356" i="1" s="1"/>
  <c r="AC357" i="1"/>
  <c r="AD357" i="1"/>
  <c r="AH357" i="1"/>
  <c r="AI357" i="1"/>
  <c r="AK357" i="1" s="1"/>
  <c r="AJ357" i="1"/>
  <c r="AL357" i="1" s="1"/>
  <c r="AC358" i="1"/>
  <c r="AD358" i="1"/>
  <c r="AH358" i="1"/>
  <c r="AI358" i="1"/>
  <c r="AK358" i="1" s="1"/>
  <c r="AJ358" i="1"/>
  <c r="AL358" i="1" s="1"/>
  <c r="AC359" i="1"/>
  <c r="AD359" i="1"/>
  <c r="AH359" i="1"/>
  <c r="AI359" i="1"/>
  <c r="AK359" i="1" s="1"/>
  <c r="AJ359" i="1"/>
  <c r="AL359" i="1" s="1"/>
  <c r="AC360" i="1"/>
  <c r="AD360" i="1"/>
  <c r="AH360" i="1"/>
  <c r="AI360" i="1"/>
  <c r="AJ360" i="1"/>
  <c r="AL360" i="1" s="1"/>
  <c r="AK360" i="1"/>
  <c r="AC361" i="1"/>
  <c r="AD361" i="1"/>
  <c r="AH361" i="1"/>
  <c r="AI361" i="1"/>
  <c r="AK361" i="1" s="1"/>
  <c r="AJ361" i="1"/>
  <c r="AL361" i="1" s="1"/>
  <c r="AC362" i="1"/>
  <c r="AD362" i="1"/>
  <c r="AH362" i="1"/>
  <c r="AI362" i="1"/>
  <c r="AK362" i="1" s="1"/>
  <c r="AJ362" i="1"/>
  <c r="AL362" i="1" s="1"/>
  <c r="AC363" i="1"/>
  <c r="AD363" i="1"/>
  <c r="AH363" i="1"/>
  <c r="AI363" i="1"/>
  <c r="AK363" i="1" s="1"/>
  <c r="AJ363" i="1"/>
  <c r="AL363" i="1" s="1"/>
  <c r="AC364" i="1"/>
  <c r="AD364" i="1"/>
  <c r="AH364" i="1"/>
  <c r="AI364" i="1"/>
  <c r="AK364" i="1" s="1"/>
  <c r="AJ364" i="1"/>
  <c r="AL364" i="1"/>
  <c r="AC365" i="1"/>
  <c r="AD365" i="1"/>
  <c r="AH365" i="1"/>
  <c r="AI365" i="1"/>
  <c r="AJ365" i="1"/>
  <c r="AK365" i="1"/>
  <c r="AL365" i="1"/>
  <c r="AC366" i="1"/>
  <c r="AD366" i="1"/>
  <c r="AH366" i="1"/>
  <c r="AI366" i="1"/>
  <c r="AK366" i="1" s="1"/>
  <c r="AJ366" i="1"/>
  <c r="AL366" i="1" s="1"/>
  <c r="AC367" i="1"/>
  <c r="AD367" i="1"/>
  <c r="AH367" i="1"/>
  <c r="AI367" i="1"/>
  <c r="AK367" i="1" s="1"/>
  <c r="AJ367" i="1"/>
  <c r="AL367" i="1"/>
  <c r="AC368" i="1"/>
  <c r="AD368" i="1"/>
  <c r="AH368" i="1"/>
  <c r="AI368" i="1"/>
  <c r="AK368" i="1" s="1"/>
  <c r="AJ368" i="1"/>
  <c r="AL368" i="1" s="1"/>
  <c r="AC8" i="1"/>
  <c r="AD8" i="1"/>
  <c r="AH8" i="1"/>
  <c r="AI8" i="1"/>
  <c r="AJ8" i="1"/>
  <c r="AL8" i="1" s="1"/>
  <c r="AK8" i="1"/>
  <c r="AC369" i="1"/>
  <c r="AD369" i="1"/>
  <c r="AH369" i="1"/>
  <c r="AI369" i="1"/>
  <c r="AK369" i="1" s="1"/>
  <c r="AJ369" i="1"/>
  <c r="AL369" i="1" s="1"/>
  <c r="AC370" i="1"/>
  <c r="AD370" i="1"/>
  <c r="AH370" i="1"/>
  <c r="AI370" i="1"/>
  <c r="AK370" i="1" s="1"/>
  <c r="AJ370" i="1"/>
  <c r="AL370" i="1"/>
  <c r="AC371" i="1"/>
  <c r="AD371" i="1"/>
  <c r="AH371" i="1"/>
  <c r="AI371" i="1"/>
  <c r="AK371" i="1" s="1"/>
  <c r="AJ371" i="1"/>
  <c r="AL371" i="1" s="1"/>
  <c r="AC372" i="1"/>
  <c r="AD372" i="1"/>
  <c r="AH372" i="1"/>
  <c r="AI372" i="1"/>
  <c r="AK372" i="1" s="1"/>
  <c r="AJ372" i="1"/>
  <c r="AL372" i="1" s="1"/>
  <c r="AC373" i="1"/>
  <c r="AD373" i="1"/>
  <c r="AH373" i="1"/>
  <c r="AI373" i="1"/>
  <c r="AK373" i="1" s="1"/>
  <c r="AJ373" i="1"/>
  <c r="AL373" i="1" s="1"/>
  <c r="AC374" i="1"/>
  <c r="AD374" i="1"/>
  <c r="AH374" i="1"/>
  <c r="AI374" i="1"/>
  <c r="AK374" i="1" s="1"/>
  <c r="AJ374" i="1"/>
  <c r="AL374" i="1" s="1"/>
  <c r="AC375" i="1"/>
  <c r="AD375" i="1"/>
  <c r="AH375" i="1"/>
  <c r="AI375" i="1"/>
  <c r="AK375" i="1" s="1"/>
  <c r="AJ375" i="1"/>
  <c r="AL375" i="1" s="1"/>
  <c r="AC376" i="1"/>
  <c r="AD376" i="1"/>
  <c r="AH376" i="1"/>
  <c r="AI376" i="1"/>
  <c r="AK376" i="1" s="1"/>
  <c r="AJ376" i="1"/>
  <c r="AL376" i="1"/>
  <c r="AC377" i="1"/>
  <c r="AD377" i="1"/>
  <c r="AH377" i="1"/>
  <c r="AI377" i="1"/>
  <c r="AK377" i="1" s="1"/>
  <c r="AJ377" i="1"/>
  <c r="AL377" i="1" s="1"/>
  <c r="AC705" i="1"/>
  <c r="AD705" i="1"/>
  <c r="AH705" i="1"/>
  <c r="AI705" i="1"/>
  <c r="AK705" i="1" s="1"/>
  <c r="AJ705" i="1"/>
  <c r="AL705" i="1"/>
  <c r="AC706" i="1"/>
  <c r="AD706" i="1"/>
  <c r="AH706" i="1"/>
  <c r="AI706" i="1"/>
  <c r="AK706" i="1" s="1"/>
  <c r="AJ706" i="1"/>
  <c r="AL706" i="1" s="1"/>
  <c r="AC707" i="1"/>
  <c r="AD707" i="1"/>
  <c r="AH707" i="1"/>
  <c r="AI707" i="1"/>
  <c r="AK707" i="1" s="1"/>
  <c r="AJ707" i="1"/>
  <c r="AL707" i="1" s="1"/>
  <c r="AC378" i="1"/>
  <c r="AD378" i="1"/>
  <c r="AH378" i="1"/>
  <c r="AI378" i="1"/>
  <c r="AK378" i="1" s="1"/>
  <c r="AJ378" i="1"/>
  <c r="AL378" i="1"/>
  <c r="AC379" i="1"/>
  <c r="AD379" i="1"/>
  <c r="AH379" i="1"/>
  <c r="AI379" i="1"/>
  <c r="AK379" i="1" s="1"/>
  <c r="AJ379" i="1"/>
  <c r="AL379" i="1" s="1"/>
  <c r="AC380" i="1"/>
  <c r="AD380" i="1"/>
  <c r="AH380" i="1"/>
  <c r="AI380" i="1"/>
  <c r="AK380" i="1" s="1"/>
  <c r="AJ380" i="1"/>
  <c r="AL380" i="1" s="1"/>
  <c r="AC381" i="1"/>
  <c r="AD381" i="1"/>
  <c r="AH381" i="1"/>
  <c r="AI381" i="1"/>
  <c r="AK381" i="1" s="1"/>
  <c r="AJ381" i="1"/>
  <c r="AL381" i="1" s="1"/>
  <c r="AC382" i="1"/>
  <c r="AD382" i="1"/>
  <c r="AH382" i="1"/>
  <c r="AI382" i="1"/>
  <c r="AK382" i="1" s="1"/>
  <c r="AJ382" i="1"/>
  <c r="AL382" i="1" s="1"/>
  <c r="AC383" i="1"/>
  <c r="AD383" i="1"/>
  <c r="AH383" i="1"/>
  <c r="AI383" i="1"/>
  <c r="AK383" i="1" s="1"/>
  <c r="AJ383" i="1"/>
  <c r="AL383" i="1" s="1"/>
  <c r="AC384" i="1"/>
  <c r="AD384" i="1"/>
  <c r="AH384" i="1"/>
  <c r="AI384" i="1"/>
  <c r="AK384" i="1" s="1"/>
  <c r="AJ384" i="1"/>
  <c r="AL384" i="1" s="1"/>
  <c r="AC385" i="1"/>
  <c r="AD385" i="1"/>
  <c r="AH385" i="1"/>
  <c r="AI385" i="1"/>
  <c r="AK385" i="1" s="1"/>
  <c r="AJ385" i="1"/>
  <c r="AL385" i="1" s="1"/>
  <c r="AC386" i="1"/>
  <c r="AD386" i="1"/>
  <c r="AH386" i="1"/>
  <c r="AI386" i="1"/>
  <c r="AK386" i="1" s="1"/>
  <c r="AJ386" i="1"/>
  <c r="AL386" i="1" s="1"/>
  <c r="AC387" i="1"/>
  <c r="AD387" i="1"/>
  <c r="AH387" i="1"/>
  <c r="AI387" i="1"/>
  <c r="AJ387" i="1"/>
  <c r="AL387" i="1" s="1"/>
  <c r="AK387" i="1"/>
  <c r="AC388" i="1"/>
  <c r="AD388" i="1"/>
  <c r="AH388" i="1"/>
  <c r="AI388" i="1"/>
  <c r="AK388" i="1" s="1"/>
  <c r="AJ388" i="1"/>
  <c r="AL388" i="1"/>
  <c r="AC708" i="1"/>
  <c r="AD708" i="1"/>
  <c r="AH708" i="1"/>
  <c r="AI708" i="1"/>
  <c r="AK708" i="1" s="1"/>
  <c r="AJ708" i="1"/>
  <c r="AL708" i="1" s="1"/>
  <c r="AC709" i="1"/>
  <c r="AD709" i="1"/>
  <c r="AH709" i="1"/>
  <c r="AI709" i="1"/>
  <c r="AK709" i="1" s="1"/>
  <c r="AJ709" i="1"/>
  <c r="AL709" i="1" s="1"/>
  <c r="AC389" i="1"/>
  <c r="AD389" i="1"/>
  <c r="AH389" i="1"/>
  <c r="AI389" i="1"/>
  <c r="AK389" i="1" s="1"/>
  <c r="AJ389" i="1"/>
  <c r="AL389" i="1" s="1"/>
  <c r="AC390" i="1"/>
  <c r="AD390" i="1"/>
  <c r="AH390" i="1"/>
  <c r="AI390" i="1"/>
  <c r="AK390" i="1" s="1"/>
  <c r="AJ390" i="1"/>
  <c r="AL390" i="1" s="1"/>
  <c r="AC391" i="1"/>
  <c r="AD391" i="1"/>
  <c r="AH391" i="1"/>
  <c r="AI391" i="1"/>
  <c r="AK391" i="1" s="1"/>
  <c r="AJ391" i="1"/>
  <c r="AL391" i="1" s="1"/>
  <c r="AC392" i="1"/>
  <c r="AD392" i="1"/>
  <c r="AH392" i="1"/>
  <c r="AI392" i="1"/>
  <c r="AK392" i="1" s="1"/>
  <c r="AJ392" i="1"/>
  <c r="AL392" i="1" s="1"/>
  <c r="AC393" i="1"/>
  <c r="AD393" i="1"/>
  <c r="AH393" i="1"/>
  <c r="AI393" i="1"/>
  <c r="AJ393" i="1"/>
  <c r="AL393" i="1" s="1"/>
  <c r="AK393" i="1"/>
  <c r="AC394" i="1"/>
  <c r="AD394" i="1"/>
  <c r="AH394" i="1"/>
  <c r="AI394" i="1"/>
  <c r="AK394" i="1" s="1"/>
  <c r="AJ394" i="1"/>
  <c r="AL394" i="1" s="1"/>
  <c r="AC710" i="1"/>
  <c r="AD710" i="1"/>
  <c r="AH710" i="1"/>
  <c r="AI710" i="1"/>
  <c r="AK710" i="1" s="1"/>
  <c r="AJ710" i="1"/>
  <c r="AL710" i="1"/>
  <c r="AC395" i="1"/>
  <c r="AD395" i="1"/>
  <c r="AH395" i="1"/>
  <c r="AI395" i="1"/>
  <c r="AK395" i="1" s="1"/>
  <c r="AJ395" i="1"/>
  <c r="AL395" i="1" s="1"/>
  <c r="AC396" i="1"/>
  <c r="AD396" i="1"/>
  <c r="AH396" i="1"/>
  <c r="AI396" i="1"/>
  <c r="AK396" i="1" s="1"/>
  <c r="AJ396" i="1"/>
  <c r="AL396" i="1" s="1"/>
  <c r="AC397" i="1"/>
  <c r="AD397" i="1"/>
  <c r="AH397" i="1"/>
  <c r="AI397" i="1"/>
  <c r="AJ397" i="1"/>
  <c r="AK397" i="1"/>
  <c r="AL397" i="1"/>
  <c r="AC398" i="1"/>
  <c r="AD398" i="1"/>
  <c r="AH398" i="1"/>
  <c r="AI398" i="1"/>
  <c r="AK398" i="1" s="1"/>
  <c r="AJ398" i="1"/>
  <c r="AL398" i="1" s="1"/>
  <c r="AC399" i="1"/>
  <c r="AD399" i="1"/>
  <c r="AH399" i="1"/>
  <c r="AI399" i="1"/>
  <c r="AK399" i="1" s="1"/>
  <c r="AJ399" i="1"/>
  <c r="AL399" i="1" s="1"/>
  <c r="AC711" i="1"/>
  <c r="AD711" i="1"/>
  <c r="AH711" i="1"/>
  <c r="AI711" i="1"/>
  <c r="AK711" i="1" s="1"/>
  <c r="AJ711" i="1"/>
  <c r="AL711" i="1" s="1"/>
  <c r="AC400" i="1"/>
  <c r="AD400" i="1"/>
  <c r="AH400" i="1"/>
  <c r="AI400" i="1"/>
  <c r="AK400" i="1" s="1"/>
  <c r="AJ400" i="1"/>
  <c r="AL400" i="1" s="1"/>
  <c r="AC401" i="1"/>
  <c r="AD401" i="1"/>
  <c r="AH401" i="1"/>
  <c r="AI401" i="1"/>
  <c r="AK401" i="1" s="1"/>
  <c r="AJ401" i="1"/>
  <c r="AL401" i="1" s="1"/>
  <c r="AC402" i="1"/>
  <c r="AD402" i="1"/>
  <c r="AH402" i="1"/>
  <c r="AI402" i="1"/>
  <c r="AK402" i="1" s="1"/>
  <c r="AJ402" i="1"/>
  <c r="AL402" i="1" s="1"/>
  <c r="AC403" i="1"/>
  <c r="AD403" i="1"/>
  <c r="AH403" i="1"/>
  <c r="AI403" i="1"/>
  <c r="AK403" i="1" s="1"/>
  <c r="AJ403" i="1"/>
  <c r="AL403" i="1" s="1"/>
  <c r="AC404" i="1"/>
  <c r="AD404" i="1"/>
  <c r="AH404" i="1"/>
  <c r="AI404" i="1"/>
  <c r="AK404" i="1" s="1"/>
  <c r="AJ404" i="1"/>
  <c r="AL404" i="1" s="1"/>
  <c r="AC405" i="1"/>
  <c r="AD405" i="1"/>
  <c r="AH405" i="1"/>
  <c r="AI405" i="1"/>
  <c r="AJ405" i="1"/>
  <c r="AL405" i="1" s="1"/>
  <c r="AK405" i="1"/>
  <c r="AC406" i="1"/>
  <c r="AD406" i="1"/>
  <c r="AH406" i="1"/>
  <c r="AI406" i="1"/>
  <c r="AJ406" i="1"/>
  <c r="AL406" i="1" s="1"/>
  <c r="AK406" i="1"/>
  <c r="AC407" i="1"/>
  <c r="AD407" i="1"/>
  <c r="AH407" i="1"/>
  <c r="AI407" i="1"/>
  <c r="AK407" i="1" s="1"/>
  <c r="AJ407" i="1"/>
  <c r="AL407" i="1" s="1"/>
  <c r="AC408" i="1"/>
  <c r="AD408" i="1"/>
  <c r="AH408" i="1"/>
  <c r="AI408" i="1"/>
  <c r="AJ408" i="1"/>
  <c r="AL408" i="1" s="1"/>
  <c r="AK408" i="1"/>
  <c r="AC409" i="1"/>
  <c r="AD409" i="1"/>
  <c r="AH409" i="1"/>
  <c r="AI409" i="1"/>
  <c r="AJ409" i="1"/>
  <c r="AL409" i="1" s="1"/>
  <c r="AK409" i="1"/>
  <c r="AC410" i="1"/>
  <c r="AD410" i="1"/>
  <c r="AH410" i="1"/>
  <c r="AI410" i="1"/>
  <c r="AK410" i="1" s="1"/>
  <c r="AJ410" i="1"/>
  <c r="AL410" i="1" s="1"/>
  <c r="AC411" i="1"/>
  <c r="AD411" i="1"/>
  <c r="AH411" i="1"/>
  <c r="AI411" i="1"/>
  <c r="AK411" i="1" s="1"/>
  <c r="AJ411" i="1"/>
  <c r="AL411" i="1" s="1"/>
  <c r="AC412" i="1"/>
  <c r="AD412" i="1"/>
  <c r="AH412" i="1"/>
  <c r="AI412" i="1"/>
  <c r="AK412" i="1" s="1"/>
  <c r="AJ412" i="1"/>
  <c r="AL412" i="1"/>
  <c r="AC413" i="1"/>
  <c r="AD413" i="1"/>
  <c r="AH413" i="1"/>
  <c r="AI413" i="1"/>
  <c r="AJ413" i="1"/>
  <c r="AL413" i="1" s="1"/>
  <c r="AK413" i="1"/>
  <c r="AC414" i="1"/>
  <c r="AD414" i="1"/>
  <c r="AH414" i="1"/>
  <c r="AI414" i="1"/>
  <c r="AK414" i="1" s="1"/>
  <c r="AJ414" i="1"/>
  <c r="AL414" i="1" s="1"/>
  <c r="AC415" i="1"/>
  <c r="AD415" i="1"/>
  <c r="AH415" i="1"/>
  <c r="AI415" i="1"/>
  <c r="AK415" i="1" s="1"/>
  <c r="AJ415" i="1"/>
  <c r="AL415" i="1" s="1"/>
  <c r="AC416" i="1"/>
  <c r="AD416" i="1"/>
  <c r="AH416" i="1"/>
  <c r="AI416" i="1"/>
  <c r="AK416" i="1" s="1"/>
  <c r="AJ416" i="1"/>
  <c r="AL416" i="1" s="1"/>
  <c r="AC712" i="1"/>
  <c r="AD712" i="1"/>
  <c r="AH712" i="1"/>
  <c r="AI712" i="1"/>
  <c r="AK712" i="1" s="1"/>
  <c r="AJ712" i="1"/>
  <c r="AL712" i="1" s="1"/>
  <c r="AC417" i="1"/>
  <c r="AD417" i="1"/>
  <c r="AH417" i="1"/>
  <c r="AI417" i="1"/>
  <c r="AJ417" i="1"/>
  <c r="AL417" i="1" s="1"/>
  <c r="AK417" i="1"/>
  <c r="AC418" i="1"/>
  <c r="AD418" i="1"/>
  <c r="AH418" i="1"/>
  <c r="AI418" i="1"/>
  <c r="AK418" i="1" s="1"/>
  <c r="AJ418" i="1"/>
  <c r="AL418" i="1" s="1"/>
  <c r="AC713" i="1"/>
  <c r="AD713" i="1"/>
  <c r="AH713" i="1"/>
  <c r="AI713" i="1"/>
  <c r="AK713" i="1" s="1"/>
  <c r="AJ713" i="1"/>
  <c r="AL713" i="1" s="1"/>
  <c r="AC419" i="1"/>
  <c r="AD419" i="1"/>
  <c r="AH419" i="1"/>
  <c r="AI419" i="1"/>
  <c r="AJ419" i="1"/>
  <c r="AL419" i="1" s="1"/>
  <c r="AK419" i="1"/>
  <c r="AC420" i="1"/>
  <c r="AD420" i="1"/>
  <c r="AH420" i="1"/>
  <c r="AI420" i="1"/>
  <c r="AK420" i="1" s="1"/>
  <c r="AJ420" i="1"/>
  <c r="AL420" i="1" s="1"/>
  <c r="AC421" i="1"/>
  <c r="AD421" i="1"/>
  <c r="AH421" i="1"/>
  <c r="AI421" i="1"/>
  <c r="AK421" i="1" s="1"/>
  <c r="AJ421" i="1"/>
  <c r="AL421" i="1" s="1"/>
  <c r="AC422" i="1"/>
  <c r="AD422" i="1"/>
  <c r="AH422" i="1"/>
  <c r="AI422" i="1"/>
  <c r="AJ422" i="1"/>
  <c r="AK422" i="1"/>
  <c r="AL422" i="1"/>
  <c r="AC423" i="1"/>
  <c r="AD423" i="1"/>
  <c r="AH423" i="1"/>
  <c r="AI423" i="1"/>
  <c r="AK423" i="1" s="1"/>
  <c r="AJ423" i="1"/>
  <c r="AL423" i="1" s="1"/>
  <c r="AC424" i="1"/>
  <c r="AD424" i="1"/>
  <c r="AH424" i="1"/>
  <c r="AI424" i="1"/>
  <c r="AK424" i="1" s="1"/>
  <c r="AJ424" i="1"/>
  <c r="AL424" i="1" s="1"/>
  <c r="AC425" i="1"/>
  <c r="AD425" i="1"/>
  <c r="AH425" i="1"/>
  <c r="AI425" i="1"/>
  <c r="AK425" i="1" s="1"/>
  <c r="AJ425" i="1"/>
  <c r="AL425" i="1" s="1"/>
  <c r="AC426" i="1"/>
  <c r="AD426" i="1"/>
  <c r="AH426" i="1"/>
  <c r="AI426" i="1"/>
  <c r="AK426" i="1" s="1"/>
  <c r="AJ426" i="1"/>
  <c r="AL426" i="1"/>
  <c r="AC714" i="1"/>
  <c r="AD714" i="1"/>
  <c r="AH714" i="1"/>
  <c r="AI714" i="1"/>
  <c r="AK714" i="1" s="1"/>
  <c r="AJ714" i="1"/>
  <c r="AL714" i="1" s="1"/>
  <c r="AC427" i="1"/>
  <c r="AD427" i="1"/>
  <c r="AH427" i="1"/>
  <c r="AI427" i="1"/>
  <c r="AK427" i="1" s="1"/>
  <c r="AJ427" i="1"/>
  <c r="AL427" i="1"/>
  <c r="AC428" i="1"/>
  <c r="AD428" i="1"/>
  <c r="AH428" i="1"/>
  <c r="AI428" i="1"/>
  <c r="AK428" i="1" s="1"/>
  <c r="AJ428" i="1"/>
  <c r="AL428" i="1" s="1"/>
  <c r="AC429" i="1"/>
  <c r="AD429" i="1"/>
  <c r="AH429" i="1"/>
  <c r="AI429" i="1"/>
  <c r="AK429" i="1" s="1"/>
  <c r="AJ429" i="1"/>
  <c r="AL429" i="1" s="1"/>
  <c r="AC430" i="1"/>
  <c r="AD430" i="1"/>
  <c r="AH430" i="1"/>
  <c r="AI430" i="1"/>
  <c r="AJ430" i="1"/>
  <c r="AL430" i="1" s="1"/>
  <c r="AK430" i="1"/>
  <c r="AC431" i="1"/>
  <c r="AD431" i="1"/>
  <c r="AH431" i="1"/>
  <c r="AI431" i="1"/>
  <c r="AK431" i="1" s="1"/>
  <c r="AJ431" i="1"/>
  <c r="AL431" i="1" s="1"/>
  <c r="AC432" i="1"/>
  <c r="AD432" i="1"/>
  <c r="AH432" i="1"/>
  <c r="AI432" i="1"/>
  <c r="AK432" i="1" s="1"/>
  <c r="AJ432" i="1"/>
  <c r="AL432" i="1" s="1"/>
  <c r="AC433" i="1"/>
  <c r="AD433" i="1"/>
  <c r="AH433" i="1"/>
  <c r="AI433" i="1"/>
  <c r="AK433" i="1" s="1"/>
  <c r="AJ433" i="1"/>
  <c r="AL433" i="1" s="1"/>
  <c r="AC715" i="1"/>
  <c r="AD715" i="1"/>
  <c r="AH715" i="1"/>
  <c r="AI715" i="1"/>
  <c r="AK715" i="1" s="1"/>
  <c r="AJ715" i="1"/>
  <c r="AL715" i="1" s="1"/>
  <c r="AC434" i="1"/>
  <c r="AD434" i="1"/>
  <c r="AH434" i="1"/>
  <c r="AI434" i="1"/>
  <c r="AK434" i="1" s="1"/>
  <c r="AJ434" i="1"/>
  <c r="AL434" i="1" s="1"/>
  <c r="AC435" i="1"/>
  <c r="AD435" i="1"/>
  <c r="AH435" i="1"/>
  <c r="AI435" i="1"/>
  <c r="AK435" i="1" s="1"/>
  <c r="AJ435" i="1"/>
  <c r="AL435" i="1" s="1"/>
  <c r="AC436" i="1"/>
  <c r="AD436" i="1"/>
  <c r="AH436" i="1"/>
  <c r="AI436" i="1"/>
  <c r="AK436" i="1" s="1"/>
  <c r="AJ436" i="1"/>
  <c r="AL436" i="1" s="1"/>
  <c r="AC716" i="1"/>
  <c r="AD716" i="1"/>
  <c r="AH716" i="1"/>
  <c r="AI716" i="1"/>
  <c r="AK716" i="1" s="1"/>
  <c r="AJ716" i="1"/>
  <c r="AL716" i="1" s="1"/>
  <c r="AC437" i="1"/>
  <c r="AD437" i="1"/>
  <c r="AH437" i="1"/>
  <c r="AI437" i="1"/>
  <c r="AK437" i="1" s="1"/>
  <c r="AJ437" i="1"/>
  <c r="AL437" i="1" s="1"/>
  <c r="AC438" i="1"/>
  <c r="AD438" i="1"/>
  <c r="AH438" i="1"/>
  <c r="AI438" i="1"/>
  <c r="AK438" i="1" s="1"/>
  <c r="AJ438" i="1"/>
  <c r="AL438" i="1" s="1"/>
  <c r="AC439" i="1"/>
  <c r="AD439" i="1"/>
  <c r="AH439" i="1"/>
  <c r="AI439" i="1"/>
  <c r="AK439" i="1" s="1"/>
  <c r="AJ439" i="1"/>
  <c r="AL439" i="1" s="1"/>
  <c r="AC440" i="1"/>
  <c r="AD440" i="1"/>
  <c r="AH440" i="1"/>
  <c r="AI440" i="1"/>
  <c r="AK440" i="1" s="1"/>
  <c r="AJ440" i="1"/>
  <c r="AL440" i="1" s="1"/>
  <c r="AC441" i="1"/>
  <c r="AD441" i="1"/>
  <c r="AH441" i="1"/>
  <c r="AI441" i="1"/>
  <c r="AK441" i="1" s="1"/>
  <c r="AJ441" i="1"/>
  <c r="AL441" i="1" s="1"/>
  <c r="AC442" i="1"/>
  <c r="AD442" i="1"/>
  <c r="AH442" i="1"/>
  <c r="AI442" i="1"/>
  <c r="AK442" i="1" s="1"/>
  <c r="AJ442" i="1"/>
  <c r="AL442" i="1" s="1"/>
  <c r="AC717" i="1"/>
  <c r="AD717" i="1"/>
  <c r="AH717" i="1"/>
  <c r="AI717" i="1"/>
  <c r="AJ717" i="1"/>
  <c r="AL717" i="1" s="1"/>
  <c r="AK717" i="1"/>
  <c r="AC718" i="1"/>
  <c r="AD718" i="1"/>
  <c r="AH718" i="1"/>
  <c r="AI718" i="1"/>
  <c r="AK718" i="1" s="1"/>
  <c r="AJ718" i="1"/>
  <c r="AL718" i="1"/>
  <c r="AC719" i="1"/>
  <c r="AD719" i="1"/>
  <c r="AH719" i="1"/>
  <c r="AI719" i="1"/>
  <c r="AK719" i="1" s="1"/>
  <c r="AJ719" i="1"/>
  <c r="AL719" i="1"/>
  <c r="AC443" i="1"/>
  <c r="AD443" i="1"/>
  <c r="AH443" i="1"/>
  <c r="AI443" i="1"/>
  <c r="AK443" i="1" s="1"/>
  <c r="AJ443" i="1"/>
  <c r="AL443" i="1" s="1"/>
  <c r="AC444" i="1"/>
  <c r="AD444" i="1"/>
  <c r="AH444" i="1"/>
  <c r="AI444" i="1"/>
  <c r="AK444" i="1" s="1"/>
  <c r="AJ444" i="1"/>
  <c r="AL444" i="1" s="1"/>
  <c r="AC720" i="1"/>
  <c r="AD720" i="1"/>
  <c r="AH720" i="1"/>
  <c r="AI720" i="1"/>
  <c r="AK720" i="1" s="1"/>
  <c r="AJ720" i="1"/>
  <c r="AL720" i="1" s="1"/>
  <c r="AC445" i="1"/>
  <c r="AD445" i="1"/>
  <c r="AH445" i="1"/>
  <c r="AI445" i="1"/>
  <c r="AK445" i="1" s="1"/>
  <c r="AJ445" i="1"/>
  <c r="AL445" i="1" s="1"/>
  <c r="AC446" i="1"/>
  <c r="AD446" i="1"/>
  <c r="AH446" i="1"/>
  <c r="AI446" i="1"/>
  <c r="AK446" i="1" s="1"/>
  <c r="AJ446" i="1"/>
  <c r="AL446" i="1" s="1"/>
  <c r="AC447" i="1"/>
  <c r="AD447" i="1"/>
  <c r="AH447" i="1"/>
  <c r="AI447" i="1"/>
  <c r="AK447" i="1" s="1"/>
  <c r="AJ447" i="1"/>
  <c r="AL447" i="1" s="1"/>
  <c r="AC448" i="1"/>
  <c r="AD448" i="1"/>
  <c r="AH448" i="1"/>
  <c r="AI448" i="1"/>
  <c r="AK448" i="1" s="1"/>
  <c r="AJ448" i="1"/>
  <c r="AL448" i="1" s="1"/>
  <c r="AC449" i="1"/>
  <c r="AD449" i="1"/>
  <c r="AH449" i="1"/>
  <c r="AI449" i="1"/>
  <c r="AK449" i="1" s="1"/>
  <c r="AJ449" i="1"/>
  <c r="AL449" i="1" s="1"/>
  <c r="AC450" i="1"/>
  <c r="AD450" i="1"/>
  <c r="AH450" i="1"/>
  <c r="AI450" i="1"/>
  <c r="AK450" i="1" s="1"/>
  <c r="AJ450" i="1"/>
  <c r="AL450" i="1" s="1"/>
  <c r="AC721" i="1"/>
  <c r="AD721" i="1"/>
  <c r="AH721" i="1"/>
  <c r="AI721" i="1"/>
  <c r="AK721" i="1" s="1"/>
  <c r="AJ721" i="1"/>
  <c r="AL721" i="1" s="1"/>
  <c r="AC722" i="1"/>
  <c r="AD722" i="1"/>
  <c r="AH722" i="1"/>
  <c r="AI722" i="1"/>
  <c r="AK722" i="1" s="1"/>
  <c r="AJ722" i="1"/>
  <c r="AL722" i="1" s="1"/>
  <c r="AC451" i="1"/>
  <c r="AD451" i="1"/>
  <c r="AH451" i="1"/>
  <c r="AI451" i="1"/>
  <c r="AK451" i="1" s="1"/>
  <c r="AJ451" i="1"/>
  <c r="AL451" i="1"/>
  <c r="AC452" i="1"/>
  <c r="AD452" i="1"/>
  <c r="AH452" i="1"/>
  <c r="AI452" i="1"/>
  <c r="AJ452" i="1"/>
  <c r="AL452" i="1" s="1"/>
  <c r="AK452" i="1"/>
  <c r="AC453" i="1"/>
  <c r="AD453" i="1"/>
  <c r="AH453" i="1"/>
  <c r="AI453" i="1"/>
  <c r="AK453" i="1" s="1"/>
  <c r="AJ453" i="1"/>
  <c r="AL453" i="1"/>
  <c r="AC454" i="1"/>
  <c r="AD454" i="1"/>
  <c r="AH454" i="1"/>
  <c r="AI454" i="1"/>
  <c r="AJ454" i="1"/>
  <c r="AL454" i="1" s="1"/>
  <c r="AK454" i="1"/>
  <c r="AC455" i="1"/>
  <c r="AD455" i="1"/>
  <c r="AH455" i="1"/>
  <c r="AI455" i="1"/>
  <c r="AK455" i="1" s="1"/>
  <c r="AJ455" i="1"/>
  <c r="AL455" i="1" s="1"/>
  <c r="AC456" i="1"/>
  <c r="AD456" i="1"/>
  <c r="AH456" i="1"/>
  <c r="AI456" i="1"/>
  <c r="AJ456" i="1"/>
  <c r="AL456" i="1" s="1"/>
  <c r="AK456" i="1"/>
  <c r="AC457" i="1"/>
  <c r="AD457" i="1"/>
  <c r="AH457" i="1"/>
  <c r="AI457" i="1"/>
  <c r="AK457" i="1" s="1"/>
  <c r="AJ457" i="1"/>
  <c r="AL457" i="1" s="1"/>
  <c r="AC723" i="1"/>
  <c r="AD723" i="1"/>
  <c r="AH723" i="1"/>
  <c r="AI723" i="1"/>
  <c r="AJ723" i="1"/>
  <c r="AL723" i="1" s="1"/>
  <c r="AK723" i="1"/>
  <c r="AC458" i="1"/>
  <c r="AD458" i="1"/>
  <c r="AH458" i="1"/>
  <c r="AI458" i="1"/>
  <c r="AK458" i="1" s="1"/>
  <c r="AJ458" i="1"/>
  <c r="AL458" i="1" s="1"/>
  <c r="AC459" i="1"/>
  <c r="AD459" i="1"/>
  <c r="AH459" i="1"/>
  <c r="AI459" i="1"/>
  <c r="AK459" i="1" s="1"/>
  <c r="AJ459" i="1"/>
  <c r="AL459" i="1"/>
  <c r="AC460" i="1"/>
  <c r="AD460" i="1"/>
  <c r="AH460" i="1"/>
  <c r="AI460" i="1"/>
  <c r="AK460" i="1" s="1"/>
  <c r="AJ460" i="1"/>
  <c r="AL460" i="1" s="1"/>
  <c r="AC461" i="1"/>
  <c r="AD461" i="1"/>
  <c r="AH461" i="1"/>
  <c r="AI461" i="1"/>
  <c r="AK461" i="1" s="1"/>
  <c r="AJ461" i="1"/>
  <c r="AL461" i="1" s="1"/>
  <c r="AC462" i="1"/>
  <c r="AD462" i="1"/>
  <c r="AH462" i="1"/>
  <c r="AI462" i="1"/>
  <c r="AK462" i="1" s="1"/>
  <c r="AJ462" i="1"/>
  <c r="AL462" i="1" s="1"/>
  <c r="AC463" i="1"/>
  <c r="AD463" i="1"/>
  <c r="AH463" i="1"/>
  <c r="AI463" i="1"/>
  <c r="AK463" i="1" s="1"/>
  <c r="AJ463" i="1"/>
  <c r="AL463" i="1" s="1"/>
  <c r="AC724" i="1"/>
  <c r="AD724" i="1"/>
  <c r="AH724" i="1"/>
  <c r="AI724" i="1"/>
  <c r="AK724" i="1" s="1"/>
  <c r="AJ724" i="1"/>
  <c r="AL724" i="1" s="1"/>
  <c r="AC464" i="1"/>
  <c r="AD464" i="1"/>
  <c r="AH464" i="1"/>
  <c r="AI464" i="1"/>
  <c r="AK464" i="1" s="1"/>
  <c r="AJ464" i="1"/>
  <c r="AL464" i="1" s="1"/>
  <c r="AC465" i="1"/>
  <c r="AD465" i="1"/>
  <c r="AH465" i="1"/>
  <c r="AI465" i="1"/>
  <c r="AK465" i="1" s="1"/>
  <c r="AJ465" i="1"/>
  <c r="AL465" i="1" s="1"/>
  <c r="AC466" i="1"/>
  <c r="AD466" i="1"/>
  <c r="AH466" i="1"/>
  <c r="AI466" i="1"/>
  <c r="AK466" i="1" s="1"/>
  <c r="AJ466" i="1"/>
  <c r="AL466" i="1"/>
  <c r="AC9" i="1"/>
  <c r="AD9" i="1"/>
  <c r="AH9" i="1"/>
  <c r="AI9" i="1"/>
  <c r="AK9" i="1" s="1"/>
  <c r="AJ9" i="1"/>
  <c r="AL9" i="1"/>
  <c r="AC467" i="1"/>
  <c r="AD467" i="1"/>
  <c r="AH467" i="1"/>
  <c r="AI467" i="1"/>
  <c r="AK467" i="1" s="1"/>
  <c r="AJ467" i="1"/>
  <c r="AL467" i="1" s="1"/>
  <c r="AC468" i="1"/>
  <c r="AD468" i="1"/>
  <c r="AH468" i="1"/>
  <c r="AI468" i="1"/>
  <c r="AK468" i="1" s="1"/>
  <c r="AJ468" i="1"/>
  <c r="AL468" i="1"/>
  <c r="AC469" i="1"/>
  <c r="AD469" i="1"/>
  <c r="AH469" i="1"/>
  <c r="AI469" i="1"/>
  <c r="AK469" i="1" s="1"/>
  <c r="AJ469" i="1"/>
  <c r="AL469" i="1" s="1"/>
  <c r="AC470" i="1"/>
  <c r="AD470" i="1"/>
  <c r="AH470" i="1"/>
  <c r="AI470" i="1"/>
  <c r="AJ470" i="1"/>
  <c r="AL470" i="1" s="1"/>
  <c r="AK470" i="1"/>
  <c r="AC471" i="1"/>
  <c r="AD471" i="1"/>
  <c r="AH471" i="1"/>
  <c r="AI471" i="1"/>
  <c r="AK471" i="1" s="1"/>
  <c r="AJ471" i="1"/>
  <c r="AL471" i="1" s="1"/>
  <c r="AC472" i="1"/>
  <c r="AD472" i="1"/>
  <c r="AH472" i="1"/>
  <c r="AI472" i="1"/>
  <c r="AK472" i="1" s="1"/>
  <c r="AJ472" i="1"/>
  <c r="AL472" i="1" s="1"/>
  <c r="AC473" i="1"/>
  <c r="AD473" i="1"/>
  <c r="AH473" i="1"/>
  <c r="AI473" i="1"/>
  <c r="AJ473" i="1"/>
  <c r="AL473" i="1" s="1"/>
  <c r="AK473" i="1"/>
  <c r="AC474" i="1"/>
  <c r="AD474" i="1"/>
  <c r="AH474" i="1"/>
  <c r="AI474" i="1"/>
  <c r="AK474" i="1" s="1"/>
  <c r="AJ474" i="1"/>
  <c r="AL474" i="1" s="1"/>
  <c r="AC475" i="1"/>
  <c r="AD475" i="1"/>
  <c r="AH475" i="1"/>
  <c r="AI475" i="1"/>
  <c r="AK475" i="1" s="1"/>
  <c r="AJ475" i="1"/>
  <c r="AL475" i="1" s="1"/>
  <c r="AC476" i="1"/>
  <c r="AD476" i="1"/>
  <c r="AH476" i="1"/>
  <c r="AI476" i="1"/>
  <c r="AJ476" i="1"/>
  <c r="AL476" i="1" s="1"/>
  <c r="AK476" i="1"/>
  <c r="AC477" i="1"/>
  <c r="AD477" i="1"/>
  <c r="AH477" i="1"/>
  <c r="AI477" i="1"/>
  <c r="AK477" i="1" s="1"/>
  <c r="AJ477" i="1"/>
  <c r="AL477" i="1" s="1"/>
  <c r="AC725" i="1"/>
  <c r="AD725" i="1"/>
  <c r="AH725" i="1"/>
  <c r="AI725" i="1"/>
  <c r="AK725" i="1" s="1"/>
  <c r="AJ725" i="1"/>
  <c r="AL725" i="1" s="1"/>
  <c r="AC726" i="1"/>
  <c r="AD726" i="1"/>
  <c r="AH726" i="1"/>
  <c r="AI726" i="1"/>
  <c r="AK726" i="1" s="1"/>
  <c r="AJ726" i="1"/>
  <c r="AL726" i="1" s="1"/>
  <c r="AC478" i="1"/>
  <c r="AD478" i="1"/>
  <c r="AH478" i="1"/>
  <c r="AI478" i="1"/>
  <c r="AK478" i="1" s="1"/>
  <c r="AJ478" i="1"/>
  <c r="AL478" i="1" s="1"/>
  <c r="AC479" i="1"/>
  <c r="AD479" i="1"/>
  <c r="AH479" i="1"/>
  <c r="AI479" i="1"/>
  <c r="AJ479" i="1"/>
  <c r="AL479" i="1" s="1"/>
  <c r="AK479" i="1"/>
  <c r="AC480" i="1"/>
  <c r="AD480" i="1"/>
  <c r="AH480" i="1"/>
  <c r="AI480" i="1"/>
  <c r="AK480" i="1" s="1"/>
  <c r="AJ480" i="1"/>
  <c r="AL480" i="1" s="1"/>
  <c r="AC481" i="1"/>
  <c r="AD481" i="1"/>
  <c r="AH481" i="1"/>
  <c r="AI481" i="1"/>
  <c r="AK481" i="1" s="1"/>
  <c r="AJ481" i="1"/>
  <c r="AL481" i="1" s="1"/>
  <c r="AC482" i="1"/>
  <c r="AD482" i="1"/>
  <c r="AH482" i="1"/>
  <c r="AI482" i="1"/>
  <c r="AK482" i="1" s="1"/>
  <c r="AJ482" i="1"/>
  <c r="AL482" i="1" s="1"/>
  <c r="AC483" i="1"/>
  <c r="AD483" i="1"/>
  <c r="AH483" i="1"/>
  <c r="AI483" i="1"/>
  <c r="AK483" i="1" s="1"/>
  <c r="AJ483" i="1"/>
  <c r="AL483" i="1" s="1"/>
  <c r="AC484" i="1"/>
  <c r="AD484" i="1"/>
  <c r="AH484" i="1"/>
  <c r="AI484" i="1"/>
  <c r="AK484" i="1" s="1"/>
  <c r="AJ484" i="1"/>
  <c r="AL484" i="1" s="1"/>
  <c r="AC485" i="1"/>
  <c r="AD485" i="1"/>
  <c r="AH485" i="1"/>
  <c r="AI485" i="1"/>
  <c r="AK485" i="1" s="1"/>
  <c r="AJ485" i="1"/>
  <c r="AL485" i="1" s="1"/>
  <c r="AC486" i="1"/>
  <c r="AD486" i="1"/>
  <c r="AH486" i="1"/>
  <c r="AI486" i="1"/>
  <c r="AJ486" i="1"/>
  <c r="AL486" i="1" s="1"/>
  <c r="AK486" i="1"/>
  <c r="AC727" i="1"/>
  <c r="AD727" i="1"/>
  <c r="AH727" i="1"/>
  <c r="AI727" i="1"/>
  <c r="AK727" i="1" s="1"/>
  <c r="AJ727" i="1"/>
  <c r="AL727" i="1" s="1"/>
  <c r="AC728" i="1"/>
  <c r="AD728" i="1"/>
  <c r="AH728" i="1"/>
  <c r="AI728" i="1"/>
  <c r="AK728" i="1" s="1"/>
  <c r="AJ728" i="1"/>
  <c r="AL728" i="1"/>
  <c r="AC487" i="1"/>
  <c r="AD487" i="1"/>
  <c r="AH487" i="1"/>
  <c r="AI487" i="1"/>
  <c r="AK487" i="1" s="1"/>
  <c r="AJ487" i="1"/>
  <c r="AL487" i="1" s="1"/>
  <c r="AC488" i="1"/>
  <c r="AD488" i="1"/>
  <c r="AH488" i="1"/>
  <c r="AI488" i="1"/>
  <c r="AK488" i="1" s="1"/>
  <c r="AJ488" i="1"/>
  <c r="AL488" i="1" s="1"/>
  <c r="AC489" i="1"/>
  <c r="AD489" i="1"/>
  <c r="AH489" i="1"/>
  <c r="AI489" i="1"/>
  <c r="AK489" i="1" s="1"/>
  <c r="AJ489" i="1"/>
  <c r="AL489" i="1" s="1"/>
  <c r="AC490" i="1"/>
  <c r="AD490" i="1"/>
  <c r="AH490" i="1"/>
  <c r="AI490" i="1"/>
  <c r="AK490" i="1" s="1"/>
  <c r="AJ490" i="1"/>
  <c r="AL490" i="1" s="1"/>
  <c r="AC491" i="1"/>
  <c r="AD491" i="1"/>
  <c r="AH491" i="1"/>
  <c r="AI491" i="1"/>
  <c r="AK491" i="1" s="1"/>
  <c r="AJ491" i="1"/>
  <c r="AL491" i="1" s="1"/>
  <c r="AC729" i="1"/>
  <c r="AD729" i="1"/>
  <c r="AH729" i="1"/>
  <c r="AI729" i="1"/>
  <c r="AK729" i="1" s="1"/>
  <c r="AJ729" i="1"/>
  <c r="AL729" i="1"/>
  <c r="AC492" i="1"/>
  <c r="AD492" i="1"/>
  <c r="AH492" i="1"/>
  <c r="AI492" i="1"/>
  <c r="AK492" i="1" s="1"/>
  <c r="AJ492" i="1"/>
  <c r="AL492" i="1" s="1"/>
  <c r="AC493" i="1"/>
  <c r="AD493" i="1"/>
  <c r="AH493" i="1"/>
  <c r="AI493" i="1"/>
  <c r="AK493" i="1" s="1"/>
  <c r="AJ493" i="1"/>
  <c r="AL493" i="1"/>
  <c r="AC494" i="1"/>
  <c r="AD494" i="1"/>
  <c r="AH494" i="1"/>
  <c r="AI494" i="1"/>
  <c r="AK494" i="1" s="1"/>
  <c r="AJ494" i="1"/>
  <c r="AL494" i="1"/>
  <c r="AC495" i="1"/>
  <c r="AD495" i="1"/>
  <c r="AH495" i="1"/>
  <c r="AI495" i="1"/>
  <c r="AK495" i="1" s="1"/>
  <c r="AJ495" i="1"/>
  <c r="AL495" i="1" s="1"/>
  <c r="AC496" i="1"/>
  <c r="AD496" i="1"/>
  <c r="AH496" i="1"/>
  <c r="AI496" i="1"/>
  <c r="AK496" i="1" s="1"/>
  <c r="AJ496" i="1"/>
  <c r="AL496" i="1"/>
  <c r="AC497" i="1"/>
  <c r="AD497" i="1"/>
  <c r="AH497" i="1"/>
  <c r="AI497" i="1"/>
  <c r="AK497" i="1" s="1"/>
  <c r="AJ497" i="1"/>
  <c r="AL497" i="1" s="1"/>
  <c r="AC498" i="1"/>
  <c r="AD498" i="1"/>
  <c r="AH498" i="1"/>
  <c r="AI498" i="1"/>
  <c r="AK498" i="1" s="1"/>
  <c r="AJ498" i="1"/>
  <c r="AL498" i="1" s="1"/>
  <c r="AC730" i="1"/>
  <c r="AD730" i="1"/>
  <c r="AH730" i="1"/>
  <c r="AI730" i="1"/>
  <c r="AK730" i="1" s="1"/>
  <c r="AJ730" i="1"/>
  <c r="AL730" i="1" s="1"/>
  <c r="AC499" i="1"/>
  <c r="AD499" i="1"/>
  <c r="AH499" i="1"/>
  <c r="AI499" i="1"/>
  <c r="AK499" i="1" s="1"/>
  <c r="AJ499" i="1"/>
  <c r="AL499" i="1" s="1"/>
  <c r="AC10" i="1"/>
  <c r="AD10" i="1"/>
  <c r="AH10" i="1"/>
  <c r="AI10" i="1"/>
  <c r="AK10" i="1" s="1"/>
  <c r="AJ10" i="1"/>
  <c r="AL10" i="1" s="1"/>
  <c r="AC500" i="1"/>
  <c r="AD500" i="1"/>
  <c r="AH500" i="1"/>
  <c r="AI500" i="1"/>
  <c r="AK500" i="1" s="1"/>
  <c r="AJ500" i="1"/>
  <c r="AL500" i="1" s="1"/>
  <c r="AC501" i="1"/>
  <c r="AD501" i="1"/>
  <c r="AH501" i="1"/>
  <c r="AI501" i="1"/>
  <c r="AK501" i="1" s="1"/>
  <c r="AJ501" i="1"/>
  <c r="AL501" i="1" s="1"/>
  <c r="AC731" i="1"/>
  <c r="AD731" i="1"/>
  <c r="AH731" i="1"/>
  <c r="AI731" i="1"/>
  <c r="AJ731" i="1"/>
  <c r="AL731" i="1" s="1"/>
  <c r="AK731" i="1"/>
  <c r="AC502" i="1"/>
  <c r="AD502" i="1"/>
  <c r="AH502" i="1"/>
  <c r="AI502" i="1"/>
  <c r="AK502" i="1" s="1"/>
  <c r="AJ502" i="1"/>
  <c r="AL502" i="1" s="1"/>
  <c r="AC732" i="1"/>
  <c r="AD732" i="1"/>
  <c r="AH732" i="1"/>
  <c r="AI732" i="1"/>
  <c r="AK732" i="1" s="1"/>
  <c r="AJ732" i="1"/>
  <c r="AL732" i="1"/>
  <c r="AC733" i="1"/>
  <c r="AD733" i="1"/>
  <c r="AH733" i="1"/>
  <c r="AI733" i="1"/>
  <c r="AK733" i="1" s="1"/>
  <c r="AJ733" i="1"/>
  <c r="AL733" i="1" s="1"/>
  <c r="AC734" i="1"/>
  <c r="AD734" i="1"/>
  <c r="AH734" i="1"/>
  <c r="AI734" i="1"/>
  <c r="AK734" i="1" s="1"/>
  <c r="AJ734" i="1"/>
  <c r="AL734" i="1" s="1"/>
  <c r="AC503" i="1"/>
  <c r="AD503" i="1"/>
  <c r="AH503" i="1"/>
  <c r="AI503" i="1"/>
  <c r="AK503" i="1" s="1"/>
  <c r="AJ503" i="1"/>
  <c r="AL503" i="1" s="1"/>
  <c r="AC504" i="1"/>
  <c r="AD504" i="1"/>
  <c r="AH504" i="1"/>
  <c r="AI504" i="1"/>
  <c r="AK504" i="1" s="1"/>
  <c r="AJ504" i="1"/>
  <c r="AL504" i="1"/>
  <c r="AC505" i="1"/>
  <c r="AD505" i="1"/>
  <c r="AH505" i="1"/>
  <c r="AI505" i="1"/>
  <c r="AK505" i="1" s="1"/>
  <c r="AJ505" i="1"/>
  <c r="AL505" i="1" s="1"/>
  <c r="AC506" i="1"/>
  <c r="AD506" i="1"/>
  <c r="AH506" i="1"/>
  <c r="AI506" i="1"/>
  <c r="AK506" i="1" s="1"/>
  <c r="AJ506" i="1"/>
  <c r="AL506" i="1"/>
  <c r="AC507" i="1"/>
  <c r="AD507" i="1"/>
  <c r="AH507" i="1"/>
  <c r="AI507" i="1"/>
  <c r="AK507" i="1" s="1"/>
  <c r="AJ507" i="1"/>
  <c r="AL507" i="1" s="1"/>
  <c r="AC508" i="1"/>
  <c r="AD508" i="1"/>
  <c r="AH508" i="1"/>
  <c r="AI508" i="1"/>
  <c r="AK508" i="1" s="1"/>
  <c r="AJ508" i="1"/>
  <c r="AL508" i="1" s="1"/>
  <c r="AC509" i="1"/>
  <c r="AD509" i="1"/>
  <c r="AH509" i="1"/>
  <c r="AI509" i="1"/>
  <c r="AK509" i="1" s="1"/>
  <c r="AJ509" i="1"/>
  <c r="AL509" i="1" s="1"/>
  <c r="AC510" i="1"/>
  <c r="AD510" i="1"/>
  <c r="AH510" i="1"/>
  <c r="AI510" i="1"/>
  <c r="AK510" i="1" s="1"/>
  <c r="AJ510" i="1"/>
  <c r="AL510" i="1" s="1"/>
  <c r="AC735" i="1"/>
  <c r="AD735" i="1"/>
  <c r="AH735" i="1"/>
  <c r="AI735" i="1"/>
  <c r="AK735" i="1" s="1"/>
  <c r="AJ735" i="1"/>
  <c r="AL735" i="1"/>
  <c r="AC511" i="1"/>
  <c r="AD511" i="1"/>
  <c r="AH511" i="1"/>
  <c r="AI511" i="1"/>
  <c r="AK511" i="1" s="1"/>
  <c r="AJ511" i="1"/>
  <c r="AL511" i="1" s="1"/>
  <c r="AC512" i="1"/>
  <c r="AD512" i="1"/>
  <c r="AH512" i="1"/>
  <c r="AI512" i="1"/>
  <c r="AK512" i="1" s="1"/>
  <c r="AJ512" i="1"/>
  <c r="AL512" i="1" s="1"/>
  <c r="AC513" i="1"/>
  <c r="AD513" i="1"/>
  <c r="AH513" i="1"/>
  <c r="AI513" i="1"/>
  <c r="AJ513" i="1"/>
  <c r="AL513" i="1" s="1"/>
  <c r="AK513" i="1"/>
  <c r="AC514" i="1"/>
  <c r="AD514" i="1"/>
  <c r="AH514" i="1"/>
  <c r="AI514" i="1"/>
  <c r="AK514" i="1" s="1"/>
  <c r="AJ514" i="1"/>
  <c r="AL514" i="1"/>
  <c r="AC515" i="1"/>
  <c r="AD515" i="1"/>
  <c r="AH515" i="1"/>
  <c r="AI515" i="1"/>
  <c r="AK515" i="1" s="1"/>
  <c r="AJ515" i="1"/>
  <c r="AL515" i="1" s="1"/>
  <c r="AC736" i="1"/>
  <c r="AD736" i="1"/>
  <c r="AH736" i="1"/>
  <c r="AI736" i="1"/>
  <c r="AK736" i="1" s="1"/>
  <c r="AJ736" i="1"/>
  <c r="AL736" i="1" s="1"/>
  <c r="AC516" i="1"/>
  <c r="AD516" i="1"/>
  <c r="AH516" i="1"/>
  <c r="AI516" i="1"/>
  <c r="AK516" i="1" s="1"/>
  <c r="AJ516" i="1"/>
  <c r="AL516" i="1"/>
  <c r="AC517" i="1"/>
  <c r="AD517" i="1"/>
  <c r="AH517" i="1"/>
  <c r="AI517" i="1"/>
  <c r="AK517" i="1" s="1"/>
  <c r="AJ517" i="1"/>
  <c r="AL517" i="1" s="1"/>
  <c r="AC518" i="1"/>
  <c r="AD518" i="1"/>
  <c r="AH518" i="1"/>
  <c r="AI518" i="1"/>
  <c r="AK518" i="1" s="1"/>
  <c r="AJ518" i="1"/>
  <c r="AL518" i="1" s="1"/>
  <c r="AC519" i="1"/>
  <c r="AD519" i="1"/>
  <c r="AH519" i="1"/>
  <c r="AI519" i="1"/>
  <c r="AK519" i="1" s="1"/>
  <c r="AJ519" i="1"/>
  <c r="AL519" i="1" s="1"/>
  <c r="AC520" i="1"/>
  <c r="AD520" i="1"/>
  <c r="AH520" i="1"/>
  <c r="AI520" i="1"/>
  <c r="AK520" i="1" s="1"/>
  <c r="AJ520" i="1"/>
  <c r="AL520" i="1" s="1"/>
  <c r="AC521" i="1"/>
  <c r="AD521" i="1"/>
  <c r="AH521" i="1"/>
  <c r="AI521" i="1"/>
  <c r="AK521" i="1" s="1"/>
  <c r="AJ521" i="1"/>
  <c r="AL521" i="1" s="1"/>
  <c r="AC522" i="1"/>
  <c r="AD522" i="1"/>
  <c r="AH522" i="1"/>
  <c r="AI522" i="1"/>
  <c r="AK522" i="1" s="1"/>
  <c r="AJ522" i="1"/>
  <c r="AL522" i="1" s="1"/>
  <c r="AC523" i="1"/>
  <c r="AD523" i="1"/>
  <c r="AH523" i="1"/>
  <c r="AI523" i="1"/>
  <c r="AK523" i="1" s="1"/>
  <c r="AJ523" i="1"/>
  <c r="AL523" i="1" s="1"/>
  <c r="AC524" i="1"/>
  <c r="AD524" i="1"/>
  <c r="AH524" i="1"/>
  <c r="AI524" i="1"/>
  <c r="AK524" i="1" s="1"/>
  <c r="AJ524" i="1"/>
  <c r="AL524" i="1" s="1"/>
  <c r="AC525" i="1"/>
  <c r="AD525" i="1"/>
  <c r="AH525" i="1"/>
  <c r="AI525" i="1"/>
  <c r="AJ525" i="1"/>
  <c r="AL525" i="1" s="1"/>
  <c r="AK525" i="1"/>
  <c r="AC526" i="1"/>
  <c r="AD526" i="1"/>
  <c r="AH526" i="1"/>
  <c r="AI526" i="1"/>
  <c r="AK526" i="1" s="1"/>
  <c r="AJ526" i="1"/>
  <c r="AL526" i="1" s="1"/>
  <c r="AC527" i="1"/>
  <c r="AD527" i="1"/>
  <c r="AH527" i="1"/>
  <c r="AI527" i="1"/>
  <c r="AK527" i="1" s="1"/>
  <c r="AJ527" i="1"/>
  <c r="AL527" i="1"/>
  <c r="AC528" i="1"/>
  <c r="AD528" i="1"/>
  <c r="AH528" i="1"/>
  <c r="AI528" i="1"/>
  <c r="AK528" i="1" s="1"/>
  <c r="AJ528" i="1"/>
  <c r="AL528" i="1" s="1"/>
  <c r="AC529" i="1"/>
  <c r="AD529" i="1"/>
  <c r="AH529" i="1"/>
  <c r="AI529" i="1"/>
  <c r="AK529" i="1" s="1"/>
  <c r="AJ529" i="1"/>
  <c r="AL529" i="1" s="1"/>
  <c r="AC737" i="1"/>
  <c r="AD737" i="1"/>
  <c r="AH737" i="1"/>
  <c r="AI737" i="1"/>
  <c r="AK737" i="1" s="1"/>
  <c r="AJ737" i="1"/>
  <c r="AL737" i="1" s="1"/>
  <c r="AC738" i="1"/>
  <c r="AD738" i="1"/>
  <c r="AH738" i="1"/>
  <c r="AI738" i="1"/>
  <c r="AK738" i="1" s="1"/>
  <c r="AJ738" i="1"/>
  <c r="AL738" i="1" s="1"/>
  <c r="AC530" i="1"/>
  <c r="AD530" i="1"/>
  <c r="AH530" i="1"/>
  <c r="AI530" i="1"/>
  <c r="AK530" i="1" s="1"/>
  <c r="AJ530" i="1"/>
  <c r="AL530" i="1" s="1"/>
  <c r="AC739" i="1"/>
  <c r="AD739" i="1"/>
  <c r="AH739" i="1"/>
  <c r="AI739" i="1"/>
  <c r="AK739" i="1" s="1"/>
  <c r="AJ739" i="1"/>
  <c r="AL739" i="1" s="1"/>
  <c r="AC531" i="1"/>
  <c r="AD531" i="1"/>
  <c r="AH531" i="1"/>
  <c r="AI531" i="1"/>
  <c r="AK531" i="1" s="1"/>
  <c r="AJ531" i="1"/>
  <c r="AL531" i="1" s="1"/>
  <c r="AC532" i="1"/>
  <c r="AD532" i="1"/>
  <c r="AH532" i="1"/>
  <c r="AI532" i="1"/>
  <c r="AK532" i="1" s="1"/>
  <c r="AJ532" i="1"/>
  <c r="AL532" i="1" s="1"/>
  <c r="AC533" i="1"/>
  <c r="AD533" i="1"/>
  <c r="AH533" i="1"/>
  <c r="AI533" i="1"/>
  <c r="AK533" i="1" s="1"/>
  <c r="AJ533" i="1"/>
  <c r="AL533" i="1" s="1"/>
  <c r="AC534" i="1"/>
  <c r="AD534" i="1"/>
  <c r="AH534" i="1"/>
  <c r="AI534" i="1"/>
  <c r="AK534" i="1" s="1"/>
  <c r="AJ534" i="1"/>
  <c r="AL534" i="1" s="1"/>
  <c r="AC535" i="1"/>
  <c r="AD535" i="1"/>
  <c r="AH535" i="1"/>
  <c r="AI535" i="1"/>
  <c r="AK535" i="1" s="1"/>
  <c r="AJ535" i="1"/>
  <c r="AL535" i="1" s="1"/>
  <c r="AC536" i="1"/>
  <c r="AD536" i="1"/>
  <c r="AH536" i="1"/>
  <c r="AI536" i="1"/>
  <c r="AK536" i="1" s="1"/>
  <c r="AJ536" i="1"/>
  <c r="AL536" i="1" s="1"/>
  <c r="AC537" i="1"/>
  <c r="AD537" i="1"/>
  <c r="AH537" i="1"/>
  <c r="AI537" i="1"/>
  <c r="AJ537" i="1"/>
  <c r="AL537" i="1" s="1"/>
  <c r="AK537" i="1"/>
  <c r="AC538" i="1"/>
  <c r="AD538" i="1"/>
  <c r="AH538" i="1"/>
  <c r="AI538" i="1"/>
  <c r="AJ538" i="1"/>
  <c r="AL538" i="1" s="1"/>
  <c r="AK538" i="1"/>
  <c r="AC539" i="1"/>
  <c r="AD539" i="1"/>
  <c r="AH539" i="1"/>
  <c r="AI539" i="1"/>
  <c r="AK539" i="1" s="1"/>
  <c r="AJ539" i="1"/>
  <c r="AL539" i="1"/>
  <c r="AC540" i="1"/>
  <c r="AD540" i="1"/>
  <c r="AH540" i="1"/>
  <c r="AI540" i="1"/>
  <c r="AJ540" i="1"/>
  <c r="AL540" i="1" s="1"/>
  <c r="AK540" i="1"/>
  <c r="AC541" i="1"/>
  <c r="AD541" i="1"/>
  <c r="AH541" i="1"/>
  <c r="AI541" i="1"/>
  <c r="AK541" i="1" s="1"/>
  <c r="AJ541" i="1"/>
  <c r="AL541" i="1"/>
  <c r="AC542" i="1"/>
  <c r="AD542" i="1"/>
  <c r="AH542" i="1"/>
  <c r="AI542" i="1"/>
  <c r="AK542" i="1" s="1"/>
  <c r="AJ542" i="1"/>
  <c r="AL542" i="1" s="1"/>
  <c r="AC543" i="1"/>
  <c r="AD543" i="1"/>
  <c r="AH543" i="1"/>
  <c r="AI543" i="1"/>
  <c r="AK543" i="1" s="1"/>
  <c r="AJ543" i="1"/>
  <c r="AL543" i="1"/>
  <c r="AC544" i="1"/>
  <c r="AD544" i="1"/>
  <c r="AH544" i="1"/>
  <c r="AI544" i="1"/>
  <c r="AJ544" i="1"/>
  <c r="AL544" i="1" s="1"/>
  <c r="AK544" i="1"/>
  <c r="AC545" i="1"/>
  <c r="AD545" i="1"/>
  <c r="AH545" i="1"/>
  <c r="AI545" i="1"/>
  <c r="AK545" i="1" s="1"/>
  <c r="AJ545" i="1"/>
  <c r="AL545" i="1" s="1"/>
  <c r="AC546" i="1"/>
  <c r="AD546" i="1"/>
  <c r="AH546" i="1"/>
  <c r="AI546" i="1"/>
  <c r="AK546" i="1" s="1"/>
  <c r="AJ546" i="1"/>
  <c r="AL546" i="1" s="1"/>
  <c r="AC547" i="1"/>
  <c r="AD547" i="1"/>
  <c r="AH547" i="1"/>
  <c r="AI547" i="1"/>
  <c r="AK547" i="1" s="1"/>
  <c r="AJ547" i="1"/>
  <c r="AL547" i="1" s="1"/>
  <c r="AC548" i="1"/>
  <c r="AD548" i="1"/>
  <c r="AH548" i="1"/>
  <c r="AI548" i="1"/>
  <c r="AK548" i="1" s="1"/>
  <c r="AJ548" i="1"/>
  <c r="AL548" i="1" s="1"/>
  <c r="AC549" i="1"/>
  <c r="AD549" i="1"/>
  <c r="AH549" i="1"/>
  <c r="AI549" i="1"/>
  <c r="AK549" i="1" s="1"/>
  <c r="AJ549" i="1"/>
  <c r="AL549" i="1" s="1"/>
  <c r="AC550" i="1"/>
  <c r="AD550" i="1"/>
  <c r="AH550" i="1"/>
  <c r="AI550" i="1"/>
  <c r="AK550" i="1" s="1"/>
  <c r="AJ550" i="1"/>
  <c r="AL550" i="1" s="1"/>
  <c r="AC551" i="1"/>
  <c r="AD551" i="1"/>
  <c r="AH551" i="1"/>
  <c r="AI551" i="1"/>
  <c r="AK551" i="1" s="1"/>
  <c r="AJ551" i="1"/>
  <c r="AL551" i="1" s="1"/>
  <c r="AC552" i="1"/>
  <c r="AD552" i="1"/>
  <c r="AH552" i="1"/>
  <c r="AI552" i="1"/>
  <c r="AK552" i="1" s="1"/>
  <c r="AJ552" i="1"/>
  <c r="AL552" i="1" s="1"/>
  <c r="AC553" i="1"/>
  <c r="AD553" i="1"/>
  <c r="AH553" i="1"/>
  <c r="AI553" i="1"/>
  <c r="AJ553" i="1"/>
  <c r="AL553" i="1" s="1"/>
  <c r="AK553" i="1"/>
  <c r="AC554" i="1"/>
  <c r="AD554" i="1"/>
  <c r="AH554" i="1"/>
  <c r="AI554" i="1"/>
  <c r="AK554" i="1" s="1"/>
  <c r="AJ554" i="1"/>
  <c r="AL554" i="1" s="1"/>
  <c r="AC555" i="1"/>
  <c r="AD555" i="1"/>
  <c r="AH555" i="1"/>
  <c r="AI555" i="1"/>
  <c r="AJ555" i="1"/>
  <c r="AK555" i="1"/>
  <c r="AL555" i="1"/>
  <c r="AC740" i="1"/>
  <c r="AD740" i="1"/>
  <c r="AH740" i="1"/>
  <c r="AI740" i="1"/>
  <c r="AK740" i="1" s="1"/>
  <c r="AJ740" i="1"/>
  <c r="AL740" i="1" s="1"/>
  <c r="AC741" i="1"/>
  <c r="AD741" i="1"/>
  <c r="AH741" i="1"/>
  <c r="AI741" i="1"/>
  <c r="AK741" i="1" s="1"/>
  <c r="AJ741" i="1"/>
  <c r="AL741" i="1"/>
  <c r="AC556" i="1"/>
  <c r="AD556" i="1"/>
  <c r="AH556" i="1"/>
  <c r="AI556" i="1"/>
  <c r="AK556" i="1" s="1"/>
  <c r="AJ556" i="1"/>
  <c r="AL556" i="1" s="1"/>
  <c r="AC742" i="1"/>
  <c r="AD742" i="1"/>
  <c r="AH742" i="1"/>
  <c r="AI742" i="1"/>
  <c r="AJ742" i="1"/>
  <c r="AK742" i="1"/>
  <c r="AL742" i="1"/>
  <c r="AC743" i="1"/>
  <c r="AD743" i="1"/>
  <c r="AH743" i="1"/>
  <c r="AI743" i="1"/>
  <c r="AJ743" i="1"/>
  <c r="AL743" i="1" s="1"/>
  <c r="AK743" i="1"/>
  <c r="AC557" i="1"/>
  <c r="AD557" i="1"/>
  <c r="AH557" i="1"/>
  <c r="AI557" i="1"/>
  <c r="AJ557" i="1"/>
  <c r="AK557" i="1"/>
  <c r="AL557" i="1"/>
  <c r="AC558" i="1"/>
  <c r="AD558" i="1"/>
  <c r="AH558" i="1"/>
  <c r="AI558" i="1"/>
  <c r="AK558" i="1" s="1"/>
  <c r="AJ558" i="1"/>
  <c r="AL558" i="1" s="1"/>
  <c r="AC744" i="1"/>
  <c r="AD744" i="1"/>
  <c r="AH744" i="1"/>
  <c r="AI744" i="1"/>
  <c r="AK744" i="1" s="1"/>
  <c r="AJ744" i="1"/>
  <c r="AL744" i="1"/>
  <c r="AC559" i="1"/>
  <c r="AD559" i="1"/>
  <c r="AH559" i="1"/>
  <c r="AI559" i="1"/>
  <c r="AK559" i="1" s="1"/>
  <c r="AJ559" i="1"/>
  <c r="AL559" i="1" s="1"/>
  <c r="AC745" i="1"/>
  <c r="AD745" i="1"/>
  <c r="AH745" i="1"/>
  <c r="AI745" i="1"/>
  <c r="AK745" i="1" s="1"/>
  <c r="AJ745" i="1"/>
  <c r="AL745" i="1" s="1"/>
  <c r="AC560" i="1"/>
  <c r="AD560" i="1"/>
  <c r="AH560" i="1"/>
  <c r="AI560" i="1"/>
  <c r="AK560" i="1" s="1"/>
  <c r="AJ560" i="1"/>
  <c r="AL560" i="1" s="1"/>
  <c r="AC561" i="1"/>
  <c r="AD561" i="1"/>
  <c r="AH561" i="1"/>
  <c r="AI561" i="1"/>
  <c r="AK561" i="1" s="1"/>
  <c r="AJ561" i="1"/>
  <c r="AL561" i="1" s="1"/>
  <c r="AC562" i="1"/>
  <c r="AD562" i="1"/>
  <c r="AH562" i="1"/>
  <c r="AI562" i="1"/>
  <c r="AK562" i="1" s="1"/>
  <c r="AJ562" i="1"/>
  <c r="AL562" i="1" s="1"/>
  <c r="AC563" i="1"/>
  <c r="AD563" i="1"/>
  <c r="AH563" i="1"/>
  <c r="AI563" i="1"/>
  <c r="AK563" i="1" s="1"/>
  <c r="AJ563" i="1"/>
  <c r="AL563" i="1" s="1"/>
  <c r="AC564" i="1"/>
  <c r="AD564" i="1"/>
  <c r="AH564" i="1"/>
  <c r="AI564" i="1"/>
  <c r="AJ564" i="1"/>
  <c r="AL564" i="1" s="1"/>
  <c r="AK564" i="1"/>
  <c r="AC565" i="1"/>
  <c r="AD565" i="1"/>
  <c r="AH565" i="1"/>
  <c r="AI565" i="1"/>
  <c r="AJ565" i="1"/>
  <c r="AL565" i="1" s="1"/>
  <c r="AK565" i="1"/>
  <c r="AC566" i="1"/>
  <c r="AD566" i="1"/>
  <c r="AH566" i="1"/>
  <c r="AI566" i="1"/>
  <c r="AK566" i="1" s="1"/>
  <c r="AJ566" i="1"/>
  <c r="AL566" i="1" s="1"/>
  <c r="AC567" i="1"/>
  <c r="AD567" i="1"/>
  <c r="AH567" i="1"/>
  <c r="AI567" i="1"/>
  <c r="AK567" i="1" s="1"/>
  <c r="AJ567" i="1"/>
  <c r="AL567" i="1"/>
  <c r="AC568" i="1"/>
  <c r="AD568" i="1"/>
  <c r="AH568" i="1"/>
  <c r="AI568" i="1"/>
  <c r="AK568" i="1" s="1"/>
  <c r="AJ568" i="1"/>
  <c r="AL568" i="1" s="1"/>
  <c r="AC569" i="1"/>
  <c r="AD569" i="1"/>
  <c r="AH569" i="1"/>
  <c r="AI569" i="1"/>
  <c r="AK569" i="1" s="1"/>
  <c r="AJ569" i="1"/>
  <c r="AL569" i="1" s="1"/>
  <c r="AC746" i="1"/>
  <c r="AD746" i="1"/>
  <c r="AH746" i="1"/>
  <c r="AI746" i="1"/>
  <c r="AK746" i="1" s="1"/>
  <c r="AJ746" i="1"/>
  <c r="AL746" i="1"/>
  <c r="AC570" i="1"/>
  <c r="AD570" i="1"/>
  <c r="AH570" i="1"/>
  <c r="AI570" i="1"/>
  <c r="AJ570" i="1"/>
  <c r="AL570" i="1" s="1"/>
  <c r="AK570" i="1"/>
  <c r="AC571" i="1"/>
  <c r="AD571" i="1"/>
  <c r="AH571" i="1"/>
  <c r="AI571" i="1"/>
  <c r="AK571" i="1" s="1"/>
  <c r="AJ571" i="1"/>
  <c r="AL571" i="1" s="1"/>
  <c r="AC572" i="1"/>
  <c r="AD572" i="1"/>
  <c r="AH572" i="1"/>
  <c r="AI572" i="1"/>
  <c r="AK572" i="1" s="1"/>
  <c r="AJ572" i="1"/>
  <c r="AL572" i="1" s="1"/>
  <c r="AC573" i="1"/>
  <c r="AD573" i="1"/>
  <c r="AH573" i="1"/>
  <c r="AI573" i="1"/>
  <c r="AK573" i="1" s="1"/>
  <c r="AJ573" i="1"/>
  <c r="AL573" i="1" s="1"/>
  <c r="AC747" i="1"/>
  <c r="AD747" i="1"/>
  <c r="AH747" i="1"/>
  <c r="AI747" i="1"/>
  <c r="AK747" i="1" s="1"/>
  <c r="AJ747" i="1"/>
  <c r="AL747" i="1" s="1"/>
  <c r="AC748" i="1"/>
  <c r="AD748" i="1"/>
  <c r="AH748" i="1"/>
  <c r="AI748" i="1"/>
  <c r="AK748" i="1" s="1"/>
  <c r="AJ748" i="1"/>
  <c r="AL748" i="1" s="1"/>
  <c r="AC574" i="1"/>
  <c r="AD574" i="1"/>
  <c r="AH574" i="1"/>
  <c r="AI574" i="1"/>
  <c r="AK574" i="1" s="1"/>
  <c r="AJ574" i="1"/>
  <c r="AL574" i="1" s="1"/>
  <c r="AC749" i="1"/>
  <c r="AD749" i="1"/>
  <c r="AH749" i="1"/>
  <c r="AI749" i="1"/>
  <c r="AJ749" i="1"/>
  <c r="AL749" i="1" s="1"/>
  <c r="AK749" i="1"/>
  <c r="AC575" i="1"/>
  <c r="AD575" i="1"/>
  <c r="AH575" i="1"/>
  <c r="AI575" i="1"/>
  <c r="AK575" i="1" s="1"/>
  <c r="AJ575" i="1"/>
  <c r="AL575" i="1"/>
  <c r="AC750" i="1"/>
  <c r="AD750" i="1"/>
  <c r="AH750" i="1"/>
  <c r="AI750" i="1"/>
  <c r="AJ750" i="1"/>
  <c r="AL750" i="1" s="1"/>
  <c r="AK750" i="1"/>
  <c r="AC576" i="1"/>
  <c r="AD576" i="1"/>
  <c r="AH576" i="1"/>
  <c r="AI576" i="1"/>
  <c r="AK576" i="1" s="1"/>
  <c r="AJ576" i="1"/>
  <c r="AL576" i="1" s="1"/>
  <c r="AC577" i="1"/>
  <c r="AD577" i="1"/>
  <c r="AH577" i="1"/>
  <c r="AI577" i="1"/>
  <c r="AK577" i="1" s="1"/>
  <c r="AJ577" i="1"/>
  <c r="AL577" i="1" s="1"/>
  <c r="AC751" i="1"/>
  <c r="AD751" i="1"/>
  <c r="AH751" i="1"/>
  <c r="AI751" i="1"/>
  <c r="AK751" i="1" s="1"/>
  <c r="AJ751" i="1"/>
  <c r="AL751" i="1" s="1"/>
  <c r="AC578" i="1"/>
  <c r="AD578" i="1"/>
  <c r="AH578" i="1"/>
  <c r="AI578" i="1"/>
  <c r="AJ578" i="1"/>
  <c r="AL578" i="1" s="1"/>
  <c r="AK578" i="1"/>
  <c r="AC579" i="1"/>
  <c r="AD579" i="1"/>
  <c r="AH579" i="1"/>
  <c r="AI579" i="1"/>
  <c r="AK579" i="1" s="1"/>
  <c r="AJ579" i="1"/>
  <c r="AL579" i="1" s="1"/>
  <c r="AC580" i="1"/>
  <c r="AD580" i="1"/>
  <c r="AH580" i="1"/>
  <c r="AI580" i="1"/>
  <c r="AK580" i="1" s="1"/>
  <c r="AJ580" i="1"/>
  <c r="AL580" i="1" s="1"/>
  <c r="AC581" i="1"/>
  <c r="AD581" i="1"/>
  <c r="AH581" i="1"/>
  <c r="AI581" i="1"/>
  <c r="AK581" i="1" s="1"/>
  <c r="AJ581" i="1"/>
  <c r="AL581" i="1" s="1"/>
  <c r="AC582" i="1"/>
  <c r="AD582" i="1"/>
  <c r="AH582" i="1"/>
  <c r="AI582" i="1"/>
  <c r="AK582" i="1" s="1"/>
  <c r="AJ582" i="1"/>
  <c r="AL582" i="1"/>
  <c r="AC583" i="1"/>
  <c r="AD583" i="1"/>
  <c r="AH583" i="1"/>
  <c r="AI583" i="1"/>
  <c r="AK583" i="1" s="1"/>
  <c r="AJ583" i="1"/>
  <c r="AL583" i="1" s="1"/>
  <c r="AC584" i="1"/>
  <c r="AD584" i="1"/>
  <c r="AH584" i="1"/>
  <c r="AI584" i="1"/>
  <c r="AK584" i="1" s="1"/>
  <c r="AJ584" i="1"/>
  <c r="AL584" i="1"/>
  <c r="AC585" i="1"/>
  <c r="AD585" i="1"/>
  <c r="AH585" i="1"/>
  <c r="AI585" i="1"/>
  <c r="AK585" i="1" s="1"/>
  <c r="AJ585" i="1"/>
  <c r="AL585" i="1" s="1"/>
  <c r="AC752" i="1"/>
  <c r="AD752" i="1"/>
  <c r="AH752" i="1"/>
  <c r="AI752" i="1"/>
  <c r="AK752" i="1" s="1"/>
  <c r="AJ752" i="1"/>
  <c r="AL752" i="1" s="1"/>
  <c r="AC586" i="1"/>
  <c r="AD586" i="1"/>
  <c r="AH586" i="1"/>
  <c r="AI586" i="1"/>
  <c r="AK586" i="1" s="1"/>
  <c r="AJ586" i="1"/>
  <c r="AL586" i="1" s="1"/>
  <c r="AC587" i="1"/>
  <c r="AD587" i="1"/>
  <c r="AH587" i="1"/>
  <c r="AI587" i="1"/>
  <c r="AK587" i="1" s="1"/>
  <c r="AJ587" i="1"/>
  <c r="AL587" i="1"/>
  <c r="AC588" i="1"/>
  <c r="AD588" i="1"/>
  <c r="AH588" i="1"/>
  <c r="AI588" i="1"/>
  <c r="AK588" i="1" s="1"/>
  <c r="AJ588" i="1"/>
  <c r="AL588" i="1" s="1"/>
  <c r="AC753" i="1"/>
  <c r="AD753" i="1"/>
  <c r="AH753" i="1"/>
  <c r="AI753" i="1"/>
  <c r="AK753" i="1" s="1"/>
  <c r="AJ753" i="1"/>
  <c r="AL753" i="1" s="1"/>
  <c r="AC589" i="1"/>
  <c r="AD589" i="1"/>
  <c r="AH589" i="1"/>
  <c r="AI589" i="1"/>
  <c r="AK589" i="1" s="1"/>
  <c r="AJ589" i="1"/>
  <c r="AL589" i="1"/>
  <c r="AC590" i="1"/>
  <c r="AD590" i="1"/>
  <c r="AH590" i="1"/>
  <c r="AI590" i="1"/>
  <c r="AK590" i="1" s="1"/>
  <c r="AJ590" i="1"/>
  <c r="AL590" i="1" s="1"/>
  <c r="AC591" i="1"/>
  <c r="AD591" i="1"/>
  <c r="AH591" i="1"/>
  <c r="AI591" i="1"/>
  <c r="AK591" i="1" s="1"/>
  <c r="AJ591" i="1"/>
  <c r="AL591" i="1"/>
  <c r="AC592" i="1"/>
  <c r="AD592" i="1"/>
  <c r="AH592" i="1"/>
  <c r="AI592" i="1"/>
  <c r="AK592" i="1" s="1"/>
  <c r="AJ592" i="1"/>
  <c r="AL592" i="1" s="1"/>
  <c r="AC593" i="1"/>
  <c r="AD593" i="1"/>
  <c r="AH593" i="1"/>
  <c r="AI593" i="1"/>
  <c r="AK593" i="1" s="1"/>
  <c r="AJ593" i="1"/>
  <c r="AL593" i="1"/>
  <c r="AC594" i="1"/>
  <c r="AD594" i="1"/>
  <c r="AH594" i="1"/>
  <c r="AI594" i="1"/>
  <c r="AK594" i="1" s="1"/>
  <c r="AJ594" i="1"/>
  <c r="AL594" i="1" s="1"/>
  <c r="AC754" i="1"/>
  <c r="AD754" i="1"/>
  <c r="AH754" i="1"/>
  <c r="AI754" i="1"/>
  <c r="AK754" i="1" s="1"/>
  <c r="AJ754" i="1"/>
  <c r="AL754" i="1"/>
  <c r="AC595" i="1"/>
  <c r="AD595" i="1"/>
  <c r="AH595" i="1"/>
  <c r="AI595" i="1"/>
  <c r="AK595" i="1" s="1"/>
  <c r="AJ595" i="1"/>
  <c r="AL595" i="1" s="1"/>
  <c r="AC596" i="1"/>
  <c r="AD596" i="1"/>
  <c r="AH596" i="1"/>
  <c r="AI596" i="1"/>
  <c r="AK596" i="1" s="1"/>
  <c r="AJ596" i="1"/>
  <c r="AL596" i="1" s="1"/>
  <c r="AC755" i="1"/>
  <c r="AD755" i="1"/>
  <c r="AH755" i="1"/>
  <c r="AI755" i="1"/>
  <c r="AK755" i="1" s="1"/>
  <c r="AJ755" i="1"/>
  <c r="AL755" i="1"/>
  <c r="AC597" i="1"/>
  <c r="AD597" i="1"/>
  <c r="AH597" i="1"/>
  <c r="AI597" i="1"/>
  <c r="AK597" i="1" s="1"/>
  <c r="AJ597" i="1"/>
  <c r="AL597" i="1" s="1"/>
  <c r="AC598" i="1"/>
  <c r="AD598" i="1"/>
  <c r="AH598" i="1"/>
  <c r="AI598" i="1"/>
  <c r="AJ598" i="1"/>
  <c r="AL598" i="1" s="1"/>
  <c r="AK598" i="1"/>
  <c r="AC599" i="1"/>
  <c r="AD599" i="1"/>
  <c r="AH599" i="1"/>
  <c r="AI599" i="1"/>
  <c r="AJ599" i="1"/>
  <c r="AL599" i="1" s="1"/>
  <c r="AK599" i="1"/>
  <c r="AC600" i="1"/>
  <c r="AD600" i="1"/>
  <c r="AH600" i="1"/>
  <c r="AI600" i="1"/>
  <c r="AK600" i="1" s="1"/>
  <c r="AJ600" i="1"/>
  <c r="AL600" i="1" s="1"/>
  <c r="AC601" i="1"/>
  <c r="AD601" i="1"/>
  <c r="AH601" i="1"/>
  <c r="AI601" i="1"/>
  <c r="AJ601" i="1"/>
  <c r="AK601" i="1"/>
  <c r="AL601" i="1"/>
  <c r="AC602" i="1"/>
  <c r="AD602" i="1"/>
  <c r="AH602" i="1"/>
  <c r="AI602" i="1"/>
  <c r="AK602" i="1" s="1"/>
  <c r="AJ602" i="1"/>
  <c r="AL602" i="1" s="1"/>
  <c r="AC603" i="1"/>
  <c r="AD603" i="1"/>
  <c r="AH603" i="1"/>
  <c r="AI603" i="1"/>
  <c r="AK603" i="1" s="1"/>
  <c r="AJ603" i="1"/>
  <c r="AL603" i="1" s="1"/>
  <c r="AC756" i="1"/>
  <c r="AD756" i="1"/>
  <c r="AH756" i="1"/>
  <c r="AI756" i="1"/>
  <c r="AK756" i="1" s="1"/>
  <c r="AJ756" i="1"/>
  <c r="AL756" i="1" s="1"/>
  <c r="AC604" i="1"/>
  <c r="AD604" i="1"/>
  <c r="AH604" i="1"/>
  <c r="AI604" i="1"/>
  <c r="AK604" i="1" s="1"/>
  <c r="AJ604" i="1"/>
  <c r="AL604" i="1"/>
  <c r="AC605" i="1"/>
  <c r="AD605" i="1"/>
  <c r="AH605" i="1"/>
  <c r="AI605" i="1"/>
  <c r="AK605" i="1" s="1"/>
  <c r="AJ605" i="1"/>
  <c r="AL605" i="1" s="1"/>
  <c r="AC606" i="1"/>
  <c r="AD606" i="1"/>
  <c r="AH606" i="1"/>
  <c r="AI606" i="1"/>
  <c r="AK606" i="1" s="1"/>
  <c r="AJ606" i="1"/>
  <c r="AL606" i="1" s="1"/>
  <c r="AC607" i="1"/>
  <c r="AD607" i="1"/>
  <c r="AH607" i="1"/>
  <c r="AI607" i="1"/>
  <c r="AK607" i="1" s="1"/>
  <c r="AJ607" i="1"/>
  <c r="AL607" i="1"/>
  <c r="AC608" i="1"/>
  <c r="AD608" i="1"/>
  <c r="AH608" i="1"/>
  <c r="AI608" i="1"/>
  <c r="AK608" i="1" s="1"/>
  <c r="AJ608" i="1"/>
  <c r="AL608" i="1" s="1"/>
  <c r="AC609" i="1"/>
  <c r="AD609" i="1"/>
  <c r="AH609" i="1"/>
  <c r="AI609" i="1"/>
  <c r="AK609" i="1" s="1"/>
  <c r="AJ609" i="1"/>
  <c r="AL609" i="1"/>
  <c r="AC610" i="1"/>
  <c r="AD610" i="1"/>
  <c r="AH610" i="1"/>
  <c r="AI610" i="1"/>
  <c r="AK610" i="1" s="1"/>
  <c r="AJ610" i="1"/>
  <c r="AL610" i="1"/>
  <c r="AC611" i="1"/>
  <c r="AD611" i="1"/>
  <c r="AH611" i="1"/>
  <c r="AI611" i="1"/>
  <c r="AK611" i="1" s="1"/>
  <c r="AJ611" i="1"/>
  <c r="AL611" i="1" s="1"/>
  <c r="AC757" i="1"/>
  <c r="AD757" i="1"/>
  <c r="AH757" i="1"/>
  <c r="AI757" i="1"/>
  <c r="AJ757" i="1"/>
  <c r="AK757" i="1"/>
  <c r="AL757" i="1"/>
  <c r="AC758" i="1"/>
  <c r="AD758" i="1"/>
  <c r="AH758" i="1"/>
  <c r="AI758" i="1"/>
  <c r="AK758" i="1" s="1"/>
  <c r="AJ758" i="1"/>
  <c r="AL758" i="1" s="1"/>
  <c r="AC759" i="1"/>
  <c r="AD759" i="1"/>
  <c r="AH759" i="1"/>
  <c r="AI759" i="1"/>
  <c r="AK759" i="1" s="1"/>
  <c r="AJ759" i="1"/>
  <c r="AL759" i="1"/>
  <c r="AC760" i="1"/>
  <c r="AD760" i="1"/>
  <c r="AH760" i="1"/>
  <c r="AI760" i="1"/>
  <c r="AK760" i="1" s="1"/>
  <c r="AJ760" i="1"/>
  <c r="AL760" i="1" s="1"/>
  <c r="AC612" i="1"/>
  <c r="AD612" i="1"/>
  <c r="AH612" i="1"/>
  <c r="AI612" i="1"/>
  <c r="AK612" i="1" s="1"/>
  <c r="AJ612" i="1"/>
  <c r="AL612" i="1" s="1"/>
  <c r="AC613" i="1"/>
  <c r="AD613" i="1"/>
  <c r="AH613" i="1"/>
  <c r="AI613" i="1"/>
  <c r="AK613" i="1" s="1"/>
  <c r="AJ613" i="1"/>
  <c r="AL613" i="1" s="1"/>
  <c r="AC614" i="1"/>
  <c r="AD614" i="1"/>
  <c r="AH614" i="1"/>
  <c r="AI614" i="1"/>
  <c r="AK614" i="1" s="1"/>
  <c r="AJ614" i="1"/>
  <c r="AL614" i="1" s="1"/>
  <c r="AC615" i="1"/>
  <c r="AD615" i="1"/>
  <c r="AH615" i="1"/>
  <c r="AI615" i="1"/>
  <c r="AK615" i="1" s="1"/>
  <c r="AJ615" i="1"/>
  <c r="AL615" i="1" s="1"/>
  <c r="AC616" i="1"/>
  <c r="AD616" i="1"/>
  <c r="AH616" i="1"/>
  <c r="AI616" i="1"/>
  <c r="AJ616" i="1"/>
  <c r="AL616" i="1" s="1"/>
  <c r="AK616" i="1"/>
  <c r="AC617" i="1"/>
  <c r="AD617" i="1"/>
  <c r="AH617" i="1"/>
  <c r="AI617" i="1"/>
  <c r="AK617" i="1" s="1"/>
  <c r="AJ617" i="1"/>
  <c r="AL617" i="1" s="1"/>
  <c r="AC618" i="1"/>
  <c r="AD618" i="1"/>
  <c r="AH618" i="1"/>
  <c r="AI618" i="1"/>
  <c r="AK618" i="1" s="1"/>
  <c r="AJ618" i="1"/>
  <c r="AL618" i="1" s="1"/>
  <c r="AC761" i="1"/>
  <c r="AD761" i="1"/>
  <c r="AH761" i="1"/>
  <c r="AI761" i="1"/>
  <c r="AK761" i="1" s="1"/>
  <c r="AJ761" i="1"/>
  <c r="AL761" i="1" s="1"/>
  <c r="AC619" i="1"/>
  <c r="AD619" i="1"/>
  <c r="AH619" i="1"/>
  <c r="AI619" i="1"/>
  <c r="AK619" i="1" s="1"/>
  <c r="AJ619" i="1"/>
  <c r="AL619" i="1" s="1"/>
  <c r="AC620" i="1"/>
  <c r="AD620" i="1"/>
  <c r="AH620" i="1"/>
  <c r="AI620" i="1"/>
  <c r="AK620" i="1" s="1"/>
  <c r="AJ620" i="1"/>
  <c r="AL620" i="1" s="1"/>
  <c r="AC762" i="1"/>
  <c r="AD762" i="1"/>
  <c r="AH762" i="1"/>
  <c r="AI762" i="1"/>
  <c r="AK762" i="1" s="1"/>
  <c r="AJ762" i="1"/>
  <c r="AL762" i="1" s="1"/>
  <c r="AC621" i="1"/>
  <c r="AD621" i="1"/>
  <c r="AH621" i="1"/>
  <c r="AI621" i="1"/>
  <c r="AK621" i="1" s="1"/>
  <c r="AJ621" i="1"/>
  <c r="AL621" i="1"/>
  <c r="AC622" i="1"/>
  <c r="AD622" i="1"/>
  <c r="AH622" i="1"/>
  <c r="AI622" i="1"/>
  <c r="AK622" i="1" s="1"/>
  <c r="AJ622" i="1"/>
  <c r="AL622" i="1" s="1"/>
  <c r="AC623" i="1"/>
  <c r="AD623" i="1"/>
  <c r="AH623" i="1"/>
  <c r="AI623" i="1"/>
  <c r="AK623" i="1" s="1"/>
  <c r="AJ623" i="1"/>
  <c r="AL623" i="1"/>
  <c r="AC624" i="1"/>
  <c r="AD624" i="1"/>
  <c r="AH624" i="1"/>
  <c r="AI624" i="1"/>
  <c r="AK624" i="1" s="1"/>
  <c r="AJ624" i="1"/>
  <c r="AL624" i="1" s="1"/>
  <c r="AC763" i="1"/>
  <c r="AD763" i="1"/>
  <c r="AH763" i="1"/>
  <c r="AI763" i="1"/>
  <c r="AK763" i="1" s="1"/>
  <c r="AJ763" i="1"/>
  <c r="AL763" i="1" s="1"/>
  <c r="AC625" i="1"/>
  <c r="AD625" i="1"/>
  <c r="AH625" i="1"/>
  <c r="AI625" i="1"/>
  <c r="AK625" i="1" s="1"/>
  <c r="AJ625" i="1"/>
  <c r="AL625" i="1"/>
  <c r="AC626" i="1"/>
  <c r="AD626" i="1"/>
  <c r="AH626" i="1"/>
  <c r="AI626" i="1"/>
  <c r="AK626" i="1" s="1"/>
  <c r="AJ626" i="1"/>
  <c r="AL626" i="1" s="1"/>
  <c r="AC627" i="1"/>
  <c r="AD627" i="1"/>
  <c r="AH627" i="1"/>
  <c r="AI627" i="1"/>
  <c r="AK627" i="1" s="1"/>
  <c r="AJ627" i="1"/>
  <c r="AL627" i="1"/>
  <c r="AC628" i="1"/>
  <c r="AD628" i="1"/>
  <c r="AH628" i="1"/>
  <c r="AI628" i="1"/>
  <c r="AK628" i="1" s="1"/>
  <c r="AJ628" i="1"/>
  <c r="AL628" i="1" s="1"/>
  <c r="AC629" i="1"/>
  <c r="AD629" i="1"/>
  <c r="AH629" i="1"/>
  <c r="AI629" i="1"/>
  <c r="AK629" i="1" s="1"/>
  <c r="AJ629" i="1"/>
  <c r="AL629" i="1" s="1"/>
  <c r="AC630" i="1"/>
  <c r="AD630" i="1"/>
  <c r="AH630" i="1"/>
  <c r="AI630" i="1"/>
  <c r="AK630" i="1" s="1"/>
  <c r="AJ630" i="1"/>
  <c r="AL630" i="1" s="1"/>
  <c r="AC631" i="1"/>
  <c r="AD631" i="1"/>
  <c r="AH631" i="1"/>
  <c r="AI631" i="1"/>
  <c r="AK631" i="1" s="1"/>
  <c r="AJ631" i="1"/>
  <c r="AL631" i="1" s="1"/>
  <c r="AC632" i="1"/>
  <c r="AD632" i="1"/>
  <c r="AH632" i="1"/>
  <c r="AI632" i="1"/>
  <c r="AK632" i="1" s="1"/>
  <c r="AJ632" i="1"/>
  <c r="AL632" i="1" s="1"/>
  <c r="AC633" i="1"/>
  <c r="AD633" i="1"/>
  <c r="AH633" i="1"/>
  <c r="AI633" i="1"/>
  <c r="AK633" i="1" s="1"/>
  <c r="AJ633" i="1"/>
  <c r="AL633" i="1" s="1"/>
  <c r="AC764" i="1"/>
  <c r="AD764" i="1"/>
  <c r="AH764" i="1"/>
  <c r="AI764" i="1"/>
  <c r="AK764" i="1" s="1"/>
  <c r="AJ764" i="1"/>
  <c r="AL764" i="1" s="1"/>
  <c r="AC634" i="1"/>
  <c r="AD634" i="1"/>
  <c r="AH634" i="1"/>
  <c r="AI634" i="1"/>
  <c r="AK634" i="1" s="1"/>
  <c r="AJ634" i="1"/>
  <c r="AL634" i="1" s="1"/>
  <c r="AC635" i="1"/>
  <c r="AD635" i="1"/>
  <c r="AH635" i="1"/>
  <c r="AI635" i="1"/>
  <c r="AJ635" i="1"/>
  <c r="AL635" i="1" s="1"/>
  <c r="AK635" i="1"/>
  <c r="AC636" i="1"/>
  <c r="AD636" i="1"/>
  <c r="AH636" i="1"/>
  <c r="AI636" i="1"/>
  <c r="AK636" i="1" s="1"/>
  <c r="AJ636" i="1"/>
  <c r="AL636" i="1" s="1"/>
  <c r="AC637" i="1"/>
  <c r="AD637" i="1"/>
  <c r="AH637" i="1"/>
  <c r="AI637" i="1"/>
  <c r="AJ637" i="1"/>
  <c r="AK637" i="1"/>
  <c r="AL637" i="1"/>
  <c r="AC638" i="1"/>
  <c r="AD638" i="1"/>
  <c r="AH638" i="1"/>
  <c r="AI638" i="1"/>
  <c r="AK638" i="1" s="1"/>
  <c r="AJ638" i="1"/>
  <c r="AL638" i="1" s="1"/>
  <c r="AC639" i="1"/>
  <c r="AD639" i="1"/>
  <c r="AH639" i="1"/>
  <c r="AI639" i="1"/>
  <c r="AK639" i="1" s="1"/>
  <c r="AJ639" i="1"/>
  <c r="AL639" i="1"/>
  <c r="AC640" i="1"/>
  <c r="AD640" i="1"/>
  <c r="AH640" i="1"/>
  <c r="AI640" i="1"/>
  <c r="AK640" i="1" s="1"/>
  <c r="AJ640" i="1"/>
  <c r="AL640" i="1" s="1"/>
  <c r="AC641" i="1"/>
  <c r="AD641" i="1"/>
  <c r="AH641" i="1"/>
  <c r="AI641" i="1"/>
  <c r="AK641" i="1" s="1"/>
  <c r="AJ641" i="1"/>
  <c r="AL641" i="1"/>
  <c r="AC642" i="1"/>
  <c r="AD642" i="1"/>
  <c r="AH642" i="1"/>
  <c r="AI642" i="1"/>
  <c r="AJ642" i="1"/>
  <c r="AL642" i="1" s="1"/>
  <c r="AK642" i="1"/>
  <c r="AC765" i="1"/>
  <c r="AD765" i="1"/>
  <c r="AH765" i="1"/>
  <c r="AI765" i="1"/>
  <c r="AJ765" i="1"/>
  <c r="AL765" i="1" s="1"/>
  <c r="AK765" i="1"/>
  <c r="AC643" i="1"/>
  <c r="AD643" i="1"/>
  <c r="AH643" i="1"/>
  <c r="AI643" i="1"/>
  <c r="AK643" i="1" s="1"/>
  <c r="AJ643" i="1"/>
  <c r="AL643" i="1" s="1"/>
  <c r="AC644" i="1"/>
  <c r="AD644" i="1"/>
  <c r="AH644" i="1"/>
  <c r="AI644" i="1"/>
  <c r="AK644" i="1" s="1"/>
  <c r="AJ644" i="1"/>
  <c r="AL644" i="1" s="1"/>
  <c r="AC645" i="1"/>
  <c r="AD645" i="1"/>
  <c r="AH645" i="1"/>
  <c r="AI645" i="1"/>
  <c r="AK645" i="1" s="1"/>
  <c r="AJ645" i="1"/>
  <c r="AL645" i="1" s="1"/>
  <c r="AC766" i="1"/>
  <c r="AD766" i="1"/>
  <c r="AH766" i="1"/>
  <c r="AI766" i="1"/>
  <c r="AK766" i="1" s="1"/>
  <c r="AJ766" i="1"/>
  <c r="AL766" i="1" s="1"/>
  <c r="AC767" i="1"/>
  <c r="AD767" i="1"/>
  <c r="AH767" i="1"/>
  <c r="AI767" i="1"/>
  <c r="AK767" i="1" s="1"/>
  <c r="AJ767" i="1"/>
  <c r="AL767" i="1" s="1"/>
  <c r="AC768" i="1"/>
  <c r="AD768" i="1"/>
  <c r="AH768" i="1"/>
  <c r="AI768" i="1"/>
  <c r="AJ768" i="1"/>
  <c r="AK768" i="1"/>
  <c r="AL768" i="1"/>
  <c r="AC769" i="1"/>
  <c r="AD769" i="1"/>
  <c r="AH769" i="1"/>
  <c r="AI769" i="1"/>
  <c r="AK769" i="1" s="1"/>
  <c r="AJ769" i="1"/>
  <c r="AL769" i="1" s="1"/>
  <c r="AC646" i="1"/>
  <c r="AD646" i="1"/>
  <c r="AH646" i="1"/>
  <c r="AI646" i="1"/>
  <c r="AJ646" i="1"/>
  <c r="AL646" i="1" s="1"/>
  <c r="AK646" i="1"/>
  <c r="AC770" i="1"/>
  <c r="AD770" i="1"/>
  <c r="AH770" i="1"/>
  <c r="AI770" i="1"/>
  <c r="AK770" i="1" s="1"/>
  <c r="AJ770" i="1"/>
  <c r="AL770" i="1" s="1"/>
  <c r="AC647" i="1"/>
  <c r="AD647" i="1"/>
  <c r="AH647" i="1"/>
  <c r="AI647" i="1"/>
  <c r="AJ647" i="1"/>
  <c r="AL647" i="1" s="1"/>
  <c r="AK647" i="1"/>
  <c r="AC771" i="1"/>
  <c r="AD771" i="1"/>
  <c r="AH771" i="1"/>
  <c r="AI771" i="1"/>
  <c r="AK771" i="1" s="1"/>
  <c r="AJ771" i="1"/>
  <c r="AL771" i="1" s="1"/>
  <c r="AC772" i="1"/>
  <c r="AD772" i="1"/>
  <c r="AH772" i="1"/>
  <c r="AI772" i="1"/>
  <c r="AJ772" i="1"/>
  <c r="AK772" i="1"/>
  <c r="AL772" i="1"/>
  <c r="AC648" i="1"/>
  <c r="AD648" i="1"/>
  <c r="AH648" i="1"/>
  <c r="AI648" i="1"/>
  <c r="AK648" i="1" s="1"/>
  <c r="AJ648" i="1"/>
  <c r="AL648" i="1" s="1"/>
  <c r="AC649" i="1"/>
  <c r="AD649" i="1"/>
  <c r="AH649" i="1"/>
  <c r="AI649" i="1"/>
  <c r="AJ649" i="1"/>
  <c r="AL649" i="1" s="1"/>
  <c r="AK649" i="1"/>
  <c r="AC773" i="1"/>
  <c r="AD773" i="1"/>
  <c r="AH773" i="1"/>
  <c r="AI773" i="1"/>
  <c r="AK773" i="1" s="1"/>
  <c r="AJ773" i="1"/>
  <c r="AL773" i="1"/>
  <c r="AC774" i="1"/>
  <c r="AD774" i="1"/>
  <c r="AH774" i="1"/>
  <c r="AI774" i="1"/>
  <c r="AJ774" i="1"/>
  <c r="AL774" i="1" s="1"/>
  <c r="AK774" i="1"/>
  <c r="AC650" i="1"/>
  <c r="AD650" i="1"/>
  <c r="AH650" i="1"/>
  <c r="AI650" i="1"/>
  <c r="AK650" i="1" s="1"/>
  <c r="AJ650" i="1"/>
  <c r="AL650" i="1"/>
  <c r="AC651" i="1"/>
  <c r="AD651" i="1"/>
  <c r="AH651" i="1"/>
  <c r="AI651" i="1"/>
  <c r="AK651" i="1" s="1"/>
  <c r="AJ651" i="1"/>
  <c r="AL651" i="1"/>
  <c r="AC652" i="1"/>
  <c r="AD652" i="1"/>
  <c r="AH652" i="1"/>
  <c r="AI652" i="1"/>
  <c r="AJ652" i="1"/>
  <c r="AL652" i="1" s="1"/>
  <c r="AK652" i="1"/>
  <c r="AC775" i="1"/>
  <c r="AD775" i="1"/>
  <c r="AH775" i="1"/>
  <c r="AI775" i="1"/>
  <c r="AK775" i="1" s="1"/>
  <c r="AJ775" i="1"/>
  <c r="AL775" i="1"/>
  <c r="AC653" i="1"/>
  <c r="AD653" i="1"/>
  <c r="AH653" i="1"/>
  <c r="AI653" i="1"/>
  <c r="AK653" i="1" s="1"/>
  <c r="AJ653" i="1"/>
  <c r="AL653" i="1" s="1"/>
  <c r="AC776" i="1"/>
  <c r="AD776" i="1"/>
  <c r="AH776" i="1"/>
  <c r="AI776" i="1"/>
  <c r="AJ776" i="1"/>
  <c r="AL776" i="1" s="1"/>
  <c r="AK776" i="1"/>
  <c r="AC777" i="1"/>
  <c r="AD777" i="1"/>
  <c r="AH777" i="1"/>
  <c r="AI777" i="1"/>
  <c r="AK777" i="1" s="1"/>
  <c r="AJ777" i="1"/>
  <c r="AL777" i="1" s="1"/>
  <c r="AC654" i="1"/>
  <c r="AD654" i="1"/>
  <c r="AH654" i="1"/>
  <c r="AI654" i="1"/>
  <c r="AK654" i="1" s="1"/>
  <c r="AJ654" i="1"/>
  <c r="AL654" i="1" s="1"/>
  <c r="AC655" i="1"/>
  <c r="AD655" i="1"/>
  <c r="AH655" i="1"/>
  <c r="AI655" i="1"/>
  <c r="AK655" i="1" s="1"/>
  <c r="AJ655" i="1"/>
  <c r="AL655" i="1" s="1"/>
  <c r="AC778" i="1"/>
  <c r="AD778" i="1"/>
  <c r="AH778" i="1"/>
  <c r="AI778" i="1"/>
  <c r="AK778" i="1" s="1"/>
  <c r="AJ778" i="1"/>
  <c r="AL778" i="1" s="1"/>
  <c r="AC779" i="1"/>
  <c r="AD779" i="1"/>
  <c r="AH779" i="1"/>
  <c r="AI779" i="1"/>
  <c r="AK779" i="1" s="1"/>
  <c r="AJ779" i="1"/>
  <c r="AL779" i="1" s="1"/>
  <c r="AC656" i="1"/>
  <c r="AD656" i="1"/>
  <c r="AH656" i="1"/>
  <c r="AI656" i="1"/>
  <c r="AK656" i="1" s="1"/>
  <c r="AJ656" i="1"/>
  <c r="AL656" i="1" s="1"/>
  <c r="AC657" i="1"/>
  <c r="AD657" i="1"/>
  <c r="AH657" i="1"/>
  <c r="AI657" i="1"/>
  <c r="AK657" i="1" s="1"/>
  <c r="AJ657" i="1"/>
  <c r="AL657" i="1"/>
  <c r="AC780" i="1"/>
  <c r="AD780" i="1"/>
  <c r="AH780" i="1"/>
  <c r="AI780" i="1"/>
  <c r="AK780" i="1" s="1"/>
  <c r="AJ780" i="1"/>
  <c r="AL780" i="1" s="1"/>
  <c r="AC781" i="1"/>
  <c r="AD781" i="1"/>
  <c r="AH781" i="1"/>
  <c r="AI781" i="1"/>
  <c r="AK781" i="1" s="1"/>
  <c r="AJ781" i="1"/>
  <c r="AL781" i="1"/>
  <c r="AC658" i="1"/>
  <c r="AD658" i="1"/>
  <c r="AH658" i="1"/>
  <c r="AI658" i="1"/>
  <c r="AK658" i="1" s="1"/>
  <c r="AJ658" i="1"/>
  <c r="AL658" i="1" s="1"/>
  <c r="AC782" i="1"/>
  <c r="AD782" i="1"/>
  <c r="AH782" i="1"/>
  <c r="AI782" i="1"/>
  <c r="AK782" i="1" s="1"/>
  <c r="AJ782" i="1"/>
  <c r="AL782" i="1"/>
  <c r="AC659" i="1"/>
  <c r="AD659" i="1"/>
  <c r="AH659" i="1"/>
  <c r="AI659" i="1"/>
  <c r="AK659" i="1" s="1"/>
  <c r="AJ659" i="1"/>
  <c r="AL659" i="1" s="1"/>
  <c r="AC783" i="1"/>
  <c r="AD783" i="1"/>
  <c r="AH783" i="1"/>
  <c r="AI783" i="1"/>
  <c r="AK783" i="1" s="1"/>
  <c r="AJ783" i="1"/>
  <c r="AL783" i="1" s="1"/>
  <c r="AC660" i="1"/>
  <c r="AD660" i="1"/>
  <c r="AH660" i="1"/>
  <c r="AI660" i="1"/>
  <c r="AK660" i="1" s="1"/>
  <c r="AJ660" i="1"/>
  <c r="AL660" i="1" s="1"/>
  <c r="AC784" i="1"/>
  <c r="AD784" i="1"/>
  <c r="AH784" i="1"/>
  <c r="AI784" i="1"/>
  <c r="AK784" i="1" s="1"/>
  <c r="AJ784" i="1"/>
  <c r="AL784" i="1" s="1"/>
  <c r="AC785" i="1"/>
  <c r="AD785" i="1"/>
  <c r="AH785" i="1"/>
  <c r="AI785" i="1"/>
  <c r="AJ785" i="1"/>
  <c r="AL785" i="1" s="1"/>
  <c r="AK785" i="1"/>
  <c r="AC786" i="1"/>
  <c r="AD786" i="1"/>
  <c r="AH786" i="1"/>
  <c r="AI786" i="1"/>
  <c r="AK786" i="1" s="1"/>
  <c r="AJ786" i="1"/>
  <c r="AL786" i="1"/>
  <c r="AC787" i="1"/>
  <c r="AD787" i="1"/>
  <c r="AH787" i="1"/>
  <c r="AI787" i="1"/>
  <c r="AK787" i="1" s="1"/>
  <c r="AJ787" i="1"/>
  <c r="AL787" i="1" s="1"/>
  <c r="AC788" i="1"/>
  <c r="AD788" i="1"/>
  <c r="AH788" i="1"/>
  <c r="AI788" i="1"/>
  <c r="AK788" i="1" s="1"/>
  <c r="AJ788" i="1"/>
  <c r="AL788" i="1" s="1"/>
  <c r="AC789" i="1"/>
  <c r="AD789" i="1"/>
  <c r="AH789" i="1"/>
  <c r="AI789" i="1"/>
  <c r="AK789" i="1" s="1"/>
  <c r="AJ789" i="1"/>
  <c r="AL789" i="1"/>
  <c r="AC790" i="1"/>
  <c r="AD790" i="1"/>
  <c r="AH790" i="1"/>
  <c r="AI790" i="1"/>
  <c r="AK790" i="1" s="1"/>
  <c r="AJ790" i="1"/>
  <c r="AL790" i="1" s="1"/>
  <c r="AC791" i="1"/>
  <c r="AD791" i="1"/>
  <c r="AH791" i="1"/>
  <c r="AI791" i="1"/>
  <c r="AK791" i="1" s="1"/>
  <c r="AJ791" i="1"/>
  <c r="AL791" i="1" s="1"/>
  <c r="AC792" i="1"/>
  <c r="AD792" i="1"/>
  <c r="AH792" i="1"/>
  <c r="AI792" i="1"/>
  <c r="AK792" i="1" s="1"/>
  <c r="AJ792" i="1"/>
  <c r="AL792" i="1"/>
  <c r="AC793" i="1"/>
  <c r="AD793" i="1"/>
  <c r="AH793" i="1"/>
  <c r="AI793" i="1"/>
  <c r="AK793" i="1" s="1"/>
  <c r="AJ793" i="1"/>
  <c r="AL793" i="1" s="1"/>
  <c r="AC794" i="1"/>
  <c r="AD794" i="1"/>
  <c r="AH794" i="1"/>
  <c r="AI794" i="1"/>
  <c r="AK794" i="1" s="1"/>
  <c r="AJ794" i="1"/>
  <c r="AL794" i="1"/>
  <c r="AC795" i="1"/>
  <c r="AD795" i="1"/>
  <c r="AH795" i="1"/>
  <c r="AI795" i="1"/>
  <c r="AK795" i="1" s="1"/>
  <c r="AJ795" i="1"/>
  <c r="AL795" i="1" s="1"/>
  <c r="AC796" i="1"/>
  <c r="AD796" i="1"/>
  <c r="AH796" i="1"/>
  <c r="AI796" i="1"/>
  <c r="AK796" i="1" s="1"/>
  <c r="AJ796" i="1"/>
  <c r="AL796" i="1" s="1"/>
  <c r="AC797" i="1"/>
  <c r="AD797" i="1"/>
  <c r="AH797" i="1"/>
  <c r="AI797" i="1"/>
  <c r="AK797" i="1" s="1"/>
  <c r="AJ797" i="1"/>
  <c r="AL797" i="1"/>
  <c r="AC798" i="1"/>
  <c r="AD798" i="1"/>
  <c r="AH798" i="1"/>
  <c r="AI798" i="1"/>
  <c r="AK798" i="1" s="1"/>
  <c r="AJ798" i="1"/>
  <c r="AL798" i="1" s="1"/>
  <c r="AC799" i="1"/>
  <c r="AD799" i="1"/>
  <c r="AH799" i="1"/>
  <c r="AI799" i="1"/>
  <c r="AJ799" i="1"/>
  <c r="AL799" i="1" s="1"/>
  <c r="AK799" i="1"/>
  <c r="AC800" i="1"/>
  <c r="AD800" i="1"/>
  <c r="AH800" i="1"/>
  <c r="AI800" i="1"/>
  <c r="AK800" i="1" s="1"/>
  <c r="AJ800" i="1"/>
  <c r="AL800" i="1" s="1"/>
  <c r="AC801" i="1"/>
  <c r="AD801" i="1"/>
  <c r="AH801" i="1"/>
  <c r="AI801" i="1"/>
  <c r="AK801" i="1" s="1"/>
  <c r="AJ801" i="1"/>
  <c r="AL801" i="1" s="1"/>
  <c r="AC802" i="1"/>
  <c r="AD802" i="1"/>
  <c r="AH802" i="1"/>
  <c r="AI802" i="1"/>
  <c r="AK802" i="1" s="1"/>
  <c r="AJ802" i="1"/>
  <c r="AL802" i="1" s="1"/>
  <c r="AC803" i="1"/>
  <c r="AD803" i="1"/>
  <c r="AH803" i="1"/>
  <c r="AI803" i="1"/>
  <c r="AK803" i="1" s="1"/>
  <c r="AJ803" i="1"/>
  <c r="AL803" i="1"/>
  <c r="AC804" i="1"/>
  <c r="AD804" i="1"/>
  <c r="AH804" i="1"/>
  <c r="AI804" i="1"/>
  <c r="AK804" i="1" s="1"/>
  <c r="AJ804" i="1"/>
  <c r="AL804" i="1"/>
  <c r="AC805" i="1"/>
  <c r="AD805" i="1"/>
  <c r="AH805" i="1"/>
  <c r="AI805" i="1"/>
  <c r="AJ805" i="1"/>
  <c r="AK805" i="1"/>
  <c r="AL805" i="1"/>
  <c r="AC806" i="1"/>
  <c r="AD806" i="1"/>
  <c r="AH806" i="1"/>
  <c r="AI806" i="1"/>
  <c r="AK806" i="1" s="1"/>
  <c r="AJ806" i="1"/>
  <c r="AL806" i="1" s="1"/>
  <c r="AC807" i="1"/>
  <c r="AD807" i="1"/>
  <c r="AH807" i="1"/>
  <c r="AI807" i="1"/>
  <c r="AJ807" i="1"/>
  <c r="AL807" i="1" s="1"/>
  <c r="AK807" i="1"/>
  <c r="AC808" i="1"/>
  <c r="AD808" i="1"/>
  <c r="AH808" i="1"/>
  <c r="AI808" i="1"/>
  <c r="AK808" i="1" s="1"/>
  <c r="AJ808" i="1"/>
  <c r="AL808" i="1"/>
  <c r="AC809" i="1"/>
  <c r="AD809" i="1"/>
  <c r="AH809" i="1"/>
  <c r="AI809" i="1"/>
  <c r="AJ809" i="1"/>
  <c r="AL809" i="1" s="1"/>
  <c r="AK809" i="1"/>
  <c r="AC810" i="1"/>
  <c r="AD810" i="1"/>
  <c r="AH810" i="1"/>
  <c r="AI810" i="1"/>
  <c r="AK810" i="1" s="1"/>
  <c r="AJ810" i="1"/>
  <c r="AL810" i="1" s="1"/>
  <c r="AC811" i="1"/>
  <c r="AD811" i="1"/>
  <c r="AH811" i="1"/>
  <c r="AI811" i="1"/>
  <c r="AK811" i="1" s="1"/>
  <c r="AJ811" i="1"/>
  <c r="AL811" i="1" s="1"/>
  <c r="AC812" i="1"/>
  <c r="AD812" i="1"/>
  <c r="AH812" i="1"/>
  <c r="AI812" i="1"/>
  <c r="AK812" i="1" s="1"/>
  <c r="AJ812" i="1"/>
  <c r="AL812" i="1" s="1"/>
  <c r="AC813" i="1"/>
  <c r="AD813" i="1"/>
  <c r="AH813" i="1"/>
  <c r="AI813" i="1"/>
  <c r="AJ813" i="1"/>
  <c r="AL813" i="1" s="1"/>
  <c r="AK813" i="1"/>
  <c r="AC814" i="1"/>
  <c r="AD814" i="1"/>
  <c r="AH814" i="1"/>
  <c r="AI814" i="1"/>
  <c r="AK814" i="1" s="1"/>
  <c r="AJ814" i="1"/>
  <c r="AL814" i="1" s="1"/>
  <c r="AC815" i="1"/>
  <c r="AD815" i="1"/>
  <c r="AH815" i="1"/>
  <c r="AI815" i="1"/>
  <c r="AK815" i="1" s="1"/>
  <c r="AJ815" i="1"/>
  <c r="AL815" i="1"/>
  <c r="AC816" i="1"/>
  <c r="AD816" i="1"/>
  <c r="AH816" i="1"/>
  <c r="AI816" i="1"/>
  <c r="AK816" i="1" s="1"/>
  <c r="AJ816" i="1"/>
  <c r="AL816" i="1" s="1"/>
  <c r="AC817" i="1"/>
  <c r="AD817" i="1"/>
  <c r="AH817" i="1"/>
  <c r="AI817" i="1"/>
  <c r="AK817" i="1" s="1"/>
  <c r="AJ817" i="1"/>
  <c r="AL817" i="1" s="1"/>
  <c r="AC818" i="1"/>
  <c r="AD818" i="1"/>
  <c r="AH818" i="1"/>
  <c r="AI818" i="1"/>
  <c r="AK818" i="1" s="1"/>
  <c r="AJ818" i="1"/>
  <c r="AL818" i="1" s="1"/>
  <c r="AC819" i="1"/>
  <c r="AD819" i="1"/>
  <c r="AH819" i="1"/>
  <c r="AI819" i="1"/>
  <c r="AK819" i="1" s="1"/>
  <c r="AJ819" i="1"/>
  <c r="AL819" i="1"/>
  <c r="AC820" i="1"/>
  <c r="AD820" i="1"/>
  <c r="AH820" i="1"/>
  <c r="AI820" i="1"/>
  <c r="AK820" i="1" s="1"/>
  <c r="AJ820" i="1"/>
  <c r="AL820" i="1" s="1"/>
  <c r="AC821" i="1"/>
  <c r="AD821" i="1"/>
  <c r="AH821" i="1"/>
  <c r="AI821" i="1"/>
  <c r="AK821" i="1" s="1"/>
  <c r="AJ821" i="1"/>
  <c r="AL821" i="1" s="1"/>
  <c r="AC822" i="1"/>
  <c r="AD822" i="1"/>
  <c r="AH822" i="1"/>
  <c r="AI822" i="1"/>
  <c r="AK822" i="1" s="1"/>
  <c r="AJ822" i="1"/>
  <c r="AL822" i="1"/>
  <c r="AC823" i="1"/>
  <c r="AD823" i="1"/>
  <c r="AH823" i="1"/>
  <c r="AI823" i="1"/>
  <c r="AK823" i="1" s="1"/>
  <c r="AJ823" i="1"/>
  <c r="AL823" i="1" s="1"/>
  <c r="AC824" i="1"/>
  <c r="AD824" i="1"/>
  <c r="AH824" i="1"/>
  <c r="AI824" i="1"/>
  <c r="AK824" i="1" s="1"/>
  <c r="AJ824" i="1"/>
  <c r="AL824" i="1" s="1"/>
  <c r="AC825" i="1"/>
  <c r="AD825" i="1"/>
  <c r="AH825" i="1"/>
  <c r="AI825" i="1"/>
  <c r="AJ825" i="1"/>
  <c r="AK825" i="1"/>
  <c r="AL825" i="1"/>
  <c r="AC826" i="1"/>
  <c r="AD826" i="1"/>
  <c r="AH826" i="1"/>
  <c r="AI826" i="1"/>
  <c r="AK826" i="1" s="1"/>
  <c r="AJ826" i="1"/>
  <c r="AL826" i="1" s="1"/>
  <c r="AC827" i="1"/>
  <c r="AD827" i="1"/>
  <c r="AH827" i="1"/>
  <c r="AI827" i="1"/>
  <c r="AK827" i="1" s="1"/>
  <c r="AJ827" i="1"/>
  <c r="AL827" i="1" s="1"/>
  <c r="AC828" i="1"/>
  <c r="AD828" i="1"/>
  <c r="AH828" i="1"/>
  <c r="AI828" i="1"/>
  <c r="AK828" i="1" s="1"/>
  <c r="AJ828" i="1"/>
  <c r="AL828" i="1" s="1"/>
  <c r="AC829" i="1"/>
  <c r="AD829" i="1"/>
  <c r="AH829" i="1"/>
  <c r="AI829" i="1"/>
  <c r="AJ829" i="1"/>
  <c r="AL829" i="1" s="1"/>
  <c r="AK829" i="1"/>
  <c r="AC830" i="1"/>
  <c r="AD830" i="1"/>
  <c r="AH830" i="1"/>
  <c r="AI830" i="1"/>
  <c r="AJ830" i="1"/>
  <c r="AL830" i="1" s="1"/>
  <c r="AK830" i="1"/>
  <c r="AC831" i="1"/>
  <c r="AD831" i="1"/>
  <c r="AH831" i="1"/>
  <c r="AI831" i="1"/>
  <c r="AK831" i="1" s="1"/>
  <c r="AJ831" i="1"/>
  <c r="AL831" i="1" s="1"/>
  <c r="AC832" i="1"/>
  <c r="AD832" i="1"/>
  <c r="AH832" i="1"/>
  <c r="AI832" i="1"/>
  <c r="AK832" i="1" s="1"/>
  <c r="AJ832" i="1"/>
  <c r="AL832" i="1" s="1"/>
  <c r="AC833" i="1"/>
  <c r="AD833" i="1"/>
  <c r="AH833" i="1"/>
  <c r="AI833" i="1"/>
  <c r="AJ833" i="1"/>
  <c r="AK833" i="1"/>
  <c r="AL833" i="1"/>
  <c r="AC834" i="1"/>
  <c r="AD834" i="1"/>
  <c r="AH834" i="1"/>
  <c r="AI834" i="1"/>
  <c r="AK834" i="1" s="1"/>
  <c r="AJ834" i="1"/>
  <c r="AL834" i="1"/>
  <c r="AC835" i="1"/>
  <c r="AD835" i="1"/>
  <c r="AH835" i="1"/>
  <c r="AI835" i="1"/>
  <c r="AJ835" i="1"/>
  <c r="AK835" i="1"/>
  <c r="AL835" i="1"/>
  <c r="AC661" i="1"/>
  <c r="AD661" i="1"/>
  <c r="AH661" i="1"/>
  <c r="AI661" i="1"/>
  <c r="AK661" i="1" s="1"/>
  <c r="AJ661" i="1"/>
  <c r="AL661" i="1" s="1"/>
  <c r="AC836" i="1"/>
  <c r="AD836" i="1"/>
  <c r="AH836" i="1"/>
  <c r="AI836" i="1"/>
  <c r="AK836" i="1" s="1"/>
  <c r="AJ836" i="1"/>
  <c r="AL836" i="1" s="1"/>
  <c r="AC837" i="1"/>
  <c r="AD837" i="1"/>
  <c r="AH837" i="1"/>
  <c r="AI837" i="1"/>
  <c r="AJ837" i="1"/>
  <c r="AL837" i="1" s="1"/>
  <c r="AK837" i="1"/>
  <c r="AC838" i="1"/>
  <c r="AD838" i="1"/>
  <c r="AH838" i="1"/>
  <c r="AI838" i="1"/>
  <c r="AK838" i="1" s="1"/>
  <c r="AJ838" i="1"/>
  <c r="AL838" i="1" s="1"/>
  <c r="AC839" i="1"/>
  <c r="AD839" i="1"/>
  <c r="AH839" i="1"/>
  <c r="AI839" i="1"/>
  <c r="AK839" i="1" s="1"/>
  <c r="AJ839" i="1"/>
  <c r="AL839" i="1" s="1"/>
  <c r="AC840" i="1"/>
  <c r="AD840" i="1"/>
  <c r="AH840" i="1"/>
  <c r="AI840" i="1"/>
  <c r="AK840" i="1" s="1"/>
  <c r="AJ840" i="1"/>
  <c r="AL840" i="1"/>
  <c r="AC841" i="1"/>
  <c r="AD841" i="1"/>
  <c r="AH841" i="1"/>
  <c r="AI841" i="1"/>
  <c r="AK841" i="1" s="1"/>
  <c r="AJ841" i="1"/>
  <c r="AL841" i="1" s="1"/>
  <c r="AC842" i="1"/>
  <c r="AD842" i="1"/>
  <c r="AH842" i="1"/>
  <c r="AI842" i="1"/>
  <c r="AK842" i="1" s="1"/>
  <c r="AJ842" i="1"/>
  <c r="AL842" i="1" s="1"/>
  <c r="AC843" i="1"/>
  <c r="AD843" i="1"/>
  <c r="AH843" i="1"/>
  <c r="AI843" i="1"/>
  <c r="AJ843" i="1"/>
  <c r="AL843" i="1" s="1"/>
  <c r="AK843" i="1"/>
  <c r="AC844" i="1"/>
  <c r="AD844" i="1"/>
  <c r="AH844" i="1"/>
  <c r="AI844" i="1"/>
  <c r="AK844" i="1" s="1"/>
  <c r="AJ844" i="1"/>
  <c r="AL844" i="1" s="1"/>
  <c r="AC845" i="1"/>
  <c r="AD845" i="1"/>
  <c r="AH845" i="1"/>
  <c r="AI845" i="1"/>
  <c r="AK845" i="1" s="1"/>
  <c r="AJ845" i="1"/>
  <c r="AL845" i="1" s="1"/>
  <c r="AC846" i="1"/>
  <c r="AD846" i="1"/>
  <c r="AH846" i="1"/>
  <c r="AI846" i="1"/>
  <c r="AJ846" i="1"/>
  <c r="AL846" i="1" s="1"/>
  <c r="AK846" i="1"/>
  <c r="AC847" i="1"/>
  <c r="AD847" i="1"/>
  <c r="AH847" i="1"/>
  <c r="AI847" i="1"/>
  <c r="AK847" i="1" s="1"/>
  <c r="AJ847" i="1"/>
  <c r="AL847" i="1" s="1"/>
  <c r="AC848" i="1"/>
  <c r="AD848" i="1"/>
  <c r="AH848" i="1"/>
  <c r="AI848" i="1"/>
  <c r="AK848" i="1" s="1"/>
  <c r="AJ848" i="1"/>
  <c r="AL848" i="1" s="1"/>
  <c r="AC849" i="1"/>
  <c r="AD849" i="1"/>
  <c r="AH849" i="1"/>
  <c r="AI849" i="1"/>
  <c r="AK849" i="1" s="1"/>
  <c r="AJ849" i="1"/>
  <c r="AL849" i="1"/>
  <c r="AC850" i="1"/>
  <c r="AD850" i="1"/>
  <c r="AH850" i="1"/>
  <c r="AI850" i="1"/>
  <c r="AJ850" i="1"/>
  <c r="AL850" i="1" s="1"/>
  <c r="AK850" i="1"/>
  <c r="AC851" i="1"/>
  <c r="AD851" i="1"/>
  <c r="AH851" i="1"/>
  <c r="AI851" i="1"/>
  <c r="AK851" i="1" s="1"/>
  <c r="AJ851" i="1"/>
  <c r="AL851" i="1" s="1"/>
  <c r="AC852" i="1"/>
  <c r="AD852" i="1"/>
  <c r="AH852" i="1"/>
  <c r="AI852" i="1"/>
  <c r="AK852" i="1" s="1"/>
  <c r="AJ852" i="1"/>
  <c r="AL852" i="1"/>
  <c r="AC853" i="1"/>
  <c r="AD853" i="1"/>
  <c r="AH853" i="1"/>
  <c r="AI853" i="1"/>
  <c r="AK853" i="1" s="1"/>
  <c r="AJ853" i="1"/>
  <c r="AL853" i="1" s="1"/>
  <c r="AC854" i="1"/>
  <c r="AD854" i="1"/>
  <c r="AH854" i="1"/>
  <c r="AI854" i="1"/>
  <c r="AK854" i="1" s="1"/>
  <c r="AJ854" i="1"/>
  <c r="AL854" i="1"/>
  <c r="AC855" i="1"/>
  <c r="AD855" i="1"/>
  <c r="AH855" i="1"/>
  <c r="AI855" i="1"/>
  <c r="AK855" i="1" s="1"/>
  <c r="AJ855" i="1"/>
  <c r="AL855" i="1" s="1"/>
  <c r="AC856" i="1"/>
  <c r="AD856" i="1"/>
  <c r="AH856" i="1"/>
  <c r="AI856" i="1"/>
  <c r="AK856" i="1" s="1"/>
  <c r="AJ856" i="1"/>
  <c r="AL856" i="1" s="1"/>
  <c r="AC857" i="1"/>
  <c r="AD857" i="1"/>
  <c r="AH857" i="1"/>
  <c r="AI857" i="1"/>
  <c r="AK857" i="1" s="1"/>
  <c r="AJ857" i="1"/>
  <c r="AL857" i="1"/>
  <c r="AC858" i="1"/>
  <c r="AD858" i="1"/>
  <c r="AH858" i="1"/>
  <c r="AI858" i="1"/>
  <c r="AK858" i="1" s="1"/>
  <c r="AJ858" i="1"/>
  <c r="AL858" i="1" s="1"/>
  <c r="AC859" i="1"/>
  <c r="AD859" i="1"/>
  <c r="AH859" i="1"/>
  <c r="AI859" i="1"/>
  <c r="AK859" i="1" s="1"/>
  <c r="AJ859" i="1"/>
  <c r="AL859" i="1" s="1"/>
  <c r="AC860" i="1"/>
  <c r="AD860" i="1"/>
  <c r="AH860" i="1"/>
  <c r="AI860" i="1"/>
  <c r="AK860" i="1" s="1"/>
  <c r="AJ860" i="1"/>
  <c r="AL860" i="1" s="1"/>
  <c r="AC861" i="1"/>
  <c r="AD861" i="1"/>
  <c r="AH861" i="1"/>
  <c r="AI861" i="1"/>
  <c r="AK861" i="1" s="1"/>
  <c r="AJ861" i="1"/>
  <c r="AL861" i="1" s="1"/>
  <c r="AC862" i="1"/>
  <c r="AD862" i="1"/>
  <c r="AH862" i="1"/>
  <c r="AI862" i="1"/>
  <c r="AJ862" i="1"/>
  <c r="AK862" i="1"/>
  <c r="AL862" i="1"/>
  <c r="AC863" i="1"/>
  <c r="AD863" i="1"/>
  <c r="AH863" i="1"/>
  <c r="AI863" i="1"/>
  <c r="AK863" i="1" s="1"/>
  <c r="AJ863" i="1"/>
  <c r="AL863" i="1" s="1"/>
  <c r="AC864" i="1"/>
  <c r="AD864" i="1"/>
  <c r="AH864" i="1"/>
  <c r="AI864" i="1"/>
  <c r="AK864" i="1" s="1"/>
  <c r="AJ864" i="1"/>
  <c r="AL864" i="1" s="1"/>
  <c r="AC865" i="1"/>
  <c r="AD865" i="1"/>
  <c r="AH865" i="1"/>
  <c r="AI865" i="1"/>
  <c r="AK865" i="1" s="1"/>
  <c r="AJ865" i="1"/>
  <c r="AL865" i="1" s="1"/>
  <c r="AC866" i="1"/>
  <c r="AD866" i="1"/>
  <c r="AH866" i="1"/>
  <c r="AI866" i="1"/>
  <c r="AK866" i="1" s="1"/>
  <c r="AJ866" i="1"/>
  <c r="AL866" i="1" s="1"/>
  <c r="AC867" i="1"/>
  <c r="AD867" i="1"/>
  <c r="AH867" i="1"/>
  <c r="AI867" i="1"/>
  <c r="AK867" i="1" s="1"/>
  <c r="AJ867" i="1"/>
  <c r="AL867" i="1" s="1"/>
  <c r="AC868" i="1"/>
  <c r="AD868" i="1"/>
  <c r="AH868" i="1"/>
  <c r="AI868" i="1"/>
  <c r="AK868" i="1" s="1"/>
  <c r="AJ868" i="1"/>
  <c r="AL868" i="1" s="1"/>
  <c r="AC869" i="1"/>
  <c r="AD869" i="1"/>
  <c r="AH869" i="1"/>
  <c r="AI869" i="1"/>
  <c r="AK869" i="1" s="1"/>
  <c r="AJ869" i="1"/>
  <c r="AL869" i="1" s="1"/>
  <c r="AC870" i="1"/>
  <c r="AD870" i="1"/>
  <c r="AH870" i="1"/>
  <c r="AI870" i="1"/>
  <c r="AJ870" i="1"/>
  <c r="AL870" i="1" s="1"/>
  <c r="AK870" i="1"/>
  <c r="AC871" i="1"/>
  <c r="AD871" i="1"/>
  <c r="AH871" i="1"/>
  <c r="AI871" i="1"/>
  <c r="AK871" i="1" s="1"/>
  <c r="AJ871" i="1"/>
  <c r="AL871" i="1"/>
  <c r="AC872" i="1"/>
  <c r="AD872" i="1"/>
  <c r="AH872" i="1"/>
  <c r="AI872" i="1"/>
  <c r="AK872" i="1" s="1"/>
  <c r="AJ872" i="1"/>
  <c r="AL872" i="1" s="1"/>
  <c r="AC873" i="1"/>
  <c r="AD873" i="1"/>
  <c r="AH873" i="1"/>
  <c r="AI873" i="1"/>
  <c r="AJ873" i="1"/>
  <c r="AL873" i="1" s="1"/>
  <c r="AK873" i="1"/>
  <c r="AC874" i="1"/>
  <c r="AD874" i="1"/>
  <c r="AH874" i="1"/>
  <c r="AI874" i="1"/>
  <c r="AJ874" i="1"/>
  <c r="AK874" i="1"/>
  <c r="AL874" i="1"/>
  <c r="AC875" i="1"/>
  <c r="AD875" i="1"/>
  <c r="AH875" i="1"/>
  <c r="AI875" i="1"/>
  <c r="AK875" i="1" s="1"/>
  <c r="AJ875" i="1"/>
  <c r="AL875" i="1" s="1"/>
  <c r="AC876" i="1"/>
  <c r="AD876" i="1"/>
  <c r="AH876" i="1"/>
  <c r="AI876" i="1"/>
  <c r="AK876" i="1" s="1"/>
  <c r="AJ876" i="1"/>
  <c r="AL876" i="1"/>
  <c r="AC877" i="1"/>
  <c r="AD877" i="1"/>
  <c r="AH877" i="1"/>
  <c r="AI877" i="1"/>
  <c r="AK877" i="1" s="1"/>
  <c r="AJ877" i="1"/>
  <c r="AL877" i="1" s="1"/>
  <c r="AC878" i="1"/>
  <c r="AD878" i="1"/>
  <c r="AH878" i="1"/>
  <c r="AI878" i="1"/>
  <c r="AJ878" i="1"/>
  <c r="AL878" i="1" s="1"/>
  <c r="AK878" i="1"/>
  <c r="AC879" i="1"/>
  <c r="AD879" i="1"/>
  <c r="AH879" i="1"/>
  <c r="AI879" i="1"/>
  <c r="AK879" i="1" s="1"/>
  <c r="AJ879" i="1"/>
  <c r="AL879" i="1" s="1"/>
  <c r="AC880" i="1"/>
  <c r="AD880" i="1"/>
  <c r="AH880" i="1"/>
  <c r="AI880" i="1"/>
  <c r="AK880" i="1" s="1"/>
  <c r="AJ880" i="1"/>
  <c r="AL880" i="1"/>
  <c r="AC881" i="1"/>
  <c r="AD881" i="1"/>
  <c r="AH881" i="1"/>
  <c r="AI881" i="1"/>
  <c r="AK881" i="1" s="1"/>
  <c r="AJ881" i="1"/>
  <c r="AL881" i="1" s="1"/>
  <c r="AC882" i="1"/>
  <c r="AD882" i="1"/>
  <c r="AH882" i="1"/>
  <c r="AI882" i="1"/>
  <c r="AK882" i="1" s="1"/>
  <c r="AJ882" i="1"/>
  <c r="AL882" i="1" s="1"/>
  <c r="AC883" i="1"/>
  <c r="AD883" i="1"/>
  <c r="AH883" i="1"/>
  <c r="AI883" i="1"/>
  <c r="AK883" i="1" s="1"/>
  <c r="AJ883" i="1"/>
  <c r="AL883" i="1" s="1"/>
  <c r="AC884" i="1"/>
  <c r="AD884" i="1"/>
  <c r="AH884" i="1"/>
  <c r="AI884" i="1"/>
  <c r="AK884" i="1" s="1"/>
  <c r="AJ884" i="1"/>
  <c r="AL884" i="1"/>
  <c r="AC885" i="1"/>
  <c r="AD885" i="1"/>
  <c r="AH885" i="1"/>
  <c r="AI885" i="1"/>
  <c r="AK885" i="1" s="1"/>
  <c r="AJ885" i="1"/>
  <c r="AL885" i="1" s="1"/>
  <c r="AC886" i="1"/>
  <c r="AD886" i="1"/>
  <c r="AH886" i="1"/>
  <c r="AI886" i="1"/>
  <c r="AK886" i="1" s="1"/>
  <c r="AJ886" i="1"/>
  <c r="AL886" i="1" s="1"/>
  <c r="AC887" i="1"/>
  <c r="AD887" i="1"/>
  <c r="AH887" i="1"/>
  <c r="AI887" i="1"/>
  <c r="AK887" i="1" s="1"/>
  <c r="AJ887" i="1"/>
  <c r="AL887" i="1"/>
  <c r="AC888" i="1"/>
  <c r="AD888" i="1"/>
  <c r="AH888" i="1"/>
  <c r="AI888" i="1"/>
  <c r="AK888" i="1" s="1"/>
  <c r="AJ888" i="1"/>
  <c r="AL888" i="1" s="1"/>
  <c r="AC889" i="1"/>
  <c r="AD889" i="1"/>
  <c r="AH889" i="1"/>
  <c r="AI889" i="1"/>
  <c r="AK889" i="1" s="1"/>
  <c r="AJ889" i="1"/>
  <c r="AL889" i="1" s="1"/>
  <c r="AC662" i="1"/>
  <c r="AD662" i="1"/>
  <c r="AH662" i="1"/>
  <c r="AI662" i="1"/>
  <c r="AK662" i="1" s="1"/>
  <c r="AJ662" i="1"/>
  <c r="AL662" i="1" s="1"/>
  <c r="AC890" i="1"/>
  <c r="AD890" i="1"/>
  <c r="AH890" i="1"/>
  <c r="AI890" i="1"/>
  <c r="AK890" i="1" s="1"/>
  <c r="AJ890" i="1"/>
  <c r="AL890" i="1"/>
  <c r="AC891" i="1"/>
  <c r="AD891" i="1"/>
  <c r="AH891" i="1"/>
  <c r="AI891" i="1"/>
  <c r="AK891" i="1" s="1"/>
  <c r="AJ891" i="1"/>
  <c r="AL891" i="1" s="1"/>
  <c r="AC892" i="1"/>
  <c r="AD892" i="1"/>
  <c r="AH892" i="1"/>
  <c r="AI892" i="1"/>
  <c r="AK892" i="1" s="1"/>
  <c r="AJ892" i="1"/>
  <c r="AL892" i="1"/>
  <c r="AC893" i="1"/>
  <c r="AD893" i="1"/>
  <c r="AH893" i="1"/>
  <c r="AI893" i="1"/>
  <c r="AK893" i="1" s="1"/>
  <c r="AJ893" i="1"/>
  <c r="AL893" i="1" s="1"/>
  <c r="AC894" i="1"/>
  <c r="AD894" i="1"/>
  <c r="AH894" i="1"/>
  <c r="AI894" i="1"/>
  <c r="AK894" i="1" s="1"/>
  <c r="AJ894" i="1"/>
  <c r="AL894" i="1" s="1"/>
  <c r="AC895" i="1"/>
  <c r="AD895" i="1"/>
  <c r="AH895" i="1"/>
  <c r="AI895" i="1"/>
  <c r="AK895" i="1" s="1"/>
  <c r="AJ895" i="1"/>
  <c r="AL895" i="1"/>
  <c r="AC896" i="1"/>
  <c r="AD896" i="1"/>
  <c r="AH896" i="1"/>
  <c r="AI896" i="1"/>
  <c r="AK896" i="1" s="1"/>
  <c r="AJ896" i="1"/>
  <c r="AL896" i="1" s="1"/>
  <c r="AC897" i="1"/>
  <c r="AD897" i="1"/>
  <c r="AH897" i="1"/>
  <c r="AI897" i="1"/>
  <c r="AK897" i="1" s="1"/>
  <c r="AJ897" i="1"/>
  <c r="AL897" i="1" s="1"/>
  <c r="AC898" i="1"/>
  <c r="AD898" i="1"/>
  <c r="AH898" i="1"/>
  <c r="AI898" i="1"/>
  <c r="AK898" i="1" s="1"/>
  <c r="AJ898" i="1"/>
  <c r="AL898" i="1" s="1"/>
  <c r="AC899" i="1"/>
  <c r="AD899" i="1"/>
  <c r="AH899" i="1"/>
  <c r="AI899" i="1"/>
  <c r="AK899" i="1" s="1"/>
  <c r="AJ899" i="1"/>
  <c r="AL899" i="1" s="1"/>
  <c r="AC900" i="1"/>
  <c r="AD900" i="1"/>
  <c r="AH900" i="1"/>
  <c r="AI900" i="1"/>
  <c r="AJ900" i="1"/>
  <c r="AK900" i="1"/>
  <c r="AL900" i="1"/>
  <c r="AC901" i="1"/>
  <c r="AD901" i="1"/>
  <c r="AH901" i="1"/>
  <c r="AI901" i="1"/>
  <c r="AK901" i="1" s="1"/>
  <c r="AJ901" i="1"/>
  <c r="AL901" i="1" s="1"/>
  <c r="AC902" i="1"/>
  <c r="AD902" i="1"/>
  <c r="AH902" i="1"/>
  <c r="AI902" i="1"/>
  <c r="AK902" i="1" s="1"/>
  <c r="AJ902" i="1"/>
  <c r="AL902" i="1" s="1"/>
  <c r="AC903" i="1"/>
  <c r="AD903" i="1"/>
  <c r="AH903" i="1"/>
  <c r="AI903" i="1"/>
  <c r="AJ903" i="1"/>
  <c r="AK903" i="1"/>
  <c r="AL903" i="1"/>
  <c r="AC904" i="1"/>
  <c r="AD904" i="1"/>
  <c r="AH904" i="1"/>
  <c r="AI904" i="1"/>
  <c r="AK904" i="1" s="1"/>
  <c r="AJ904" i="1"/>
  <c r="AL904" i="1" s="1"/>
  <c r="AC905" i="1"/>
  <c r="AD905" i="1"/>
  <c r="AH905" i="1"/>
  <c r="AI905" i="1"/>
  <c r="AK905" i="1" s="1"/>
  <c r="AJ905" i="1"/>
  <c r="AL905" i="1"/>
  <c r="AC906" i="1"/>
  <c r="AD906" i="1"/>
  <c r="AH906" i="1"/>
  <c r="AI906" i="1"/>
  <c r="AJ906" i="1"/>
  <c r="AL906" i="1" s="1"/>
  <c r="AK906" i="1"/>
  <c r="AC907" i="1"/>
  <c r="AD907" i="1"/>
  <c r="AH907" i="1"/>
  <c r="AI907" i="1"/>
  <c r="AK907" i="1" s="1"/>
  <c r="AJ907" i="1"/>
  <c r="AL907" i="1" s="1"/>
  <c r="AC908" i="1"/>
  <c r="AD908" i="1"/>
  <c r="AH908" i="1"/>
  <c r="AI908" i="1"/>
  <c r="AJ908" i="1"/>
  <c r="AL908" i="1" s="1"/>
  <c r="AK908" i="1"/>
  <c r="AC909" i="1"/>
  <c r="AD909" i="1"/>
  <c r="AH909" i="1"/>
  <c r="AI909" i="1"/>
  <c r="AK909" i="1" s="1"/>
  <c r="AJ909" i="1"/>
  <c r="AL909" i="1" s="1"/>
  <c r="AC910" i="1"/>
  <c r="AD910" i="1"/>
  <c r="AH910" i="1"/>
  <c r="AI910" i="1"/>
  <c r="AK910" i="1" s="1"/>
  <c r="AJ910" i="1"/>
  <c r="AL910" i="1" s="1"/>
  <c r="AC911" i="1"/>
  <c r="AD911" i="1"/>
  <c r="AH911" i="1"/>
  <c r="AI911" i="1"/>
  <c r="AK911" i="1" s="1"/>
  <c r="AJ911" i="1"/>
  <c r="AL911" i="1" s="1"/>
  <c r="AC912" i="1"/>
  <c r="AD912" i="1"/>
  <c r="AH912" i="1"/>
  <c r="AI912" i="1"/>
  <c r="AK912" i="1" s="1"/>
  <c r="AJ912" i="1"/>
  <c r="AL912" i="1" s="1"/>
  <c r="AC913" i="1"/>
  <c r="AD913" i="1"/>
  <c r="AH913" i="1"/>
  <c r="AI913" i="1"/>
  <c r="AK913" i="1" s="1"/>
  <c r="AJ913" i="1"/>
  <c r="AL913" i="1" s="1"/>
  <c r="AC914" i="1"/>
  <c r="AD914" i="1"/>
  <c r="AH914" i="1"/>
  <c r="AI914" i="1"/>
  <c r="AK914" i="1" s="1"/>
  <c r="AJ914" i="1"/>
  <c r="AL914" i="1"/>
  <c r="AC915" i="1"/>
  <c r="AD915" i="1"/>
  <c r="AH915" i="1"/>
  <c r="AI915" i="1"/>
  <c r="AJ915" i="1"/>
  <c r="AL915" i="1" s="1"/>
  <c r="AK915" i="1"/>
  <c r="AC916" i="1"/>
  <c r="AD916" i="1"/>
  <c r="AH916" i="1"/>
  <c r="AI916" i="1"/>
  <c r="AK916" i="1" s="1"/>
  <c r="AJ916" i="1"/>
  <c r="AL916" i="1"/>
  <c r="AC917" i="1"/>
  <c r="AD917" i="1"/>
  <c r="AH917" i="1"/>
  <c r="AI917" i="1"/>
  <c r="AJ917" i="1"/>
  <c r="AK917" i="1"/>
  <c r="AL917" i="1"/>
  <c r="AC918" i="1"/>
  <c r="AD918" i="1"/>
  <c r="AH918" i="1"/>
  <c r="AI918" i="1"/>
  <c r="AK918" i="1" s="1"/>
  <c r="AJ918" i="1"/>
  <c r="AL918" i="1" s="1"/>
  <c r="AC919" i="1"/>
  <c r="AD919" i="1"/>
  <c r="AH919" i="1"/>
  <c r="AI919" i="1"/>
  <c r="AK919" i="1" s="1"/>
  <c r="AJ919" i="1"/>
  <c r="AL919" i="1" s="1"/>
  <c r="AC920" i="1"/>
  <c r="AD920" i="1"/>
  <c r="AH920" i="1"/>
  <c r="AI920" i="1"/>
  <c r="AK920" i="1" s="1"/>
  <c r="AJ920" i="1"/>
  <c r="AL920" i="1" s="1"/>
  <c r="AC921" i="1"/>
  <c r="AD921" i="1"/>
  <c r="AH921" i="1"/>
  <c r="AI921" i="1"/>
  <c r="AK921" i="1" s="1"/>
  <c r="AJ921" i="1"/>
  <c r="AL921" i="1" s="1"/>
  <c r="AC922" i="1"/>
  <c r="AD922" i="1"/>
  <c r="AH922" i="1"/>
  <c r="AI922" i="1"/>
  <c r="AK922" i="1" s="1"/>
  <c r="AJ922" i="1"/>
  <c r="AL922" i="1" s="1"/>
  <c r="AC923" i="1"/>
  <c r="AD923" i="1"/>
  <c r="AH923" i="1"/>
  <c r="AI923" i="1"/>
  <c r="AK923" i="1" s="1"/>
  <c r="AJ923" i="1"/>
  <c r="AL923" i="1" s="1"/>
  <c r="AC924" i="1"/>
  <c r="AD924" i="1"/>
  <c r="AH924" i="1"/>
  <c r="AI924" i="1"/>
  <c r="AK924" i="1" s="1"/>
  <c r="AJ924" i="1"/>
  <c r="AL924" i="1" s="1"/>
  <c r="AC925" i="1"/>
  <c r="AD925" i="1"/>
  <c r="AH925" i="1"/>
  <c r="AI925" i="1"/>
  <c r="AK925" i="1" s="1"/>
  <c r="AJ925" i="1"/>
  <c r="AL925" i="1" s="1"/>
  <c r="AC926" i="1"/>
  <c r="AD926" i="1"/>
  <c r="AH926" i="1"/>
  <c r="AI926" i="1"/>
  <c r="AK926" i="1" s="1"/>
  <c r="AJ926" i="1"/>
  <c r="AL926" i="1" s="1"/>
  <c r="AC927" i="1"/>
  <c r="AD927" i="1"/>
  <c r="AH927" i="1"/>
  <c r="AI927" i="1"/>
  <c r="AK927" i="1" s="1"/>
  <c r="AJ927" i="1"/>
  <c r="AL927" i="1" s="1"/>
  <c r="AC928" i="1"/>
  <c r="AD928" i="1"/>
  <c r="AH928" i="1"/>
  <c r="AI928" i="1"/>
  <c r="AK928" i="1" s="1"/>
  <c r="AJ928" i="1"/>
  <c r="AL928" i="1" s="1"/>
  <c r="AC929" i="1"/>
  <c r="AD929" i="1"/>
  <c r="AH929" i="1"/>
  <c r="AI929" i="1"/>
  <c r="AJ929" i="1"/>
  <c r="AK929" i="1"/>
  <c r="AL929" i="1"/>
  <c r="AC930" i="1"/>
  <c r="AD930" i="1"/>
  <c r="AH930" i="1"/>
  <c r="AI930" i="1"/>
  <c r="AK930" i="1" s="1"/>
  <c r="AJ930" i="1"/>
  <c r="AL930" i="1" s="1"/>
  <c r="AC931" i="1"/>
  <c r="AD931" i="1"/>
  <c r="AH931" i="1"/>
  <c r="AI931" i="1"/>
  <c r="AK931" i="1" s="1"/>
  <c r="AJ931" i="1"/>
  <c r="AL931" i="1"/>
  <c r="AC932" i="1"/>
  <c r="AD932" i="1"/>
  <c r="AH932" i="1"/>
  <c r="AI932" i="1"/>
  <c r="AK932" i="1" s="1"/>
  <c r="AJ932" i="1"/>
  <c r="AL932" i="1" s="1"/>
  <c r="AC933" i="1"/>
  <c r="AD933" i="1"/>
  <c r="AH933" i="1"/>
  <c r="AI933" i="1"/>
  <c r="AK933" i="1" s="1"/>
  <c r="AJ933" i="1"/>
  <c r="AL933" i="1" s="1"/>
  <c r="AC934" i="1"/>
  <c r="AD934" i="1"/>
  <c r="AH934" i="1"/>
  <c r="AI934" i="1"/>
  <c r="AJ934" i="1"/>
  <c r="AK934" i="1"/>
  <c r="AL934" i="1"/>
  <c r="AC935" i="1"/>
  <c r="AD935" i="1"/>
  <c r="AH935" i="1"/>
  <c r="AI935" i="1"/>
  <c r="AJ935" i="1"/>
  <c r="AK935" i="1"/>
  <c r="AL935" i="1"/>
  <c r="AC936" i="1"/>
  <c r="AD936" i="1"/>
  <c r="AH936" i="1"/>
  <c r="AI936" i="1"/>
  <c r="AK936" i="1" s="1"/>
  <c r="AJ936" i="1"/>
  <c r="AL936" i="1" s="1"/>
  <c r="AC937" i="1"/>
  <c r="AD937" i="1"/>
  <c r="AH937" i="1"/>
  <c r="AI937" i="1"/>
  <c r="AJ937" i="1"/>
  <c r="AL937" i="1" s="1"/>
  <c r="AK937" i="1"/>
  <c r="AC938" i="1"/>
  <c r="AD938" i="1"/>
  <c r="AH938" i="1"/>
  <c r="AI938" i="1"/>
  <c r="AK938" i="1" s="1"/>
  <c r="AJ938" i="1"/>
  <c r="AL938" i="1" s="1"/>
  <c r="AC939" i="1"/>
  <c r="AD939" i="1"/>
  <c r="AH939" i="1"/>
  <c r="AI939" i="1"/>
  <c r="AK939" i="1" s="1"/>
  <c r="AJ939" i="1"/>
  <c r="AL939" i="1" s="1"/>
  <c r="AC940" i="1"/>
  <c r="AD940" i="1"/>
  <c r="AH940" i="1"/>
  <c r="AI940" i="1"/>
  <c r="AJ940" i="1"/>
  <c r="AL940" i="1" s="1"/>
  <c r="AK940" i="1"/>
  <c r="AC941" i="1"/>
  <c r="AD941" i="1"/>
  <c r="AH941" i="1"/>
  <c r="AI941" i="1"/>
  <c r="AK941" i="1" s="1"/>
  <c r="AJ941" i="1"/>
  <c r="AL941" i="1" s="1"/>
  <c r="AC942" i="1"/>
  <c r="AD942" i="1"/>
  <c r="AH942" i="1"/>
  <c r="AI942" i="1"/>
  <c r="AK942" i="1" s="1"/>
  <c r="AJ942" i="1"/>
  <c r="AL942" i="1" s="1"/>
  <c r="AC943" i="1"/>
  <c r="AD943" i="1"/>
  <c r="AH943" i="1"/>
  <c r="AI943" i="1"/>
  <c r="AJ943" i="1"/>
  <c r="AL943" i="1" s="1"/>
  <c r="AK943" i="1"/>
  <c r="AC944" i="1"/>
  <c r="AD944" i="1"/>
  <c r="AH944" i="1"/>
  <c r="AI944" i="1"/>
  <c r="AK944" i="1" s="1"/>
  <c r="AJ944" i="1"/>
  <c r="AL944" i="1" s="1"/>
  <c r="AC945" i="1"/>
  <c r="AD945" i="1"/>
  <c r="AH945" i="1"/>
  <c r="AI945" i="1"/>
  <c r="AK945" i="1" s="1"/>
  <c r="AJ945" i="1"/>
  <c r="AL945" i="1" s="1"/>
  <c r="AC946" i="1"/>
  <c r="AD946" i="1"/>
  <c r="AH946" i="1"/>
  <c r="AI946" i="1"/>
  <c r="AJ946" i="1"/>
  <c r="AL946" i="1" s="1"/>
  <c r="AK946" i="1"/>
  <c r="AC947" i="1"/>
  <c r="AD947" i="1"/>
  <c r="AH947" i="1"/>
  <c r="AI947" i="1"/>
  <c r="AK947" i="1" s="1"/>
  <c r="AJ947" i="1"/>
  <c r="AL947" i="1"/>
  <c r="AC948" i="1"/>
  <c r="AD948" i="1"/>
  <c r="AH948" i="1"/>
  <c r="AI948" i="1"/>
  <c r="AK948" i="1" s="1"/>
  <c r="AJ948" i="1"/>
  <c r="AL948" i="1" s="1"/>
  <c r="AC949" i="1"/>
  <c r="AD949" i="1"/>
  <c r="AH949" i="1"/>
  <c r="AI949" i="1"/>
  <c r="AK949" i="1" s="1"/>
  <c r="AJ949" i="1"/>
  <c r="AL949" i="1" s="1"/>
  <c r="AC950" i="1"/>
  <c r="AD950" i="1"/>
  <c r="AH950" i="1"/>
  <c r="AI950" i="1"/>
  <c r="AK950" i="1" s="1"/>
  <c r="AJ950" i="1"/>
  <c r="AL950" i="1" s="1"/>
  <c r="AC951" i="1"/>
  <c r="AD951" i="1"/>
  <c r="AH951" i="1"/>
  <c r="AI951" i="1"/>
  <c r="AK951" i="1" s="1"/>
  <c r="AJ951" i="1"/>
  <c r="AL951" i="1" s="1"/>
  <c r="AC952" i="1"/>
  <c r="AD952" i="1"/>
  <c r="AH952" i="1"/>
  <c r="AI952" i="1"/>
  <c r="AK952" i="1" s="1"/>
  <c r="AJ952" i="1"/>
  <c r="AL952" i="1" s="1"/>
  <c r="AC953" i="1"/>
  <c r="AD953" i="1"/>
  <c r="AH953" i="1"/>
  <c r="AI953" i="1"/>
  <c r="AK953" i="1" s="1"/>
  <c r="AJ953" i="1"/>
  <c r="AL953" i="1"/>
  <c r="AC954" i="1"/>
  <c r="AD954" i="1"/>
  <c r="AH954" i="1"/>
  <c r="AI954" i="1"/>
  <c r="AK954" i="1" s="1"/>
  <c r="AJ954" i="1"/>
  <c r="AL954" i="1" s="1"/>
  <c r="AC955" i="1"/>
  <c r="AD955" i="1"/>
  <c r="AH955" i="1"/>
  <c r="AI955" i="1"/>
  <c r="AK955" i="1" s="1"/>
  <c r="AJ955" i="1"/>
  <c r="AL955" i="1" s="1"/>
  <c r="AC956" i="1"/>
  <c r="AD956" i="1"/>
  <c r="AH956" i="1"/>
  <c r="AI956" i="1"/>
  <c r="AK956" i="1" s="1"/>
  <c r="AJ956" i="1"/>
  <c r="AL956" i="1" s="1"/>
  <c r="AC957" i="1"/>
  <c r="AD957" i="1"/>
  <c r="AH957" i="1"/>
  <c r="AI957" i="1"/>
  <c r="AJ957" i="1"/>
  <c r="AL957" i="1" s="1"/>
  <c r="AK957" i="1"/>
  <c r="AC958" i="1"/>
  <c r="AD958" i="1"/>
  <c r="AH958" i="1"/>
  <c r="AI958" i="1"/>
  <c r="AJ958" i="1"/>
  <c r="AL958" i="1" s="1"/>
  <c r="AK958" i="1"/>
  <c r="AC959" i="1"/>
  <c r="AD959" i="1"/>
  <c r="AH959" i="1"/>
  <c r="AI959" i="1"/>
  <c r="AK959" i="1" s="1"/>
  <c r="AJ959" i="1"/>
  <c r="AL959" i="1" s="1"/>
  <c r="AC960" i="1"/>
  <c r="AD960" i="1"/>
  <c r="AH960" i="1"/>
  <c r="AI960" i="1"/>
  <c r="AK960" i="1" s="1"/>
  <c r="AJ960" i="1"/>
  <c r="AL960" i="1" s="1"/>
  <c r="AC961" i="1"/>
  <c r="AD961" i="1"/>
  <c r="AH961" i="1"/>
  <c r="AI961" i="1"/>
  <c r="AK961" i="1" s="1"/>
  <c r="AJ961" i="1"/>
  <c r="AL961" i="1" s="1"/>
  <c r="AC962" i="1"/>
  <c r="AD962" i="1"/>
  <c r="AH962" i="1"/>
  <c r="AI962" i="1"/>
  <c r="AK962" i="1" s="1"/>
  <c r="AJ962" i="1"/>
  <c r="AL962" i="1" s="1"/>
  <c r="AC963" i="1"/>
  <c r="AD963" i="1"/>
  <c r="AH963" i="1"/>
  <c r="AI963" i="1"/>
  <c r="AK963" i="1" s="1"/>
  <c r="AJ963" i="1"/>
  <c r="AL963" i="1" s="1"/>
  <c r="AC964" i="1"/>
  <c r="AD964" i="1"/>
  <c r="AH964" i="1"/>
  <c r="AI964" i="1"/>
  <c r="AK964" i="1" s="1"/>
  <c r="AJ964" i="1"/>
  <c r="AL964" i="1" s="1"/>
  <c r="AC965" i="1"/>
  <c r="AD965" i="1"/>
  <c r="AH965" i="1"/>
  <c r="AI965" i="1"/>
  <c r="AK965" i="1" s="1"/>
  <c r="AJ965" i="1"/>
  <c r="AL965" i="1" s="1"/>
  <c r="AC966" i="1"/>
  <c r="AD966" i="1"/>
  <c r="AH966" i="1"/>
  <c r="AI966" i="1"/>
  <c r="AK966" i="1" s="1"/>
  <c r="AJ966" i="1"/>
  <c r="AL966" i="1" s="1"/>
  <c r="AC967" i="1"/>
  <c r="AD967" i="1"/>
  <c r="AH967" i="1"/>
  <c r="AI967" i="1"/>
  <c r="AJ967" i="1"/>
  <c r="AL967" i="1" s="1"/>
  <c r="AK967" i="1"/>
  <c r="AC968" i="1"/>
  <c r="AD968" i="1"/>
  <c r="AH968" i="1"/>
  <c r="AI968" i="1"/>
  <c r="AK968" i="1" s="1"/>
  <c r="AJ968" i="1"/>
  <c r="AL968" i="1" s="1"/>
  <c r="AC969" i="1"/>
  <c r="AD969" i="1"/>
  <c r="AH969" i="1"/>
  <c r="AI969" i="1"/>
  <c r="AK969" i="1" s="1"/>
  <c r="AJ969" i="1"/>
  <c r="AL969" i="1" s="1"/>
  <c r="AC970" i="1"/>
  <c r="AD970" i="1"/>
  <c r="AH970" i="1"/>
  <c r="AI970" i="1"/>
  <c r="AK970" i="1" s="1"/>
  <c r="AJ970" i="1"/>
  <c r="AL970" i="1"/>
  <c r="AC971" i="1"/>
  <c r="AD971" i="1"/>
  <c r="AH971" i="1"/>
  <c r="AI971" i="1"/>
  <c r="AJ971" i="1"/>
  <c r="AK971" i="1"/>
  <c r="AL971" i="1"/>
  <c r="AC972" i="1"/>
  <c r="AD972" i="1"/>
  <c r="AH972" i="1"/>
  <c r="AI972" i="1"/>
  <c r="AK972" i="1" s="1"/>
  <c r="AJ972" i="1"/>
  <c r="AL972" i="1" s="1"/>
  <c r="AC973" i="1"/>
  <c r="AD973" i="1"/>
  <c r="AH973" i="1"/>
  <c r="AI973" i="1"/>
  <c r="AK973" i="1" s="1"/>
  <c r="AJ973" i="1"/>
  <c r="AL973" i="1"/>
  <c r="AC974" i="1"/>
  <c r="AD974" i="1"/>
  <c r="AH974" i="1"/>
  <c r="AI974" i="1"/>
  <c r="AK974" i="1" s="1"/>
  <c r="AJ974" i="1"/>
  <c r="AL974" i="1" s="1"/>
  <c r="AC975" i="1"/>
  <c r="AD975" i="1"/>
  <c r="AH975" i="1"/>
  <c r="AI975" i="1"/>
  <c r="AK975" i="1" s="1"/>
  <c r="AJ975" i="1"/>
  <c r="AL975" i="1" s="1"/>
  <c r="AC976" i="1"/>
  <c r="AD976" i="1"/>
  <c r="AH976" i="1"/>
  <c r="AI976" i="1"/>
  <c r="AK976" i="1" s="1"/>
  <c r="AJ976" i="1"/>
  <c r="AL976" i="1" s="1"/>
  <c r="AC977" i="1"/>
  <c r="AD977" i="1"/>
  <c r="AH977" i="1"/>
  <c r="AI977" i="1"/>
  <c r="AJ977" i="1"/>
  <c r="AK977" i="1"/>
  <c r="AL977" i="1"/>
  <c r="AC978" i="1"/>
  <c r="AD978" i="1"/>
  <c r="AH978" i="1"/>
  <c r="AI978" i="1"/>
  <c r="AK978" i="1" s="1"/>
  <c r="AJ978" i="1"/>
  <c r="AL978" i="1" s="1"/>
  <c r="AC979" i="1"/>
  <c r="AD979" i="1"/>
  <c r="AH979" i="1"/>
  <c r="AI979" i="1"/>
  <c r="AK979" i="1" s="1"/>
  <c r="AJ979" i="1"/>
  <c r="AL979" i="1" s="1"/>
  <c r="AC980" i="1"/>
  <c r="AD980" i="1"/>
  <c r="AH980" i="1"/>
  <c r="AI980" i="1"/>
  <c r="AK980" i="1" s="1"/>
  <c r="AJ980" i="1"/>
  <c r="AL980" i="1" s="1"/>
  <c r="AC981" i="1"/>
  <c r="AD981" i="1"/>
  <c r="AH981" i="1"/>
  <c r="AI981" i="1"/>
  <c r="AK981" i="1" s="1"/>
  <c r="AJ981" i="1"/>
  <c r="AL981" i="1" s="1"/>
  <c r="AC982" i="1"/>
  <c r="AD982" i="1"/>
  <c r="AH982" i="1"/>
  <c r="AI982" i="1"/>
  <c r="AJ982" i="1"/>
  <c r="AL982" i="1" s="1"/>
  <c r="AK982" i="1"/>
  <c r="AC983" i="1"/>
  <c r="AD983" i="1"/>
  <c r="AH983" i="1"/>
  <c r="AI983" i="1"/>
  <c r="AK983" i="1" s="1"/>
  <c r="AJ983" i="1"/>
  <c r="AL983" i="1" s="1"/>
  <c r="AC984" i="1"/>
  <c r="AD984" i="1"/>
  <c r="AH984" i="1"/>
  <c r="AI984" i="1"/>
  <c r="AK984" i="1" s="1"/>
  <c r="AJ984" i="1"/>
  <c r="AL984" i="1" s="1"/>
  <c r="AC985" i="1"/>
  <c r="AD985" i="1"/>
  <c r="AH985" i="1"/>
  <c r="AI985" i="1"/>
  <c r="AK985" i="1" s="1"/>
  <c r="AJ985" i="1"/>
  <c r="AL985" i="1" s="1"/>
  <c r="AC986" i="1"/>
  <c r="AD986" i="1"/>
  <c r="AH986" i="1"/>
  <c r="AI986" i="1"/>
  <c r="AK986" i="1" s="1"/>
  <c r="AJ986" i="1"/>
  <c r="AL986" i="1" s="1"/>
  <c r="AC987" i="1"/>
  <c r="AD987" i="1"/>
  <c r="AH987" i="1"/>
  <c r="AI987" i="1"/>
  <c r="AJ987" i="1"/>
  <c r="AL987" i="1" s="1"/>
  <c r="AK987" i="1"/>
  <c r="AC988" i="1"/>
  <c r="AD988" i="1"/>
  <c r="AH988" i="1"/>
  <c r="AI988" i="1"/>
  <c r="AJ988" i="1"/>
  <c r="AL988" i="1" s="1"/>
  <c r="AK988" i="1"/>
  <c r="AC989" i="1"/>
  <c r="AD989" i="1"/>
  <c r="AH989" i="1"/>
  <c r="AI989" i="1"/>
  <c r="AK989" i="1" s="1"/>
  <c r="AJ989" i="1"/>
  <c r="AL989" i="1"/>
  <c r="AC990" i="1"/>
  <c r="AD990" i="1"/>
  <c r="AH990" i="1"/>
  <c r="AI990" i="1"/>
  <c r="AK990" i="1" s="1"/>
  <c r="AJ990" i="1"/>
  <c r="AL990" i="1" s="1"/>
  <c r="AC991" i="1"/>
  <c r="AD991" i="1"/>
  <c r="AH991" i="1"/>
  <c r="AI991" i="1"/>
  <c r="AK991" i="1" s="1"/>
  <c r="AJ991" i="1"/>
  <c r="AL991" i="1"/>
  <c r="AC992" i="1"/>
  <c r="AD992" i="1"/>
  <c r="AH992" i="1"/>
  <c r="AI992" i="1"/>
  <c r="AK992" i="1" s="1"/>
  <c r="AJ992" i="1"/>
  <c r="AL992" i="1" s="1"/>
  <c r="AC993" i="1"/>
  <c r="AD993" i="1"/>
  <c r="AH993" i="1"/>
  <c r="AI993" i="1"/>
  <c r="AK993" i="1" s="1"/>
  <c r="AJ993" i="1"/>
  <c r="AL993" i="1" s="1"/>
  <c r="AC994" i="1"/>
  <c r="AD994" i="1"/>
  <c r="AH994" i="1"/>
  <c r="AI994" i="1"/>
  <c r="AK994" i="1" s="1"/>
  <c r="AJ994" i="1"/>
  <c r="AL994" i="1" s="1"/>
  <c r="AC995" i="1"/>
  <c r="AD995" i="1"/>
  <c r="AH995" i="1"/>
  <c r="AI995" i="1"/>
  <c r="AJ995" i="1"/>
  <c r="AK995" i="1"/>
  <c r="AL995" i="1"/>
  <c r="AC996" i="1"/>
  <c r="AD996" i="1"/>
  <c r="AH996" i="1"/>
  <c r="AI996" i="1"/>
  <c r="AK996" i="1" s="1"/>
  <c r="AJ996" i="1"/>
  <c r="AL996" i="1" s="1"/>
  <c r="AC997" i="1"/>
  <c r="AD997" i="1"/>
  <c r="AH997" i="1"/>
  <c r="AI997" i="1"/>
  <c r="AJ997" i="1"/>
  <c r="AK997" i="1"/>
  <c r="AL997" i="1"/>
  <c r="AC998" i="1"/>
  <c r="AD998" i="1"/>
  <c r="AH998" i="1"/>
  <c r="AI998" i="1"/>
  <c r="AK998" i="1" s="1"/>
  <c r="AJ998" i="1"/>
  <c r="AL998" i="1" s="1"/>
  <c r="AC999" i="1"/>
  <c r="AD999" i="1"/>
  <c r="AH999" i="1"/>
  <c r="AI999" i="1"/>
  <c r="AJ999" i="1"/>
  <c r="AL999" i="1" s="1"/>
  <c r="AK999" i="1"/>
  <c r="AC1000" i="1"/>
  <c r="AD1000" i="1"/>
  <c r="AH1000" i="1"/>
  <c r="AI1000" i="1"/>
  <c r="AJ1000" i="1"/>
  <c r="AL1000" i="1" s="1"/>
  <c r="AK1000" i="1"/>
  <c r="AC1001" i="1"/>
  <c r="AD1001" i="1"/>
  <c r="AH1001" i="1"/>
  <c r="AI1001" i="1"/>
  <c r="AJ1001" i="1"/>
  <c r="AL1001" i="1" s="1"/>
  <c r="AK1001" i="1"/>
  <c r="AC1002" i="1"/>
  <c r="AD1002" i="1"/>
  <c r="AH1002" i="1"/>
  <c r="AI1002" i="1"/>
  <c r="AK1002" i="1" s="1"/>
  <c r="AJ1002" i="1"/>
  <c r="AL1002" i="1" s="1"/>
  <c r="AC1003" i="1"/>
  <c r="AD1003" i="1"/>
  <c r="AH1003" i="1"/>
  <c r="AI1003" i="1"/>
  <c r="AJ1003" i="1"/>
  <c r="AL1003" i="1" s="1"/>
  <c r="AK1003" i="1"/>
  <c r="AC1004" i="1"/>
  <c r="AD1004" i="1"/>
  <c r="AH1004" i="1"/>
  <c r="AI1004" i="1"/>
  <c r="AK1004" i="1" s="1"/>
  <c r="AJ1004" i="1"/>
  <c r="AL1004" i="1" s="1"/>
  <c r="AC1005" i="1"/>
  <c r="AD1005" i="1"/>
  <c r="AH1005" i="1"/>
  <c r="AI1005" i="1"/>
  <c r="AK1005" i="1" s="1"/>
  <c r="AJ1005" i="1"/>
  <c r="AL1005" i="1" s="1"/>
  <c r="AC1006" i="1"/>
  <c r="AD1006" i="1"/>
  <c r="AH1006" i="1"/>
  <c r="AI1006" i="1"/>
  <c r="AK1006" i="1" s="1"/>
  <c r="AJ1006" i="1"/>
  <c r="AL1006" i="1" s="1"/>
  <c r="AC1007" i="1"/>
  <c r="AD1007" i="1"/>
  <c r="AH1007" i="1"/>
  <c r="AI1007" i="1"/>
  <c r="AK1007" i="1" s="1"/>
  <c r="AJ1007" i="1"/>
  <c r="AL1007" i="1"/>
  <c r="AC1008" i="1"/>
  <c r="AD1008" i="1"/>
  <c r="AH1008" i="1"/>
  <c r="AI1008" i="1"/>
  <c r="AK1008" i="1" s="1"/>
  <c r="AJ1008" i="1"/>
  <c r="AL1008" i="1" s="1"/>
  <c r="AC1009" i="1"/>
  <c r="AD1009" i="1"/>
  <c r="AH1009" i="1"/>
  <c r="AI1009" i="1"/>
  <c r="AK1009" i="1" s="1"/>
  <c r="AJ1009" i="1"/>
  <c r="AL1009" i="1"/>
  <c r="AC1010" i="1"/>
  <c r="AD1010" i="1"/>
  <c r="AH1010" i="1"/>
  <c r="AI1010" i="1"/>
  <c r="AK1010" i="1" s="1"/>
  <c r="AJ1010" i="1"/>
  <c r="AL1010" i="1" s="1"/>
  <c r="AC1011" i="1"/>
  <c r="AD1011" i="1"/>
  <c r="AH1011" i="1"/>
  <c r="AI1011" i="1"/>
  <c r="AK1011" i="1" s="1"/>
  <c r="AJ1011" i="1"/>
  <c r="AL1011" i="1" s="1"/>
  <c r="AC1012" i="1"/>
  <c r="AD1012" i="1"/>
  <c r="AH1012" i="1"/>
  <c r="AI1012" i="1"/>
  <c r="AK1012" i="1" s="1"/>
  <c r="AJ1012" i="1"/>
  <c r="AL1012" i="1"/>
  <c r="AC1013" i="1"/>
  <c r="AD1013" i="1"/>
  <c r="AH1013" i="1"/>
  <c r="AI1013" i="1"/>
  <c r="AK1013" i="1" s="1"/>
  <c r="AJ1013" i="1"/>
  <c r="AL1013" i="1" s="1"/>
  <c r="AC1014" i="1"/>
  <c r="AD1014" i="1"/>
  <c r="AH1014" i="1"/>
  <c r="AI1014" i="1"/>
  <c r="AK1014" i="1" s="1"/>
  <c r="AJ1014" i="1"/>
  <c r="AL1014" i="1" s="1"/>
  <c r="AC1015" i="1"/>
  <c r="AD1015" i="1"/>
  <c r="AH1015" i="1"/>
  <c r="AI1015" i="1"/>
  <c r="AK1015" i="1" s="1"/>
  <c r="AJ1015" i="1"/>
  <c r="AL1015" i="1" s="1"/>
  <c r="AC1016" i="1"/>
  <c r="AD1016" i="1"/>
  <c r="AH1016" i="1"/>
  <c r="AI1016" i="1"/>
  <c r="AK1016" i="1" s="1"/>
  <c r="AJ1016" i="1"/>
  <c r="AL1016" i="1" s="1"/>
  <c r="AC1017" i="1"/>
  <c r="AD1017" i="1"/>
  <c r="AH1017" i="1"/>
  <c r="AI1017" i="1"/>
  <c r="AJ1017" i="1"/>
  <c r="AL1017" i="1" s="1"/>
  <c r="AK1017" i="1"/>
  <c r="AC1018" i="1"/>
  <c r="AD1018" i="1"/>
  <c r="AH1018" i="1"/>
  <c r="AI1018" i="1"/>
  <c r="AJ1018" i="1"/>
  <c r="AK1018" i="1"/>
  <c r="AL1018" i="1"/>
  <c r="AC1019" i="1"/>
  <c r="AD1019" i="1"/>
  <c r="AH1019" i="1"/>
  <c r="AI1019" i="1"/>
  <c r="AK1019" i="1" s="1"/>
  <c r="AJ1019" i="1"/>
  <c r="AL1019" i="1" s="1"/>
  <c r="AC1020" i="1"/>
  <c r="AD1020" i="1"/>
  <c r="AH1020" i="1"/>
  <c r="AI1020" i="1"/>
  <c r="AK1020" i="1" s="1"/>
  <c r="AJ1020" i="1"/>
  <c r="AL1020" i="1" s="1"/>
  <c r="AC1021" i="1"/>
  <c r="AD1021" i="1"/>
  <c r="AH1021" i="1"/>
  <c r="AI1021" i="1"/>
  <c r="AJ1021" i="1"/>
  <c r="AL1021" i="1" s="1"/>
  <c r="AK1021" i="1"/>
  <c r="AC1022" i="1"/>
  <c r="AD1022" i="1"/>
  <c r="AH1022" i="1"/>
  <c r="AI1022" i="1"/>
  <c r="AK1022" i="1" s="1"/>
  <c r="AJ1022" i="1"/>
  <c r="AL1022" i="1" s="1"/>
  <c r="AC1023" i="1"/>
  <c r="AD1023" i="1"/>
  <c r="AH1023" i="1"/>
  <c r="AI1023" i="1"/>
  <c r="AK1023" i="1" s="1"/>
  <c r="AJ1023" i="1"/>
  <c r="AL1023" i="1" s="1"/>
  <c r="AC1024" i="1"/>
  <c r="AD1024" i="1"/>
  <c r="AH1024" i="1"/>
  <c r="AI1024" i="1"/>
  <c r="AK1024" i="1" s="1"/>
  <c r="AJ1024" i="1"/>
  <c r="AL1024" i="1" s="1"/>
  <c r="AC1025" i="1"/>
  <c r="AD1025" i="1"/>
  <c r="AH1025" i="1"/>
  <c r="AI1025" i="1"/>
  <c r="AK1025" i="1" s="1"/>
  <c r="AJ1025" i="1"/>
  <c r="AL1025" i="1" s="1"/>
  <c r="AC1026" i="1"/>
  <c r="AD1026" i="1"/>
  <c r="AH1026" i="1"/>
  <c r="AI1026" i="1"/>
  <c r="AK1026" i="1" s="1"/>
  <c r="AJ1026" i="1"/>
  <c r="AL1026" i="1" s="1"/>
  <c r="AC1027" i="1"/>
  <c r="AD1027" i="1"/>
  <c r="AH1027" i="1"/>
  <c r="AI1027" i="1"/>
  <c r="AK1027" i="1" s="1"/>
  <c r="AJ1027" i="1"/>
  <c r="AL1027" i="1"/>
  <c r="AC1028" i="1"/>
  <c r="AD1028" i="1"/>
  <c r="AH1028" i="1"/>
  <c r="AI1028" i="1"/>
  <c r="AK1028" i="1" s="1"/>
  <c r="AJ1028" i="1"/>
  <c r="AL1028" i="1" s="1"/>
  <c r="AC1029" i="1"/>
  <c r="AD1029" i="1"/>
  <c r="AH1029" i="1"/>
  <c r="AI1029" i="1"/>
  <c r="AK1029" i="1" s="1"/>
  <c r="AJ1029" i="1"/>
  <c r="AL1029" i="1" s="1"/>
  <c r="AC1030" i="1"/>
  <c r="AD1030" i="1"/>
  <c r="AH1030" i="1"/>
  <c r="AI1030" i="1"/>
  <c r="AK1030" i="1" s="1"/>
  <c r="AJ1030" i="1"/>
  <c r="AL1030" i="1"/>
  <c r="AC1031" i="1"/>
  <c r="AD1031" i="1"/>
  <c r="AH1031" i="1"/>
  <c r="AI1031" i="1"/>
  <c r="AJ1031" i="1"/>
  <c r="AK1031" i="1"/>
  <c r="AL1031" i="1"/>
  <c r="AC1032" i="1"/>
  <c r="AD1032" i="1"/>
  <c r="AH1032" i="1"/>
  <c r="AI1032" i="1"/>
  <c r="AK1032" i="1" s="1"/>
  <c r="AJ1032" i="1"/>
  <c r="AL1032" i="1" s="1"/>
  <c r="AC1033" i="1"/>
  <c r="AD1033" i="1"/>
  <c r="AH1033" i="1"/>
  <c r="AI1033" i="1"/>
  <c r="AJ1033" i="1"/>
  <c r="AK1033" i="1"/>
  <c r="AL1033" i="1"/>
  <c r="AC1034" i="1"/>
  <c r="AD1034" i="1"/>
  <c r="AH1034" i="1"/>
  <c r="AI1034" i="1"/>
  <c r="AK1034" i="1" s="1"/>
  <c r="AJ1034" i="1"/>
  <c r="AL1034" i="1" s="1"/>
  <c r="AC1035" i="1"/>
  <c r="AD1035" i="1"/>
  <c r="AH1035" i="1"/>
  <c r="AI1035" i="1"/>
  <c r="AJ1035" i="1"/>
  <c r="AL1035" i="1" s="1"/>
  <c r="AK1035" i="1"/>
  <c r="AC1036" i="1"/>
  <c r="AD1036" i="1"/>
  <c r="AH1036" i="1"/>
  <c r="AI1036" i="1"/>
  <c r="AJ1036" i="1"/>
  <c r="AL1036" i="1" s="1"/>
  <c r="AK1036" i="1"/>
  <c r="AC1037" i="1"/>
  <c r="AD1037" i="1"/>
  <c r="AH1037" i="1"/>
  <c r="AI1037" i="1"/>
  <c r="AJ1037" i="1"/>
  <c r="AL1037" i="1" s="1"/>
  <c r="AK1037" i="1"/>
  <c r="AC1038" i="1"/>
  <c r="AD1038" i="1"/>
  <c r="AH1038" i="1"/>
  <c r="AI1038" i="1"/>
  <c r="AK1038" i="1" s="1"/>
  <c r="AJ1038" i="1"/>
  <c r="AL1038" i="1" s="1"/>
  <c r="AC1039" i="1"/>
  <c r="AD1039" i="1"/>
  <c r="AH1039" i="1"/>
  <c r="AI1039" i="1"/>
  <c r="AJ1039" i="1"/>
  <c r="AL1039" i="1" s="1"/>
  <c r="AK1039" i="1"/>
  <c r="AC1040" i="1"/>
  <c r="AD1040" i="1"/>
  <c r="AH1040" i="1"/>
  <c r="AI1040" i="1"/>
  <c r="AK1040" i="1" s="1"/>
  <c r="AJ1040" i="1"/>
  <c r="AL1040" i="1" s="1"/>
  <c r="AC1041" i="1"/>
  <c r="AD1041" i="1"/>
  <c r="AH1041" i="1"/>
  <c r="AI1041" i="1"/>
  <c r="AJ1041" i="1"/>
  <c r="AL1041" i="1" s="1"/>
  <c r="AK1041" i="1"/>
  <c r="AC1042" i="1"/>
  <c r="AD1042" i="1"/>
  <c r="AH1042" i="1"/>
  <c r="AI1042" i="1"/>
  <c r="AK1042" i="1" s="1"/>
  <c r="AJ1042" i="1"/>
  <c r="AL1042" i="1" s="1"/>
  <c r="AC1043" i="1"/>
  <c r="AD1043" i="1"/>
  <c r="AH1043" i="1"/>
  <c r="AI1043" i="1"/>
  <c r="AK1043" i="1" s="1"/>
  <c r="AJ1043" i="1"/>
  <c r="AL1043" i="1"/>
  <c r="AC1044" i="1"/>
  <c r="AD1044" i="1"/>
  <c r="AH1044" i="1"/>
  <c r="AI1044" i="1"/>
  <c r="AK1044" i="1" s="1"/>
  <c r="AJ1044" i="1"/>
  <c r="AL1044" i="1" s="1"/>
  <c r="AC1045" i="1"/>
  <c r="AD1045" i="1"/>
  <c r="AH1045" i="1"/>
  <c r="AI1045" i="1"/>
  <c r="AK1045" i="1" s="1"/>
  <c r="AJ1045" i="1"/>
  <c r="AL1045" i="1"/>
  <c r="AC1046" i="1"/>
  <c r="AD1046" i="1"/>
  <c r="AH1046" i="1"/>
  <c r="AI1046" i="1"/>
  <c r="AK1046" i="1" s="1"/>
  <c r="AJ1046" i="1"/>
  <c r="AL1046" i="1" s="1"/>
  <c r="AC1047" i="1"/>
  <c r="AD1047" i="1"/>
  <c r="AH1047" i="1"/>
  <c r="AI1047" i="1"/>
  <c r="AK1047" i="1" s="1"/>
  <c r="AJ1047" i="1"/>
  <c r="AL1047" i="1" s="1"/>
  <c r="AC1048" i="1"/>
  <c r="AD1048" i="1"/>
  <c r="AH1048" i="1"/>
  <c r="AI1048" i="1"/>
  <c r="AK1048" i="1" s="1"/>
  <c r="AJ1048" i="1"/>
  <c r="AL1048" i="1"/>
  <c r="AC1049" i="1"/>
  <c r="AD1049" i="1"/>
  <c r="AH1049" i="1"/>
  <c r="AI1049" i="1"/>
  <c r="AK1049" i="1" s="1"/>
  <c r="AJ1049" i="1"/>
  <c r="AL1049" i="1" s="1"/>
  <c r="AC1050" i="1"/>
  <c r="AD1050" i="1"/>
  <c r="AH1050" i="1"/>
  <c r="AI1050" i="1"/>
  <c r="AK1050" i="1" s="1"/>
  <c r="AJ1050" i="1"/>
  <c r="AL1050" i="1" s="1"/>
  <c r="AC1051" i="1"/>
  <c r="AD1051" i="1"/>
  <c r="AH1051" i="1"/>
  <c r="AI1051" i="1"/>
  <c r="AJ1051" i="1"/>
  <c r="AK1051" i="1"/>
  <c r="AL1051" i="1"/>
  <c r="AC1052" i="1"/>
  <c r="AD1052" i="1"/>
  <c r="AH1052" i="1"/>
  <c r="AI1052" i="1"/>
  <c r="AK1052" i="1" s="1"/>
  <c r="AJ1052" i="1"/>
  <c r="AL1052" i="1" s="1"/>
  <c r="AC1053" i="1"/>
  <c r="AD1053" i="1"/>
  <c r="AH1053" i="1"/>
  <c r="AI1053" i="1"/>
  <c r="AJ1053" i="1"/>
  <c r="AL1053" i="1" s="1"/>
  <c r="AK1053" i="1"/>
  <c r="AC1054" i="1"/>
  <c r="AD1054" i="1"/>
  <c r="AH1054" i="1"/>
  <c r="AI1054" i="1"/>
  <c r="AJ1054" i="1"/>
  <c r="AK1054" i="1"/>
  <c r="AL1054" i="1"/>
  <c r="AC1055" i="1"/>
  <c r="AD1055" i="1"/>
  <c r="AH1055" i="1"/>
  <c r="AI1055" i="1"/>
  <c r="AJ1055" i="1"/>
  <c r="AL1055" i="1" s="1"/>
  <c r="AK1055" i="1"/>
  <c r="AC1056" i="1"/>
  <c r="AD1056" i="1"/>
  <c r="AH1056" i="1"/>
  <c r="AI1056" i="1"/>
  <c r="AK1056" i="1" s="1"/>
  <c r="AJ1056" i="1"/>
  <c r="AL1056" i="1" s="1"/>
  <c r="AC1057" i="1"/>
  <c r="AD1057" i="1"/>
  <c r="AH1057" i="1"/>
  <c r="AI1057" i="1"/>
  <c r="AK1057" i="1" s="1"/>
  <c r="AJ1057" i="1"/>
  <c r="AL1057" i="1" s="1"/>
  <c r="AC1058" i="1"/>
  <c r="AD1058" i="1"/>
  <c r="AH1058" i="1"/>
  <c r="AI1058" i="1"/>
  <c r="AK1058" i="1" s="1"/>
  <c r="AJ1058" i="1"/>
  <c r="AL1058" i="1" s="1"/>
  <c r="AC1059" i="1"/>
  <c r="AD1059" i="1"/>
  <c r="AH1059" i="1"/>
  <c r="AI1059" i="1"/>
  <c r="AK1059" i="1" s="1"/>
  <c r="AJ1059" i="1"/>
  <c r="AL1059" i="1" s="1"/>
  <c r="AC1060" i="1"/>
  <c r="AD1060" i="1"/>
  <c r="AH1060" i="1"/>
  <c r="AI1060" i="1"/>
  <c r="AJ1060" i="1"/>
  <c r="AL1060" i="1" s="1"/>
  <c r="AK1060" i="1"/>
  <c r="AC1061" i="1"/>
  <c r="AD1061" i="1"/>
  <c r="AH1061" i="1"/>
  <c r="AI1061" i="1"/>
  <c r="AK1061" i="1" s="1"/>
  <c r="AJ1061" i="1"/>
  <c r="AL1061" i="1" s="1"/>
  <c r="AC1062" i="1"/>
  <c r="AD1062" i="1"/>
  <c r="AH1062" i="1"/>
  <c r="AI1062" i="1"/>
  <c r="AK1062" i="1" s="1"/>
  <c r="AJ1062" i="1"/>
  <c r="AL1062" i="1" s="1"/>
  <c r="AC1063" i="1"/>
  <c r="AD1063" i="1"/>
  <c r="AH1063" i="1"/>
  <c r="AI1063" i="1"/>
  <c r="AK1063" i="1" s="1"/>
  <c r="AJ1063" i="1"/>
  <c r="AL1063" i="1" s="1"/>
  <c r="AC1064" i="1"/>
  <c r="AD1064" i="1"/>
  <c r="AH1064" i="1"/>
  <c r="AI1064" i="1"/>
  <c r="AK1064" i="1" s="1"/>
  <c r="AJ1064" i="1"/>
  <c r="AL1064" i="1" s="1"/>
  <c r="AC1065" i="1"/>
  <c r="AD1065" i="1"/>
  <c r="AH1065" i="1"/>
  <c r="AI1065" i="1"/>
  <c r="AK1065" i="1" s="1"/>
  <c r="AJ1065" i="1"/>
  <c r="AL1065" i="1" s="1"/>
  <c r="AC1066" i="1"/>
  <c r="AD1066" i="1"/>
  <c r="AH1066" i="1"/>
  <c r="AI1066" i="1"/>
  <c r="AJ1066" i="1"/>
  <c r="AL1066" i="1" s="1"/>
  <c r="AK1066" i="1"/>
  <c r="AC1067" i="1"/>
  <c r="AD1067" i="1"/>
  <c r="AH1067" i="1"/>
  <c r="AI1067" i="1"/>
  <c r="AK1067" i="1" s="1"/>
  <c r="AJ1067" i="1"/>
  <c r="AL1067" i="1"/>
  <c r="AC1068" i="1"/>
  <c r="AD1068" i="1"/>
  <c r="AH1068" i="1"/>
  <c r="AI1068" i="1"/>
  <c r="AK1068" i="1" s="1"/>
  <c r="AJ1068" i="1"/>
  <c r="AL1068" i="1" s="1"/>
  <c r="AC1069" i="1"/>
  <c r="AD1069" i="1"/>
  <c r="AH1069" i="1"/>
  <c r="AI1069" i="1"/>
  <c r="AJ1069" i="1"/>
  <c r="AL1069" i="1" s="1"/>
  <c r="AK1069" i="1"/>
  <c r="AC1070" i="1"/>
  <c r="AD1070" i="1"/>
  <c r="AH1070" i="1"/>
  <c r="AI1070" i="1"/>
  <c r="AK1070" i="1" s="1"/>
  <c r="AJ1070" i="1"/>
  <c r="AL1070" i="1" s="1"/>
  <c r="AC1071" i="1"/>
  <c r="AD1071" i="1"/>
  <c r="AH1071" i="1"/>
  <c r="AI1071" i="1"/>
  <c r="AK1071" i="1" s="1"/>
  <c r="AJ1071" i="1"/>
  <c r="AL1071" i="1" s="1"/>
  <c r="AC1072" i="1"/>
  <c r="AD1072" i="1"/>
  <c r="AH1072" i="1"/>
  <c r="AI1072" i="1"/>
  <c r="AK1072" i="1" s="1"/>
  <c r="AJ1072" i="1"/>
  <c r="AL1072" i="1"/>
  <c r="AC1073" i="1"/>
  <c r="AD1073" i="1"/>
  <c r="AH1073" i="1"/>
  <c r="AI1073" i="1"/>
  <c r="AJ1073" i="1"/>
  <c r="AL1073" i="1" s="1"/>
  <c r="AK1073" i="1"/>
  <c r="AC1074" i="1"/>
  <c r="AD1074" i="1"/>
  <c r="AH1074" i="1"/>
  <c r="AI1074" i="1"/>
  <c r="AK1074" i="1" s="1"/>
  <c r="AJ1074" i="1"/>
  <c r="AL1074" i="1" s="1"/>
  <c r="AC1075" i="1"/>
  <c r="AD1075" i="1"/>
  <c r="AH1075" i="1"/>
  <c r="AI1075" i="1"/>
  <c r="AJ1075" i="1"/>
  <c r="AL1075" i="1" s="1"/>
  <c r="AK1075" i="1"/>
  <c r="AC1076" i="1"/>
  <c r="AD1076" i="1"/>
  <c r="AH1076" i="1"/>
  <c r="AI1076" i="1"/>
  <c r="AK1076" i="1" s="1"/>
  <c r="AJ1076" i="1"/>
  <c r="AL1076" i="1" s="1"/>
  <c r="AC1077" i="1"/>
  <c r="AD1077" i="1"/>
  <c r="AH1077" i="1"/>
  <c r="AI1077" i="1"/>
  <c r="AK1077" i="1" s="1"/>
  <c r="AJ1077" i="1"/>
  <c r="AL1077" i="1" s="1"/>
  <c r="AC1078" i="1"/>
  <c r="AD1078" i="1"/>
  <c r="AH1078" i="1"/>
  <c r="AI1078" i="1"/>
  <c r="AK1078" i="1" s="1"/>
  <c r="AJ1078" i="1"/>
  <c r="AL1078" i="1"/>
  <c r="AC1079" i="1"/>
  <c r="AD1079" i="1"/>
  <c r="AH1079" i="1"/>
  <c r="AI1079" i="1"/>
  <c r="AK1079" i="1" s="1"/>
  <c r="AJ1079" i="1"/>
  <c r="AL1079" i="1" s="1"/>
  <c r="AC1080" i="1"/>
  <c r="AD1080" i="1"/>
  <c r="AH1080" i="1"/>
  <c r="AI1080" i="1"/>
  <c r="AK1080" i="1" s="1"/>
  <c r="AJ1080" i="1"/>
  <c r="AL1080" i="1" s="1"/>
  <c r="AC1081" i="1"/>
  <c r="AD1081" i="1"/>
  <c r="AH1081" i="1"/>
  <c r="AI1081" i="1"/>
  <c r="AK1081" i="1" s="1"/>
  <c r="AJ1081" i="1"/>
  <c r="AL1081" i="1" s="1"/>
  <c r="AC1082" i="1"/>
  <c r="AD1082" i="1"/>
  <c r="AH1082" i="1"/>
  <c r="AI1082" i="1"/>
  <c r="AK1082" i="1" s="1"/>
  <c r="AJ1082" i="1"/>
  <c r="AL1082" i="1" s="1"/>
  <c r="AJ11" i="1"/>
  <c r="AL11" i="1" s="1"/>
  <c r="AI11" i="1"/>
  <c r="AK11" i="1" s="1"/>
  <c r="AH11" i="1"/>
  <c r="AD11" i="1"/>
  <c r="AC11" i="1"/>
  <c r="W663" i="1" l="1"/>
  <c r="AE663" i="1" s="1"/>
  <c r="X663" i="1"/>
  <c r="AF663" i="1" s="1"/>
  <c r="Y663" i="1"/>
  <c r="AG663" i="1" s="1"/>
  <c r="Z663" i="1"/>
  <c r="AA663" i="1"/>
  <c r="AB663" i="1"/>
  <c r="W12" i="1"/>
  <c r="AE12" i="1" s="1"/>
  <c r="X12" i="1"/>
  <c r="AF12" i="1" s="1"/>
  <c r="Y12" i="1"/>
  <c r="AG12" i="1" s="1"/>
  <c r="Z12" i="1"/>
  <c r="AA12" i="1"/>
  <c r="AB12" i="1"/>
  <c r="W13" i="1"/>
  <c r="AE13" i="1" s="1"/>
  <c r="X13" i="1"/>
  <c r="AF13" i="1" s="1"/>
  <c r="Y13" i="1"/>
  <c r="AG13" i="1" s="1"/>
  <c r="Z13" i="1"/>
  <c r="AA13" i="1"/>
  <c r="AB13" i="1"/>
  <c r="W2" i="1"/>
  <c r="AE2" i="1" s="1"/>
  <c r="X2" i="1"/>
  <c r="AF2" i="1" s="1"/>
  <c r="Y2" i="1"/>
  <c r="AG2" i="1" s="1"/>
  <c r="Z2" i="1"/>
  <c r="AA2" i="1"/>
  <c r="AB2" i="1"/>
  <c r="W14" i="1"/>
  <c r="AE14" i="1" s="1"/>
  <c r="X14" i="1"/>
  <c r="AF14" i="1" s="1"/>
  <c r="Y14" i="1"/>
  <c r="AG14" i="1" s="1"/>
  <c r="Z14" i="1"/>
  <c r="AA14" i="1"/>
  <c r="AB14" i="1"/>
  <c r="W15" i="1"/>
  <c r="AE15" i="1" s="1"/>
  <c r="X15" i="1"/>
  <c r="AF15" i="1" s="1"/>
  <c r="Y15" i="1"/>
  <c r="AG15" i="1" s="1"/>
  <c r="Z15" i="1"/>
  <c r="AA15" i="1"/>
  <c r="AB15" i="1"/>
  <c r="W16" i="1"/>
  <c r="AE16" i="1" s="1"/>
  <c r="X16" i="1"/>
  <c r="AF16" i="1" s="1"/>
  <c r="Y16" i="1"/>
  <c r="AG16" i="1" s="1"/>
  <c r="Z16" i="1"/>
  <c r="AA16" i="1"/>
  <c r="AB16" i="1"/>
  <c r="W17" i="1"/>
  <c r="AE17" i="1" s="1"/>
  <c r="X17" i="1"/>
  <c r="AF17" i="1" s="1"/>
  <c r="Y17" i="1"/>
  <c r="AG17" i="1" s="1"/>
  <c r="Z17" i="1"/>
  <c r="AA17" i="1"/>
  <c r="AB17" i="1"/>
  <c r="W18" i="1"/>
  <c r="AE18" i="1" s="1"/>
  <c r="X18" i="1"/>
  <c r="AF18" i="1" s="1"/>
  <c r="Y18" i="1"/>
  <c r="AG18" i="1" s="1"/>
  <c r="Z18" i="1"/>
  <c r="AA18" i="1"/>
  <c r="AB18" i="1"/>
  <c r="W19" i="1"/>
  <c r="AE19" i="1" s="1"/>
  <c r="X19" i="1"/>
  <c r="AF19" i="1" s="1"/>
  <c r="Y19" i="1"/>
  <c r="AG19" i="1" s="1"/>
  <c r="Z19" i="1"/>
  <c r="AA19" i="1"/>
  <c r="AB19" i="1"/>
  <c r="W20" i="1"/>
  <c r="AE20" i="1" s="1"/>
  <c r="X20" i="1"/>
  <c r="AF20" i="1" s="1"/>
  <c r="Y20" i="1"/>
  <c r="AG20" i="1" s="1"/>
  <c r="Z20" i="1"/>
  <c r="AA20" i="1"/>
  <c r="AB20" i="1"/>
  <c r="W21" i="1"/>
  <c r="AE21" i="1" s="1"/>
  <c r="X21" i="1"/>
  <c r="AF21" i="1" s="1"/>
  <c r="Y21" i="1"/>
  <c r="AG21" i="1" s="1"/>
  <c r="Z21" i="1"/>
  <c r="AA21" i="1"/>
  <c r="AB21" i="1"/>
  <c r="W664" i="1"/>
  <c r="AE664" i="1" s="1"/>
  <c r="X664" i="1"/>
  <c r="AF664" i="1" s="1"/>
  <c r="Y664" i="1"/>
  <c r="AG664" i="1" s="1"/>
  <c r="Z664" i="1"/>
  <c r="AA664" i="1"/>
  <c r="AB664" i="1"/>
  <c r="W22" i="1"/>
  <c r="AE22" i="1" s="1"/>
  <c r="X22" i="1"/>
  <c r="AF22" i="1" s="1"/>
  <c r="Y22" i="1"/>
  <c r="AG22" i="1" s="1"/>
  <c r="Z22" i="1"/>
  <c r="AA22" i="1"/>
  <c r="AB22" i="1"/>
  <c r="W23" i="1"/>
  <c r="AE23" i="1" s="1"/>
  <c r="X23" i="1"/>
  <c r="AF23" i="1" s="1"/>
  <c r="Y23" i="1"/>
  <c r="AG23" i="1" s="1"/>
  <c r="Z23" i="1"/>
  <c r="AA23" i="1"/>
  <c r="AB23" i="1"/>
  <c r="W24" i="1"/>
  <c r="AE24" i="1" s="1"/>
  <c r="X24" i="1"/>
  <c r="AF24" i="1" s="1"/>
  <c r="Y24" i="1"/>
  <c r="AG24" i="1" s="1"/>
  <c r="Z24" i="1"/>
  <c r="AA24" i="1"/>
  <c r="AB24" i="1"/>
  <c r="W25" i="1"/>
  <c r="AE25" i="1" s="1"/>
  <c r="X25" i="1"/>
  <c r="AF25" i="1" s="1"/>
  <c r="Y25" i="1"/>
  <c r="AG25" i="1" s="1"/>
  <c r="Z25" i="1"/>
  <c r="AA25" i="1"/>
  <c r="AB25" i="1"/>
  <c r="W26" i="1"/>
  <c r="AE26" i="1" s="1"/>
  <c r="X26" i="1"/>
  <c r="AF26" i="1" s="1"/>
  <c r="Y26" i="1"/>
  <c r="AG26" i="1" s="1"/>
  <c r="Z26" i="1"/>
  <c r="AA26" i="1"/>
  <c r="AB26" i="1"/>
  <c r="W27" i="1"/>
  <c r="AE27" i="1" s="1"/>
  <c r="X27" i="1"/>
  <c r="AF27" i="1" s="1"/>
  <c r="Y27" i="1"/>
  <c r="AG27" i="1" s="1"/>
  <c r="Z27" i="1"/>
  <c r="AA27" i="1"/>
  <c r="AB27" i="1"/>
  <c r="W28" i="1"/>
  <c r="AE28" i="1" s="1"/>
  <c r="X28" i="1"/>
  <c r="AF28" i="1" s="1"/>
  <c r="Y28" i="1"/>
  <c r="AG28" i="1" s="1"/>
  <c r="Z28" i="1"/>
  <c r="AA28" i="1"/>
  <c r="AB28" i="1"/>
  <c r="W29" i="1"/>
  <c r="AE29" i="1" s="1"/>
  <c r="X29" i="1"/>
  <c r="AF29" i="1" s="1"/>
  <c r="Y29" i="1"/>
  <c r="AG29" i="1" s="1"/>
  <c r="Z29" i="1"/>
  <c r="AA29" i="1"/>
  <c r="AB29" i="1"/>
  <c r="W30" i="1"/>
  <c r="AE30" i="1" s="1"/>
  <c r="X30" i="1"/>
  <c r="AF30" i="1" s="1"/>
  <c r="Y30" i="1"/>
  <c r="AG30" i="1" s="1"/>
  <c r="Z30" i="1"/>
  <c r="AA30" i="1"/>
  <c r="AB30" i="1"/>
  <c r="W31" i="1"/>
  <c r="AE31" i="1" s="1"/>
  <c r="X31" i="1"/>
  <c r="AF31" i="1" s="1"/>
  <c r="Y31" i="1"/>
  <c r="AG31" i="1" s="1"/>
  <c r="Z31" i="1"/>
  <c r="AA31" i="1"/>
  <c r="AB31" i="1"/>
  <c r="W32" i="1"/>
  <c r="AE32" i="1" s="1"/>
  <c r="X32" i="1"/>
  <c r="AF32" i="1" s="1"/>
  <c r="Y32" i="1"/>
  <c r="AG32" i="1" s="1"/>
  <c r="Z32" i="1"/>
  <c r="AA32" i="1"/>
  <c r="AB32" i="1"/>
  <c r="W33" i="1"/>
  <c r="AE33" i="1" s="1"/>
  <c r="X33" i="1"/>
  <c r="AF33" i="1" s="1"/>
  <c r="Y33" i="1"/>
  <c r="AG33" i="1" s="1"/>
  <c r="Z33" i="1"/>
  <c r="AA33" i="1"/>
  <c r="AB33" i="1"/>
  <c r="W34" i="1"/>
  <c r="AE34" i="1" s="1"/>
  <c r="X34" i="1"/>
  <c r="AF34" i="1" s="1"/>
  <c r="Y34" i="1"/>
  <c r="AG34" i="1" s="1"/>
  <c r="Z34" i="1"/>
  <c r="AA34" i="1"/>
  <c r="AB34" i="1"/>
  <c r="W35" i="1"/>
  <c r="AE35" i="1" s="1"/>
  <c r="X35" i="1"/>
  <c r="AF35" i="1" s="1"/>
  <c r="Y35" i="1"/>
  <c r="AG35" i="1" s="1"/>
  <c r="Z35" i="1"/>
  <c r="AA35" i="1"/>
  <c r="AB35" i="1"/>
  <c r="W3" i="1"/>
  <c r="AE3" i="1" s="1"/>
  <c r="X3" i="1"/>
  <c r="AF3" i="1" s="1"/>
  <c r="Y3" i="1"/>
  <c r="AG3" i="1" s="1"/>
  <c r="Z3" i="1"/>
  <c r="AA3" i="1"/>
  <c r="AB3" i="1"/>
  <c r="W36" i="1"/>
  <c r="AE36" i="1" s="1"/>
  <c r="X36" i="1"/>
  <c r="AF36" i="1" s="1"/>
  <c r="Y36" i="1"/>
  <c r="AG36" i="1" s="1"/>
  <c r="Z36" i="1"/>
  <c r="AA36" i="1"/>
  <c r="AB36" i="1"/>
  <c r="W37" i="1"/>
  <c r="AE37" i="1" s="1"/>
  <c r="X37" i="1"/>
  <c r="AF37" i="1" s="1"/>
  <c r="Y37" i="1"/>
  <c r="AG37" i="1" s="1"/>
  <c r="Z37" i="1"/>
  <c r="AA37" i="1"/>
  <c r="AB37" i="1"/>
  <c r="W38" i="1"/>
  <c r="AE38" i="1" s="1"/>
  <c r="X38" i="1"/>
  <c r="AF38" i="1" s="1"/>
  <c r="Y38" i="1"/>
  <c r="AG38" i="1" s="1"/>
  <c r="Z38" i="1"/>
  <c r="AA38" i="1"/>
  <c r="AB38" i="1"/>
  <c r="W665" i="1"/>
  <c r="AE665" i="1" s="1"/>
  <c r="X665" i="1"/>
  <c r="AF665" i="1" s="1"/>
  <c r="Y665" i="1"/>
  <c r="AG665" i="1" s="1"/>
  <c r="Z665" i="1"/>
  <c r="AA665" i="1"/>
  <c r="AB665" i="1"/>
  <c r="W39" i="1"/>
  <c r="AE39" i="1" s="1"/>
  <c r="X39" i="1"/>
  <c r="AF39" i="1" s="1"/>
  <c r="Y39" i="1"/>
  <c r="AG39" i="1" s="1"/>
  <c r="Z39" i="1"/>
  <c r="AA39" i="1"/>
  <c r="AB39" i="1"/>
  <c r="W40" i="1"/>
  <c r="AE40" i="1" s="1"/>
  <c r="X40" i="1"/>
  <c r="AF40" i="1" s="1"/>
  <c r="Y40" i="1"/>
  <c r="AG40" i="1" s="1"/>
  <c r="Z40" i="1"/>
  <c r="AA40" i="1"/>
  <c r="AB40" i="1"/>
  <c r="W41" i="1"/>
  <c r="AE41" i="1" s="1"/>
  <c r="X41" i="1"/>
  <c r="AF41" i="1" s="1"/>
  <c r="Y41" i="1"/>
  <c r="AG41" i="1" s="1"/>
  <c r="Z41" i="1"/>
  <c r="AA41" i="1"/>
  <c r="AB41" i="1"/>
  <c r="W42" i="1"/>
  <c r="AE42" i="1" s="1"/>
  <c r="X42" i="1"/>
  <c r="AF42" i="1" s="1"/>
  <c r="Y42" i="1"/>
  <c r="AG42" i="1" s="1"/>
  <c r="Z42" i="1"/>
  <c r="AA42" i="1"/>
  <c r="AB42" i="1"/>
  <c r="W43" i="1"/>
  <c r="AE43" i="1" s="1"/>
  <c r="X43" i="1"/>
  <c r="AF43" i="1" s="1"/>
  <c r="Y43" i="1"/>
  <c r="AG43" i="1" s="1"/>
  <c r="Z43" i="1"/>
  <c r="AA43" i="1"/>
  <c r="AB43" i="1"/>
  <c r="W44" i="1"/>
  <c r="AE44" i="1" s="1"/>
  <c r="X44" i="1"/>
  <c r="AF44" i="1" s="1"/>
  <c r="Y44" i="1"/>
  <c r="AG44" i="1" s="1"/>
  <c r="Z44" i="1"/>
  <c r="AA44" i="1"/>
  <c r="AB44" i="1"/>
  <c r="W45" i="1"/>
  <c r="AE45" i="1" s="1"/>
  <c r="X45" i="1"/>
  <c r="AF45" i="1" s="1"/>
  <c r="Y45" i="1"/>
  <c r="AG45" i="1" s="1"/>
  <c r="Z45" i="1"/>
  <c r="AA45" i="1"/>
  <c r="AB45" i="1"/>
  <c r="W46" i="1"/>
  <c r="AE46" i="1" s="1"/>
  <c r="X46" i="1"/>
  <c r="AF46" i="1" s="1"/>
  <c r="Y46" i="1"/>
  <c r="AG46" i="1" s="1"/>
  <c r="Z46" i="1"/>
  <c r="AA46" i="1"/>
  <c r="AB46" i="1"/>
  <c r="W47" i="1"/>
  <c r="AE47" i="1" s="1"/>
  <c r="X47" i="1"/>
  <c r="AF47" i="1" s="1"/>
  <c r="Y47" i="1"/>
  <c r="AG47" i="1" s="1"/>
  <c r="Z47" i="1"/>
  <c r="AA47" i="1"/>
  <c r="AB47" i="1"/>
  <c r="W48" i="1"/>
  <c r="AE48" i="1" s="1"/>
  <c r="X48" i="1"/>
  <c r="AF48" i="1" s="1"/>
  <c r="Y48" i="1"/>
  <c r="AG48" i="1" s="1"/>
  <c r="Z48" i="1"/>
  <c r="AA48" i="1"/>
  <c r="AB48" i="1"/>
  <c r="W49" i="1"/>
  <c r="AE49" i="1" s="1"/>
  <c r="X49" i="1"/>
  <c r="AF49" i="1" s="1"/>
  <c r="Y49" i="1"/>
  <c r="AG49" i="1" s="1"/>
  <c r="Z49" i="1"/>
  <c r="AA49" i="1"/>
  <c r="AB49" i="1"/>
  <c r="W50" i="1"/>
  <c r="AE50" i="1" s="1"/>
  <c r="X50" i="1"/>
  <c r="AF50" i="1" s="1"/>
  <c r="Y50" i="1"/>
  <c r="AG50" i="1" s="1"/>
  <c r="Z50" i="1"/>
  <c r="AA50" i="1"/>
  <c r="AB50" i="1"/>
  <c r="W51" i="1"/>
  <c r="AE51" i="1" s="1"/>
  <c r="X51" i="1"/>
  <c r="AF51" i="1" s="1"/>
  <c r="Y51" i="1"/>
  <c r="AG51" i="1" s="1"/>
  <c r="Z51" i="1"/>
  <c r="AA51" i="1"/>
  <c r="AB51" i="1"/>
  <c r="W52" i="1"/>
  <c r="AE52" i="1" s="1"/>
  <c r="X52" i="1"/>
  <c r="AF52" i="1" s="1"/>
  <c r="Y52" i="1"/>
  <c r="AG52" i="1" s="1"/>
  <c r="Z52" i="1"/>
  <c r="AA52" i="1"/>
  <c r="AB52" i="1"/>
  <c r="W666" i="1"/>
  <c r="AE666" i="1" s="1"/>
  <c r="X666" i="1"/>
  <c r="AF666" i="1" s="1"/>
  <c r="Y666" i="1"/>
  <c r="AG666" i="1" s="1"/>
  <c r="Z666" i="1"/>
  <c r="AA666" i="1"/>
  <c r="AB666" i="1"/>
  <c r="W53" i="1"/>
  <c r="AE53" i="1" s="1"/>
  <c r="X53" i="1"/>
  <c r="AF53" i="1" s="1"/>
  <c r="Y53" i="1"/>
  <c r="AG53" i="1" s="1"/>
  <c r="Z53" i="1"/>
  <c r="AA53" i="1"/>
  <c r="AB53" i="1"/>
  <c r="W54" i="1"/>
  <c r="AE54" i="1" s="1"/>
  <c r="X54" i="1"/>
  <c r="AF54" i="1" s="1"/>
  <c r="Y54" i="1"/>
  <c r="AG54" i="1" s="1"/>
  <c r="Z54" i="1"/>
  <c r="AA54" i="1"/>
  <c r="AB54" i="1"/>
  <c r="W55" i="1"/>
  <c r="AE55" i="1" s="1"/>
  <c r="X55" i="1"/>
  <c r="AF55" i="1" s="1"/>
  <c r="Y55" i="1"/>
  <c r="AG55" i="1" s="1"/>
  <c r="Z55" i="1"/>
  <c r="AA55" i="1"/>
  <c r="AB55" i="1"/>
  <c r="W56" i="1"/>
  <c r="AE56" i="1" s="1"/>
  <c r="X56" i="1"/>
  <c r="AF56" i="1" s="1"/>
  <c r="Y56" i="1"/>
  <c r="AG56" i="1" s="1"/>
  <c r="Z56" i="1"/>
  <c r="AA56" i="1"/>
  <c r="AB56" i="1"/>
  <c r="W57" i="1"/>
  <c r="AE57" i="1" s="1"/>
  <c r="X57" i="1"/>
  <c r="AF57" i="1" s="1"/>
  <c r="Y57" i="1"/>
  <c r="AG57" i="1" s="1"/>
  <c r="Z57" i="1"/>
  <c r="AA57" i="1"/>
  <c r="AB57" i="1"/>
  <c r="W58" i="1"/>
  <c r="AE58" i="1" s="1"/>
  <c r="X58" i="1"/>
  <c r="AF58" i="1" s="1"/>
  <c r="Y58" i="1"/>
  <c r="AG58" i="1" s="1"/>
  <c r="Z58" i="1"/>
  <c r="AA58" i="1"/>
  <c r="AB58" i="1"/>
  <c r="W59" i="1"/>
  <c r="AE59" i="1" s="1"/>
  <c r="X59" i="1"/>
  <c r="AF59" i="1" s="1"/>
  <c r="Y59" i="1"/>
  <c r="AG59" i="1" s="1"/>
  <c r="Z59" i="1"/>
  <c r="AA59" i="1"/>
  <c r="AB59" i="1"/>
  <c r="W667" i="1"/>
  <c r="AE667" i="1" s="1"/>
  <c r="X667" i="1"/>
  <c r="AF667" i="1" s="1"/>
  <c r="Y667" i="1"/>
  <c r="AG667" i="1" s="1"/>
  <c r="Z667" i="1"/>
  <c r="AA667" i="1"/>
  <c r="AB667" i="1"/>
  <c r="W60" i="1"/>
  <c r="AE60" i="1" s="1"/>
  <c r="X60" i="1"/>
  <c r="AF60" i="1" s="1"/>
  <c r="Y60" i="1"/>
  <c r="AG60" i="1" s="1"/>
  <c r="Z60" i="1"/>
  <c r="AA60" i="1"/>
  <c r="AB60" i="1"/>
  <c r="W61" i="1"/>
  <c r="AE61" i="1" s="1"/>
  <c r="X61" i="1"/>
  <c r="AF61" i="1" s="1"/>
  <c r="Y61" i="1"/>
  <c r="AG61" i="1" s="1"/>
  <c r="Z61" i="1"/>
  <c r="AA61" i="1"/>
  <c r="AB61" i="1"/>
  <c r="W668" i="1"/>
  <c r="AE668" i="1" s="1"/>
  <c r="X668" i="1"/>
  <c r="AF668" i="1" s="1"/>
  <c r="Y668" i="1"/>
  <c r="AG668" i="1" s="1"/>
  <c r="Z668" i="1"/>
  <c r="AA668" i="1"/>
  <c r="AB668" i="1"/>
  <c r="W62" i="1"/>
  <c r="AE62" i="1" s="1"/>
  <c r="X62" i="1"/>
  <c r="AF62" i="1" s="1"/>
  <c r="Y62" i="1"/>
  <c r="AG62" i="1" s="1"/>
  <c r="Z62" i="1"/>
  <c r="AA62" i="1"/>
  <c r="AB62" i="1"/>
  <c r="W63" i="1"/>
  <c r="AE63" i="1" s="1"/>
  <c r="X63" i="1"/>
  <c r="AF63" i="1" s="1"/>
  <c r="Y63" i="1"/>
  <c r="AG63" i="1" s="1"/>
  <c r="Z63" i="1"/>
  <c r="AA63" i="1"/>
  <c r="AB63" i="1"/>
  <c r="W64" i="1"/>
  <c r="AE64" i="1" s="1"/>
  <c r="X64" i="1"/>
  <c r="AF64" i="1" s="1"/>
  <c r="Y64" i="1"/>
  <c r="AG64" i="1" s="1"/>
  <c r="Z64" i="1"/>
  <c r="AA64" i="1"/>
  <c r="AB64" i="1"/>
  <c r="W65" i="1"/>
  <c r="AE65" i="1" s="1"/>
  <c r="X65" i="1"/>
  <c r="AF65" i="1" s="1"/>
  <c r="Y65" i="1"/>
  <c r="AG65" i="1" s="1"/>
  <c r="Z65" i="1"/>
  <c r="AA65" i="1"/>
  <c r="AB65" i="1"/>
  <c r="W66" i="1"/>
  <c r="AE66" i="1" s="1"/>
  <c r="X66" i="1"/>
  <c r="AF66" i="1" s="1"/>
  <c r="Y66" i="1"/>
  <c r="AG66" i="1" s="1"/>
  <c r="Z66" i="1"/>
  <c r="AA66" i="1"/>
  <c r="AB66" i="1"/>
  <c r="W67" i="1"/>
  <c r="AE67" i="1" s="1"/>
  <c r="X67" i="1"/>
  <c r="AF67" i="1" s="1"/>
  <c r="Y67" i="1"/>
  <c r="AG67" i="1" s="1"/>
  <c r="Z67" i="1"/>
  <c r="AA67" i="1"/>
  <c r="AB67" i="1"/>
  <c r="W68" i="1"/>
  <c r="AE68" i="1" s="1"/>
  <c r="X68" i="1"/>
  <c r="AF68" i="1" s="1"/>
  <c r="Y68" i="1"/>
  <c r="AG68" i="1" s="1"/>
  <c r="Z68" i="1"/>
  <c r="AA68" i="1"/>
  <c r="AB68" i="1"/>
  <c r="W69" i="1"/>
  <c r="AE69" i="1" s="1"/>
  <c r="X69" i="1"/>
  <c r="AF69" i="1" s="1"/>
  <c r="Y69" i="1"/>
  <c r="AG69" i="1" s="1"/>
  <c r="Z69" i="1"/>
  <c r="AA69" i="1"/>
  <c r="AB69" i="1"/>
  <c r="W669" i="1"/>
  <c r="AE669" i="1" s="1"/>
  <c r="X669" i="1"/>
  <c r="AF669" i="1" s="1"/>
  <c r="Y669" i="1"/>
  <c r="AG669" i="1" s="1"/>
  <c r="Z669" i="1"/>
  <c r="AA669" i="1"/>
  <c r="AB669" i="1"/>
  <c r="W70" i="1"/>
  <c r="AE70" i="1" s="1"/>
  <c r="X70" i="1"/>
  <c r="AF70" i="1" s="1"/>
  <c r="Y70" i="1"/>
  <c r="AG70" i="1" s="1"/>
  <c r="Z70" i="1"/>
  <c r="AA70" i="1"/>
  <c r="AB70" i="1"/>
  <c r="W71" i="1"/>
  <c r="AE71" i="1" s="1"/>
  <c r="X71" i="1"/>
  <c r="AF71" i="1" s="1"/>
  <c r="Y71" i="1"/>
  <c r="AG71" i="1" s="1"/>
  <c r="Z71" i="1"/>
  <c r="AA71" i="1"/>
  <c r="AB71" i="1"/>
  <c r="W72" i="1"/>
  <c r="AE72" i="1" s="1"/>
  <c r="X72" i="1"/>
  <c r="AF72" i="1" s="1"/>
  <c r="Y72" i="1"/>
  <c r="AG72" i="1" s="1"/>
  <c r="Z72" i="1"/>
  <c r="AA72" i="1"/>
  <c r="AB72" i="1"/>
  <c r="W670" i="1"/>
  <c r="AE670" i="1" s="1"/>
  <c r="X670" i="1"/>
  <c r="AF670" i="1" s="1"/>
  <c r="Y670" i="1"/>
  <c r="AG670" i="1" s="1"/>
  <c r="Z670" i="1"/>
  <c r="AA670" i="1"/>
  <c r="AB670" i="1"/>
  <c r="W73" i="1"/>
  <c r="AE73" i="1" s="1"/>
  <c r="X73" i="1"/>
  <c r="AF73" i="1" s="1"/>
  <c r="Y73" i="1"/>
  <c r="AG73" i="1" s="1"/>
  <c r="Z73" i="1"/>
  <c r="AA73" i="1"/>
  <c r="AB73" i="1"/>
  <c r="W74" i="1"/>
  <c r="AE74" i="1" s="1"/>
  <c r="X74" i="1"/>
  <c r="AF74" i="1" s="1"/>
  <c r="Y74" i="1"/>
  <c r="AG74" i="1" s="1"/>
  <c r="Z74" i="1"/>
  <c r="AA74" i="1"/>
  <c r="AB74" i="1"/>
  <c r="W671" i="1"/>
  <c r="AE671" i="1" s="1"/>
  <c r="X671" i="1"/>
  <c r="AF671" i="1" s="1"/>
  <c r="Y671" i="1"/>
  <c r="AG671" i="1" s="1"/>
  <c r="Z671" i="1"/>
  <c r="AA671" i="1"/>
  <c r="AB671" i="1"/>
  <c r="W75" i="1"/>
  <c r="AE75" i="1" s="1"/>
  <c r="X75" i="1"/>
  <c r="AF75" i="1" s="1"/>
  <c r="Y75" i="1"/>
  <c r="AG75" i="1" s="1"/>
  <c r="Z75" i="1"/>
  <c r="AA75" i="1"/>
  <c r="AB75" i="1"/>
  <c r="W76" i="1"/>
  <c r="AE76" i="1" s="1"/>
  <c r="X76" i="1"/>
  <c r="AF76" i="1" s="1"/>
  <c r="Y76" i="1"/>
  <c r="AG76" i="1" s="1"/>
  <c r="Z76" i="1"/>
  <c r="AA76" i="1"/>
  <c r="AB76" i="1"/>
  <c r="W77" i="1"/>
  <c r="AE77" i="1" s="1"/>
  <c r="X77" i="1"/>
  <c r="AF77" i="1" s="1"/>
  <c r="Y77" i="1"/>
  <c r="AG77" i="1" s="1"/>
  <c r="Z77" i="1"/>
  <c r="AA77" i="1"/>
  <c r="AB77" i="1"/>
  <c r="W78" i="1"/>
  <c r="AE78" i="1" s="1"/>
  <c r="X78" i="1"/>
  <c r="AF78" i="1" s="1"/>
  <c r="Y78" i="1"/>
  <c r="AG78" i="1" s="1"/>
  <c r="Z78" i="1"/>
  <c r="AA78" i="1"/>
  <c r="AB78" i="1"/>
  <c r="W79" i="1"/>
  <c r="AE79" i="1" s="1"/>
  <c r="X79" i="1"/>
  <c r="AF79" i="1" s="1"/>
  <c r="Y79" i="1"/>
  <c r="AG79" i="1" s="1"/>
  <c r="Z79" i="1"/>
  <c r="AA79" i="1"/>
  <c r="AB79" i="1"/>
  <c r="W80" i="1"/>
  <c r="AE80" i="1" s="1"/>
  <c r="X80" i="1"/>
  <c r="AF80" i="1" s="1"/>
  <c r="Y80" i="1"/>
  <c r="AG80" i="1" s="1"/>
  <c r="Z80" i="1"/>
  <c r="AA80" i="1"/>
  <c r="AB80" i="1"/>
  <c r="W81" i="1"/>
  <c r="AE81" i="1" s="1"/>
  <c r="X81" i="1"/>
  <c r="AF81" i="1" s="1"/>
  <c r="Y81" i="1"/>
  <c r="AG81" i="1" s="1"/>
  <c r="Z81" i="1"/>
  <c r="AA81" i="1"/>
  <c r="AB81" i="1"/>
  <c r="W82" i="1"/>
  <c r="AE82" i="1" s="1"/>
  <c r="X82" i="1"/>
  <c r="AF82" i="1" s="1"/>
  <c r="Y82" i="1"/>
  <c r="AG82" i="1" s="1"/>
  <c r="Z82" i="1"/>
  <c r="AA82" i="1"/>
  <c r="AB82" i="1"/>
  <c r="W83" i="1"/>
  <c r="AE83" i="1" s="1"/>
  <c r="X83" i="1"/>
  <c r="AF83" i="1" s="1"/>
  <c r="Y83" i="1"/>
  <c r="AG83" i="1" s="1"/>
  <c r="Z83" i="1"/>
  <c r="AA83" i="1"/>
  <c r="AB83" i="1"/>
  <c r="W84" i="1"/>
  <c r="AE84" i="1" s="1"/>
  <c r="X84" i="1"/>
  <c r="AF84" i="1" s="1"/>
  <c r="Y84" i="1"/>
  <c r="AG84" i="1" s="1"/>
  <c r="Z84" i="1"/>
  <c r="AA84" i="1"/>
  <c r="AB84" i="1"/>
  <c r="W85" i="1"/>
  <c r="AE85" i="1" s="1"/>
  <c r="X85" i="1"/>
  <c r="AF85" i="1" s="1"/>
  <c r="Y85" i="1"/>
  <c r="AG85" i="1" s="1"/>
  <c r="Z85" i="1"/>
  <c r="AA85" i="1"/>
  <c r="AB85" i="1"/>
  <c r="W86" i="1"/>
  <c r="AE86" i="1" s="1"/>
  <c r="X86" i="1"/>
  <c r="AF86" i="1" s="1"/>
  <c r="Y86" i="1"/>
  <c r="AG86" i="1" s="1"/>
  <c r="Z86" i="1"/>
  <c r="AA86" i="1"/>
  <c r="AB86" i="1"/>
  <c r="W87" i="1"/>
  <c r="AE87" i="1" s="1"/>
  <c r="X87" i="1"/>
  <c r="AF87" i="1" s="1"/>
  <c r="Y87" i="1"/>
  <c r="AG87" i="1" s="1"/>
  <c r="Z87" i="1"/>
  <c r="AA87" i="1"/>
  <c r="AB87" i="1"/>
  <c r="W88" i="1"/>
  <c r="AE88" i="1" s="1"/>
  <c r="X88" i="1"/>
  <c r="AF88" i="1" s="1"/>
  <c r="Y88" i="1"/>
  <c r="AG88" i="1" s="1"/>
  <c r="Z88" i="1"/>
  <c r="AA88" i="1"/>
  <c r="AB88" i="1"/>
  <c r="W89" i="1"/>
  <c r="AE89" i="1" s="1"/>
  <c r="X89" i="1"/>
  <c r="AF89" i="1" s="1"/>
  <c r="Y89" i="1"/>
  <c r="AG89" i="1" s="1"/>
  <c r="Z89" i="1"/>
  <c r="AA89" i="1"/>
  <c r="AB89" i="1"/>
  <c r="W90" i="1"/>
  <c r="AE90" i="1" s="1"/>
  <c r="X90" i="1"/>
  <c r="AF90" i="1" s="1"/>
  <c r="Y90" i="1"/>
  <c r="AG90" i="1" s="1"/>
  <c r="Z90" i="1"/>
  <c r="AA90" i="1"/>
  <c r="AB90" i="1"/>
  <c r="W91" i="1"/>
  <c r="AE91" i="1" s="1"/>
  <c r="X91" i="1"/>
  <c r="AF91" i="1" s="1"/>
  <c r="Y91" i="1"/>
  <c r="AG91" i="1" s="1"/>
  <c r="Z91" i="1"/>
  <c r="AA91" i="1"/>
  <c r="AB91" i="1"/>
  <c r="W92" i="1"/>
  <c r="AE92" i="1" s="1"/>
  <c r="X92" i="1"/>
  <c r="AF92" i="1" s="1"/>
  <c r="Y92" i="1"/>
  <c r="AG92" i="1" s="1"/>
  <c r="Z92" i="1"/>
  <c r="AA92" i="1"/>
  <c r="AB92" i="1"/>
  <c r="W93" i="1"/>
  <c r="AE93" i="1" s="1"/>
  <c r="X93" i="1"/>
  <c r="AF93" i="1" s="1"/>
  <c r="Y93" i="1"/>
  <c r="AG93" i="1" s="1"/>
  <c r="Z93" i="1"/>
  <c r="AA93" i="1"/>
  <c r="AB93" i="1"/>
  <c r="W94" i="1"/>
  <c r="AE94" i="1" s="1"/>
  <c r="X94" i="1"/>
  <c r="AF94" i="1" s="1"/>
  <c r="Y94" i="1"/>
  <c r="AG94" i="1" s="1"/>
  <c r="Z94" i="1"/>
  <c r="AA94" i="1"/>
  <c r="AB94" i="1"/>
  <c r="W95" i="1"/>
  <c r="AE95" i="1" s="1"/>
  <c r="X95" i="1"/>
  <c r="AF95" i="1" s="1"/>
  <c r="Y95" i="1"/>
  <c r="AG95" i="1" s="1"/>
  <c r="Z95" i="1"/>
  <c r="AA95" i="1"/>
  <c r="AB95" i="1"/>
  <c r="W96" i="1"/>
  <c r="AE96" i="1" s="1"/>
  <c r="X96" i="1"/>
  <c r="AF96" i="1" s="1"/>
  <c r="Y96" i="1"/>
  <c r="AG96" i="1" s="1"/>
  <c r="Z96" i="1"/>
  <c r="AA96" i="1"/>
  <c r="AB96" i="1"/>
  <c r="W97" i="1"/>
  <c r="AE97" i="1" s="1"/>
  <c r="X97" i="1"/>
  <c r="AF97" i="1" s="1"/>
  <c r="Y97" i="1"/>
  <c r="AG97" i="1" s="1"/>
  <c r="Z97" i="1"/>
  <c r="AA97" i="1"/>
  <c r="AB97" i="1"/>
  <c r="W98" i="1"/>
  <c r="AE98" i="1" s="1"/>
  <c r="X98" i="1"/>
  <c r="AF98" i="1" s="1"/>
  <c r="Y98" i="1"/>
  <c r="AG98" i="1" s="1"/>
  <c r="Z98" i="1"/>
  <c r="AA98" i="1"/>
  <c r="AB98" i="1"/>
  <c r="W99" i="1"/>
  <c r="AE99" i="1" s="1"/>
  <c r="X99" i="1"/>
  <c r="AF99" i="1" s="1"/>
  <c r="Y99" i="1"/>
  <c r="AG99" i="1" s="1"/>
  <c r="Z99" i="1"/>
  <c r="AA99" i="1"/>
  <c r="AB99" i="1"/>
  <c r="W100" i="1"/>
  <c r="AE100" i="1" s="1"/>
  <c r="X100" i="1"/>
  <c r="AF100" i="1" s="1"/>
  <c r="Y100" i="1"/>
  <c r="AG100" i="1" s="1"/>
  <c r="Z100" i="1"/>
  <c r="AA100" i="1"/>
  <c r="AB100" i="1"/>
  <c r="W101" i="1"/>
  <c r="AE101" i="1" s="1"/>
  <c r="X101" i="1"/>
  <c r="AF101" i="1" s="1"/>
  <c r="Y101" i="1"/>
  <c r="AG101" i="1" s="1"/>
  <c r="Z101" i="1"/>
  <c r="AA101" i="1"/>
  <c r="AB101" i="1"/>
  <c r="W102" i="1"/>
  <c r="AE102" i="1" s="1"/>
  <c r="X102" i="1"/>
  <c r="AF102" i="1" s="1"/>
  <c r="Y102" i="1"/>
  <c r="AG102" i="1" s="1"/>
  <c r="Z102" i="1"/>
  <c r="AA102" i="1"/>
  <c r="AB102" i="1"/>
  <c r="W103" i="1"/>
  <c r="AE103" i="1" s="1"/>
  <c r="X103" i="1"/>
  <c r="AF103" i="1" s="1"/>
  <c r="Y103" i="1"/>
  <c r="AG103" i="1" s="1"/>
  <c r="Z103" i="1"/>
  <c r="AA103" i="1"/>
  <c r="AB103" i="1"/>
  <c r="W104" i="1"/>
  <c r="AE104" i="1" s="1"/>
  <c r="X104" i="1"/>
  <c r="AF104" i="1" s="1"/>
  <c r="Y104" i="1"/>
  <c r="AG104" i="1" s="1"/>
  <c r="Z104" i="1"/>
  <c r="AA104" i="1"/>
  <c r="AB104" i="1"/>
  <c r="W105" i="1"/>
  <c r="AE105" i="1" s="1"/>
  <c r="X105" i="1"/>
  <c r="AF105" i="1" s="1"/>
  <c r="Y105" i="1"/>
  <c r="AG105" i="1" s="1"/>
  <c r="Z105" i="1"/>
  <c r="AA105" i="1"/>
  <c r="AB105" i="1"/>
  <c r="W106" i="1"/>
  <c r="AE106" i="1" s="1"/>
  <c r="X106" i="1"/>
  <c r="AF106" i="1" s="1"/>
  <c r="Y106" i="1"/>
  <c r="AG106" i="1" s="1"/>
  <c r="Z106" i="1"/>
  <c r="AA106" i="1"/>
  <c r="AB106" i="1"/>
  <c r="W107" i="1"/>
  <c r="AE107" i="1" s="1"/>
  <c r="X107" i="1"/>
  <c r="AF107" i="1" s="1"/>
  <c r="Y107" i="1"/>
  <c r="AG107" i="1" s="1"/>
  <c r="Z107" i="1"/>
  <c r="AA107" i="1"/>
  <c r="AB107" i="1"/>
  <c r="W108" i="1"/>
  <c r="AE108" i="1" s="1"/>
  <c r="X108" i="1"/>
  <c r="AF108" i="1" s="1"/>
  <c r="Y108" i="1"/>
  <c r="AG108" i="1" s="1"/>
  <c r="Z108" i="1"/>
  <c r="AA108" i="1"/>
  <c r="AB108" i="1"/>
  <c r="W109" i="1"/>
  <c r="AE109" i="1" s="1"/>
  <c r="X109" i="1"/>
  <c r="AF109" i="1" s="1"/>
  <c r="Y109" i="1"/>
  <c r="AG109" i="1" s="1"/>
  <c r="Z109" i="1"/>
  <c r="AA109" i="1"/>
  <c r="AB109" i="1"/>
  <c r="W110" i="1"/>
  <c r="AE110" i="1" s="1"/>
  <c r="X110" i="1"/>
  <c r="AF110" i="1" s="1"/>
  <c r="Y110" i="1"/>
  <c r="AG110" i="1" s="1"/>
  <c r="Z110" i="1"/>
  <c r="AA110" i="1"/>
  <c r="AB110" i="1"/>
  <c r="W4" i="1"/>
  <c r="AE4" i="1" s="1"/>
  <c r="X4" i="1"/>
  <c r="AF4" i="1" s="1"/>
  <c r="Y4" i="1"/>
  <c r="AG4" i="1" s="1"/>
  <c r="Z4" i="1"/>
  <c r="AA4" i="1"/>
  <c r="AB4" i="1"/>
  <c r="W111" i="1"/>
  <c r="AE111" i="1" s="1"/>
  <c r="X111" i="1"/>
  <c r="AF111" i="1" s="1"/>
  <c r="Y111" i="1"/>
  <c r="AG111" i="1" s="1"/>
  <c r="Z111" i="1"/>
  <c r="AA111" i="1"/>
  <c r="AB111" i="1"/>
  <c r="W112" i="1"/>
  <c r="AE112" i="1" s="1"/>
  <c r="X112" i="1"/>
  <c r="AF112" i="1" s="1"/>
  <c r="Y112" i="1"/>
  <c r="AG112" i="1" s="1"/>
  <c r="Z112" i="1"/>
  <c r="AA112" i="1"/>
  <c r="AB112" i="1"/>
  <c r="W672" i="1"/>
  <c r="AE672" i="1" s="1"/>
  <c r="X672" i="1"/>
  <c r="AF672" i="1" s="1"/>
  <c r="Y672" i="1"/>
  <c r="AG672" i="1" s="1"/>
  <c r="Z672" i="1"/>
  <c r="AA672" i="1"/>
  <c r="AB672" i="1"/>
  <c r="W113" i="1"/>
  <c r="AE113" i="1" s="1"/>
  <c r="X113" i="1"/>
  <c r="AF113" i="1" s="1"/>
  <c r="Y113" i="1"/>
  <c r="AG113" i="1" s="1"/>
  <c r="Z113" i="1"/>
  <c r="AA113" i="1"/>
  <c r="AB113" i="1"/>
  <c r="W114" i="1"/>
  <c r="AE114" i="1" s="1"/>
  <c r="X114" i="1"/>
  <c r="AF114" i="1" s="1"/>
  <c r="Y114" i="1"/>
  <c r="AG114" i="1" s="1"/>
  <c r="Z114" i="1"/>
  <c r="AA114" i="1"/>
  <c r="AB114" i="1"/>
  <c r="W115" i="1"/>
  <c r="AE115" i="1" s="1"/>
  <c r="X115" i="1"/>
  <c r="AF115" i="1" s="1"/>
  <c r="Y115" i="1"/>
  <c r="AG115" i="1" s="1"/>
  <c r="Z115" i="1"/>
  <c r="AA115" i="1"/>
  <c r="AB115" i="1"/>
  <c r="W116" i="1"/>
  <c r="AE116" i="1" s="1"/>
  <c r="X116" i="1"/>
  <c r="AF116" i="1" s="1"/>
  <c r="Y116" i="1"/>
  <c r="AG116" i="1" s="1"/>
  <c r="Z116" i="1"/>
  <c r="AA116" i="1"/>
  <c r="AB116" i="1"/>
  <c r="W117" i="1"/>
  <c r="AE117" i="1" s="1"/>
  <c r="X117" i="1"/>
  <c r="AF117" i="1" s="1"/>
  <c r="Y117" i="1"/>
  <c r="AG117" i="1" s="1"/>
  <c r="Z117" i="1"/>
  <c r="AA117" i="1"/>
  <c r="AB117" i="1"/>
  <c r="W118" i="1"/>
  <c r="AE118" i="1" s="1"/>
  <c r="X118" i="1"/>
  <c r="AF118" i="1" s="1"/>
  <c r="Y118" i="1"/>
  <c r="AG118" i="1" s="1"/>
  <c r="Z118" i="1"/>
  <c r="AA118" i="1"/>
  <c r="AB118" i="1"/>
  <c r="W119" i="1"/>
  <c r="AE119" i="1" s="1"/>
  <c r="X119" i="1"/>
  <c r="AF119" i="1" s="1"/>
  <c r="Y119" i="1"/>
  <c r="AG119" i="1" s="1"/>
  <c r="Z119" i="1"/>
  <c r="AA119" i="1"/>
  <c r="AB119" i="1"/>
  <c r="W120" i="1"/>
  <c r="AE120" i="1" s="1"/>
  <c r="X120" i="1"/>
  <c r="AF120" i="1" s="1"/>
  <c r="Y120" i="1"/>
  <c r="AG120" i="1" s="1"/>
  <c r="Z120" i="1"/>
  <c r="AA120" i="1"/>
  <c r="AB120" i="1"/>
  <c r="W121" i="1"/>
  <c r="AE121" i="1" s="1"/>
  <c r="X121" i="1"/>
  <c r="AF121" i="1" s="1"/>
  <c r="Y121" i="1"/>
  <c r="AG121" i="1" s="1"/>
  <c r="Z121" i="1"/>
  <c r="AA121" i="1"/>
  <c r="AB121" i="1"/>
  <c r="W122" i="1"/>
  <c r="AE122" i="1" s="1"/>
  <c r="X122" i="1"/>
  <c r="AF122" i="1" s="1"/>
  <c r="Y122" i="1"/>
  <c r="AG122" i="1" s="1"/>
  <c r="Z122" i="1"/>
  <c r="AA122" i="1"/>
  <c r="AB122" i="1"/>
  <c r="W123" i="1"/>
  <c r="AE123" i="1" s="1"/>
  <c r="X123" i="1"/>
  <c r="AF123" i="1" s="1"/>
  <c r="Y123" i="1"/>
  <c r="AG123" i="1" s="1"/>
  <c r="Z123" i="1"/>
  <c r="AA123" i="1"/>
  <c r="AB123" i="1"/>
  <c r="W124" i="1"/>
  <c r="AE124" i="1" s="1"/>
  <c r="X124" i="1"/>
  <c r="AF124" i="1" s="1"/>
  <c r="Y124" i="1"/>
  <c r="AG124" i="1" s="1"/>
  <c r="Z124" i="1"/>
  <c r="AA124" i="1"/>
  <c r="AB124" i="1"/>
  <c r="W125" i="1"/>
  <c r="AE125" i="1" s="1"/>
  <c r="X125" i="1"/>
  <c r="AF125" i="1" s="1"/>
  <c r="Y125" i="1"/>
  <c r="AG125" i="1" s="1"/>
  <c r="Z125" i="1"/>
  <c r="AA125" i="1"/>
  <c r="AB125" i="1"/>
  <c r="W126" i="1"/>
  <c r="AE126" i="1" s="1"/>
  <c r="X126" i="1"/>
  <c r="AF126" i="1" s="1"/>
  <c r="Y126" i="1"/>
  <c r="AG126" i="1" s="1"/>
  <c r="Z126" i="1"/>
  <c r="AA126" i="1"/>
  <c r="AB126" i="1"/>
  <c r="W127" i="1"/>
  <c r="AE127" i="1" s="1"/>
  <c r="X127" i="1"/>
  <c r="AF127" i="1" s="1"/>
  <c r="Y127" i="1"/>
  <c r="AG127" i="1" s="1"/>
  <c r="Z127" i="1"/>
  <c r="AA127" i="1"/>
  <c r="AB127" i="1"/>
  <c r="W128" i="1"/>
  <c r="AE128" i="1" s="1"/>
  <c r="X128" i="1"/>
  <c r="AF128" i="1" s="1"/>
  <c r="Y128" i="1"/>
  <c r="AG128" i="1" s="1"/>
  <c r="Z128" i="1"/>
  <c r="AA128" i="1"/>
  <c r="AB128" i="1"/>
  <c r="W129" i="1"/>
  <c r="AE129" i="1" s="1"/>
  <c r="X129" i="1"/>
  <c r="AF129" i="1" s="1"/>
  <c r="Y129" i="1"/>
  <c r="AG129" i="1" s="1"/>
  <c r="Z129" i="1"/>
  <c r="AA129" i="1"/>
  <c r="AB129" i="1"/>
  <c r="W130" i="1"/>
  <c r="AE130" i="1" s="1"/>
  <c r="X130" i="1"/>
  <c r="AF130" i="1" s="1"/>
  <c r="Y130" i="1"/>
  <c r="AG130" i="1" s="1"/>
  <c r="Z130" i="1"/>
  <c r="AA130" i="1"/>
  <c r="AB130" i="1"/>
  <c r="W131" i="1"/>
  <c r="AE131" i="1" s="1"/>
  <c r="X131" i="1"/>
  <c r="AF131" i="1" s="1"/>
  <c r="Y131" i="1"/>
  <c r="AG131" i="1" s="1"/>
  <c r="Z131" i="1"/>
  <c r="AA131" i="1"/>
  <c r="AB131" i="1"/>
  <c r="W132" i="1"/>
  <c r="AE132" i="1" s="1"/>
  <c r="X132" i="1"/>
  <c r="AF132" i="1" s="1"/>
  <c r="Y132" i="1"/>
  <c r="AG132" i="1" s="1"/>
  <c r="Z132" i="1"/>
  <c r="AA132" i="1"/>
  <c r="AB132" i="1"/>
  <c r="W133" i="1"/>
  <c r="AE133" i="1" s="1"/>
  <c r="X133" i="1"/>
  <c r="AF133" i="1" s="1"/>
  <c r="Y133" i="1"/>
  <c r="AG133" i="1" s="1"/>
  <c r="Z133" i="1"/>
  <c r="AA133" i="1"/>
  <c r="AB133" i="1"/>
  <c r="W134" i="1"/>
  <c r="AE134" i="1" s="1"/>
  <c r="X134" i="1"/>
  <c r="AF134" i="1" s="1"/>
  <c r="Y134" i="1"/>
  <c r="AG134" i="1" s="1"/>
  <c r="Z134" i="1"/>
  <c r="AA134" i="1"/>
  <c r="AB134" i="1"/>
  <c r="W135" i="1"/>
  <c r="AE135" i="1" s="1"/>
  <c r="X135" i="1"/>
  <c r="AF135" i="1" s="1"/>
  <c r="Y135" i="1"/>
  <c r="AG135" i="1" s="1"/>
  <c r="Z135" i="1"/>
  <c r="AA135" i="1"/>
  <c r="AB135" i="1"/>
  <c r="W136" i="1"/>
  <c r="AE136" i="1" s="1"/>
  <c r="X136" i="1"/>
  <c r="AF136" i="1" s="1"/>
  <c r="Y136" i="1"/>
  <c r="AG136" i="1" s="1"/>
  <c r="Z136" i="1"/>
  <c r="AA136" i="1"/>
  <c r="AB136" i="1"/>
  <c r="W137" i="1"/>
  <c r="AE137" i="1" s="1"/>
  <c r="X137" i="1"/>
  <c r="AF137" i="1" s="1"/>
  <c r="Y137" i="1"/>
  <c r="AG137" i="1" s="1"/>
  <c r="Z137" i="1"/>
  <c r="AA137" i="1"/>
  <c r="AB137" i="1"/>
  <c r="W138" i="1"/>
  <c r="AE138" i="1" s="1"/>
  <c r="X138" i="1"/>
  <c r="AF138" i="1" s="1"/>
  <c r="Y138" i="1"/>
  <c r="AG138" i="1" s="1"/>
  <c r="Z138" i="1"/>
  <c r="AA138" i="1"/>
  <c r="AB138" i="1"/>
  <c r="W139" i="1"/>
  <c r="AE139" i="1" s="1"/>
  <c r="X139" i="1"/>
  <c r="AF139" i="1" s="1"/>
  <c r="Y139" i="1"/>
  <c r="AG139" i="1" s="1"/>
  <c r="Z139" i="1"/>
  <c r="AA139" i="1"/>
  <c r="AB139" i="1"/>
  <c r="W140" i="1"/>
  <c r="AE140" i="1" s="1"/>
  <c r="X140" i="1"/>
  <c r="AF140" i="1" s="1"/>
  <c r="Y140" i="1"/>
  <c r="AG140" i="1" s="1"/>
  <c r="Z140" i="1"/>
  <c r="AA140" i="1"/>
  <c r="AB140" i="1"/>
  <c r="W141" i="1"/>
  <c r="AE141" i="1" s="1"/>
  <c r="X141" i="1"/>
  <c r="AF141" i="1" s="1"/>
  <c r="Y141" i="1"/>
  <c r="AG141" i="1" s="1"/>
  <c r="Z141" i="1"/>
  <c r="AA141" i="1"/>
  <c r="AB141" i="1"/>
  <c r="W142" i="1"/>
  <c r="AE142" i="1" s="1"/>
  <c r="X142" i="1"/>
  <c r="AF142" i="1" s="1"/>
  <c r="Y142" i="1"/>
  <c r="AG142" i="1" s="1"/>
  <c r="Z142" i="1"/>
  <c r="AA142" i="1"/>
  <c r="AB142" i="1"/>
  <c r="W673" i="1"/>
  <c r="AE673" i="1" s="1"/>
  <c r="X673" i="1"/>
  <c r="AF673" i="1" s="1"/>
  <c r="Y673" i="1"/>
  <c r="AG673" i="1" s="1"/>
  <c r="Z673" i="1"/>
  <c r="AA673" i="1"/>
  <c r="AB673" i="1"/>
  <c r="W143" i="1"/>
  <c r="AE143" i="1" s="1"/>
  <c r="X143" i="1"/>
  <c r="AF143" i="1" s="1"/>
  <c r="Y143" i="1"/>
  <c r="AG143" i="1" s="1"/>
  <c r="Z143" i="1"/>
  <c r="AA143" i="1"/>
  <c r="AB143" i="1"/>
  <c r="W144" i="1"/>
  <c r="AE144" i="1" s="1"/>
  <c r="X144" i="1"/>
  <c r="AF144" i="1" s="1"/>
  <c r="Y144" i="1"/>
  <c r="AG144" i="1" s="1"/>
  <c r="Z144" i="1"/>
  <c r="AA144" i="1"/>
  <c r="AB144" i="1"/>
  <c r="W145" i="1"/>
  <c r="AE145" i="1" s="1"/>
  <c r="X145" i="1"/>
  <c r="AF145" i="1" s="1"/>
  <c r="Y145" i="1"/>
  <c r="AG145" i="1" s="1"/>
  <c r="Z145" i="1"/>
  <c r="AA145" i="1"/>
  <c r="AB145" i="1"/>
  <c r="W146" i="1"/>
  <c r="AE146" i="1" s="1"/>
  <c r="X146" i="1"/>
  <c r="AF146" i="1" s="1"/>
  <c r="Y146" i="1"/>
  <c r="AG146" i="1" s="1"/>
  <c r="Z146" i="1"/>
  <c r="AA146" i="1"/>
  <c r="AB146" i="1"/>
  <c r="W147" i="1"/>
  <c r="AE147" i="1" s="1"/>
  <c r="X147" i="1"/>
  <c r="AF147" i="1" s="1"/>
  <c r="Y147" i="1"/>
  <c r="AG147" i="1" s="1"/>
  <c r="Z147" i="1"/>
  <c r="AA147" i="1"/>
  <c r="AB147" i="1"/>
  <c r="W148" i="1"/>
  <c r="AE148" i="1" s="1"/>
  <c r="X148" i="1"/>
  <c r="AF148" i="1" s="1"/>
  <c r="Y148" i="1"/>
  <c r="AG148" i="1" s="1"/>
  <c r="Z148" i="1"/>
  <c r="AA148" i="1"/>
  <c r="AB148" i="1"/>
  <c r="W674" i="1"/>
  <c r="AE674" i="1" s="1"/>
  <c r="X674" i="1"/>
  <c r="AF674" i="1" s="1"/>
  <c r="Y674" i="1"/>
  <c r="AG674" i="1" s="1"/>
  <c r="Z674" i="1"/>
  <c r="AA674" i="1"/>
  <c r="AB674" i="1"/>
  <c r="W149" i="1"/>
  <c r="AE149" i="1" s="1"/>
  <c r="X149" i="1"/>
  <c r="AF149" i="1" s="1"/>
  <c r="Y149" i="1"/>
  <c r="AG149" i="1" s="1"/>
  <c r="Z149" i="1"/>
  <c r="AA149" i="1"/>
  <c r="AB149" i="1"/>
  <c r="W675" i="1"/>
  <c r="AE675" i="1" s="1"/>
  <c r="X675" i="1"/>
  <c r="AF675" i="1" s="1"/>
  <c r="Y675" i="1"/>
  <c r="AG675" i="1" s="1"/>
  <c r="Z675" i="1"/>
  <c r="AA675" i="1"/>
  <c r="AB675" i="1"/>
  <c r="W150" i="1"/>
  <c r="AE150" i="1" s="1"/>
  <c r="X150" i="1"/>
  <c r="AF150" i="1" s="1"/>
  <c r="Y150" i="1"/>
  <c r="AG150" i="1" s="1"/>
  <c r="Z150" i="1"/>
  <c r="AA150" i="1"/>
  <c r="AB150" i="1"/>
  <c r="W676" i="1"/>
  <c r="AE676" i="1" s="1"/>
  <c r="X676" i="1"/>
  <c r="AF676" i="1" s="1"/>
  <c r="Y676" i="1"/>
  <c r="AG676" i="1" s="1"/>
  <c r="Z676" i="1"/>
  <c r="AA676" i="1"/>
  <c r="AB676" i="1"/>
  <c r="W151" i="1"/>
  <c r="AE151" i="1" s="1"/>
  <c r="X151" i="1"/>
  <c r="AF151" i="1" s="1"/>
  <c r="Y151" i="1"/>
  <c r="AG151" i="1" s="1"/>
  <c r="Z151" i="1"/>
  <c r="AA151" i="1"/>
  <c r="AB151" i="1"/>
  <c r="W152" i="1"/>
  <c r="AE152" i="1" s="1"/>
  <c r="X152" i="1"/>
  <c r="AF152" i="1" s="1"/>
  <c r="Y152" i="1"/>
  <c r="AG152" i="1" s="1"/>
  <c r="Z152" i="1"/>
  <c r="AA152" i="1"/>
  <c r="AB152" i="1"/>
  <c r="W677" i="1"/>
  <c r="AE677" i="1" s="1"/>
  <c r="X677" i="1"/>
  <c r="AF677" i="1" s="1"/>
  <c r="Y677" i="1"/>
  <c r="AG677" i="1" s="1"/>
  <c r="Z677" i="1"/>
  <c r="AA677" i="1"/>
  <c r="AB677" i="1"/>
  <c r="W153" i="1"/>
  <c r="AE153" i="1" s="1"/>
  <c r="X153" i="1"/>
  <c r="AF153" i="1" s="1"/>
  <c r="Y153" i="1"/>
  <c r="AG153" i="1" s="1"/>
  <c r="Z153" i="1"/>
  <c r="AA153" i="1"/>
  <c r="AB153" i="1"/>
  <c r="W154" i="1"/>
  <c r="AE154" i="1" s="1"/>
  <c r="X154" i="1"/>
  <c r="AF154" i="1" s="1"/>
  <c r="Y154" i="1"/>
  <c r="AG154" i="1" s="1"/>
  <c r="Z154" i="1"/>
  <c r="AA154" i="1"/>
  <c r="AB154" i="1"/>
  <c r="W155" i="1"/>
  <c r="AE155" i="1" s="1"/>
  <c r="X155" i="1"/>
  <c r="AF155" i="1" s="1"/>
  <c r="Y155" i="1"/>
  <c r="AG155" i="1" s="1"/>
  <c r="Z155" i="1"/>
  <c r="AA155" i="1"/>
  <c r="AB155" i="1"/>
  <c r="W156" i="1"/>
  <c r="AE156" i="1" s="1"/>
  <c r="X156" i="1"/>
  <c r="AF156" i="1" s="1"/>
  <c r="Y156" i="1"/>
  <c r="AG156" i="1" s="1"/>
  <c r="Z156" i="1"/>
  <c r="AA156" i="1"/>
  <c r="AB156" i="1"/>
  <c r="W678" i="1"/>
  <c r="AE678" i="1" s="1"/>
  <c r="X678" i="1"/>
  <c r="AF678" i="1" s="1"/>
  <c r="Y678" i="1"/>
  <c r="AG678" i="1" s="1"/>
  <c r="Z678" i="1"/>
  <c r="AA678" i="1"/>
  <c r="AB678" i="1"/>
  <c r="W157" i="1"/>
  <c r="AE157" i="1" s="1"/>
  <c r="X157" i="1"/>
  <c r="AF157" i="1" s="1"/>
  <c r="Y157" i="1"/>
  <c r="AG157" i="1" s="1"/>
  <c r="Z157" i="1"/>
  <c r="AA157" i="1"/>
  <c r="AB157" i="1"/>
  <c r="W158" i="1"/>
  <c r="AE158" i="1" s="1"/>
  <c r="X158" i="1"/>
  <c r="AF158" i="1" s="1"/>
  <c r="Y158" i="1"/>
  <c r="AG158" i="1" s="1"/>
  <c r="Z158" i="1"/>
  <c r="AA158" i="1"/>
  <c r="AB158" i="1"/>
  <c r="W159" i="1"/>
  <c r="AE159" i="1" s="1"/>
  <c r="X159" i="1"/>
  <c r="AF159" i="1" s="1"/>
  <c r="Y159" i="1"/>
  <c r="AG159" i="1" s="1"/>
  <c r="Z159" i="1"/>
  <c r="AA159" i="1"/>
  <c r="AB159" i="1"/>
  <c r="W160" i="1"/>
  <c r="AE160" i="1" s="1"/>
  <c r="X160" i="1"/>
  <c r="AF160" i="1" s="1"/>
  <c r="Y160" i="1"/>
  <c r="AG160" i="1" s="1"/>
  <c r="Z160" i="1"/>
  <c r="AA160" i="1"/>
  <c r="AB160" i="1"/>
  <c r="W161" i="1"/>
  <c r="AE161" i="1" s="1"/>
  <c r="X161" i="1"/>
  <c r="AF161" i="1" s="1"/>
  <c r="Y161" i="1"/>
  <c r="AG161" i="1" s="1"/>
  <c r="Z161" i="1"/>
  <c r="AA161" i="1"/>
  <c r="AB161" i="1"/>
  <c r="W679" i="1"/>
  <c r="AE679" i="1" s="1"/>
  <c r="X679" i="1"/>
  <c r="AF679" i="1" s="1"/>
  <c r="Y679" i="1"/>
  <c r="AG679" i="1" s="1"/>
  <c r="Z679" i="1"/>
  <c r="AA679" i="1"/>
  <c r="AB679" i="1"/>
  <c r="W162" i="1"/>
  <c r="AE162" i="1" s="1"/>
  <c r="X162" i="1"/>
  <c r="AF162" i="1" s="1"/>
  <c r="Y162" i="1"/>
  <c r="AG162" i="1" s="1"/>
  <c r="Z162" i="1"/>
  <c r="AA162" i="1"/>
  <c r="AB162" i="1"/>
  <c r="W163" i="1"/>
  <c r="AE163" i="1" s="1"/>
  <c r="X163" i="1"/>
  <c r="AF163" i="1" s="1"/>
  <c r="Y163" i="1"/>
  <c r="AG163" i="1" s="1"/>
  <c r="Z163" i="1"/>
  <c r="AA163" i="1"/>
  <c r="AB163" i="1"/>
  <c r="W164" i="1"/>
  <c r="AE164" i="1" s="1"/>
  <c r="X164" i="1"/>
  <c r="AF164" i="1" s="1"/>
  <c r="Y164" i="1"/>
  <c r="AG164" i="1" s="1"/>
  <c r="Z164" i="1"/>
  <c r="AA164" i="1"/>
  <c r="AB164" i="1"/>
  <c r="W680" i="1"/>
  <c r="AE680" i="1" s="1"/>
  <c r="X680" i="1"/>
  <c r="AF680" i="1" s="1"/>
  <c r="Y680" i="1"/>
  <c r="AG680" i="1" s="1"/>
  <c r="Z680" i="1"/>
  <c r="AA680" i="1"/>
  <c r="AB680" i="1"/>
  <c r="W681" i="1"/>
  <c r="AE681" i="1" s="1"/>
  <c r="X681" i="1"/>
  <c r="AF681" i="1" s="1"/>
  <c r="Y681" i="1"/>
  <c r="AG681" i="1" s="1"/>
  <c r="Z681" i="1"/>
  <c r="AA681" i="1"/>
  <c r="AB681" i="1"/>
  <c r="W165" i="1"/>
  <c r="AE165" i="1" s="1"/>
  <c r="X165" i="1"/>
  <c r="AF165" i="1" s="1"/>
  <c r="Y165" i="1"/>
  <c r="AG165" i="1" s="1"/>
  <c r="Z165" i="1"/>
  <c r="AA165" i="1"/>
  <c r="AB165" i="1"/>
  <c r="W166" i="1"/>
  <c r="AE166" i="1" s="1"/>
  <c r="X166" i="1"/>
  <c r="AF166" i="1" s="1"/>
  <c r="Y166" i="1"/>
  <c r="AG166" i="1" s="1"/>
  <c r="Z166" i="1"/>
  <c r="AA166" i="1"/>
  <c r="AB166" i="1"/>
  <c r="W167" i="1"/>
  <c r="AE167" i="1" s="1"/>
  <c r="X167" i="1"/>
  <c r="AF167" i="1" s="1"/>
  <c r="Y167" i="1"/>
  <c r="AG167" i="1" s="1"/>
  <c r="Z167" i="1"/>
  <c r="AA167" i="1"/>
  <c r="AB167" i="1"/>
  <c r="W168" i="1"/>
  <c r="AE168" i="1" s="1"/>
  <c r="X168" i="1"/>
  <c r="AF168" i="1" s="1"/>
  <c r="Y168" i="1"/>
  <c r="AG168" i="1" s="1"/>
  <c r="Z168" i="1"/>
  <c r="AA168" i="1"/>
  <c r="AB168" i="1"/>
  <c r="W169" i="1"/>
  <c r="AE169" i="1" s="1"/>
  <c r="X169" i="1"/>
  <c r="AF169" i="1" s="1"/>
  <c r="Y169" i="1"/>
  <c r="AG169" i="1" s="1"/>
  <c r="Z169" i="1"/>
  <c r="AA169" i="1"/>
  <c r="AB169" i="1"/>
  <c r="W170" i="1"/>
  <c r="AE170" i="1" s="1"/>
  <c r="X170" i="1"/>
  <c r="AF170" i="1" s="1"/>
  <c r="Y170" i="1"/>
  <c r="AG170" i="1" s="1"/>
  <c r="Z170" i="1"/>
  <c r="AA170" i="1"/>
  <c r="AB170" i="1"/>
  <c r="W682" i="1"/>
  <c r="AE682" i="1" s="1"/>
  <c r="X682" i="1"/>
  <c r="AF682" i="1" s="1"/>
  <c r="Y682" i="1"/>
  <c r="AG682" i="1" s="1"/>
  <c r="Z682" i="1"/>
  <c r="AA682" i="1"/>
  <c r="AB682" i="1"/>
  <c r="W171" i="1"/>
  <c r="AE171" i="1" s="1"/>
  <c r="X171" i="1"/>
  <c r="AF171" i="1" s="1"/>
  <c r="Y171" i="1"/>
  <c r="AG171" i="1" s="1"/>
  <c r="Z171" i="1"/>
  <c r="AA171" i="1"/>
  <c r="AB171" i="1"/>
  <c r="W683" i="1"/>
  <c r="AE683" i="1" s="1"/>
  <c r="X683" i="1"/>
  <c r="AF683" i="1" s="1"/>
  <c r="Y683" i="1"/>
  <c r="AG683" i="1" s="1"/>
  <c r="Z683" i="1"/>
  <c r="AA683" i="1"/>
  <c r="AB683" i="1"/>
  <c r="W172" i="1"/>
  <c r="AE172" i="1" s="1"/>
  <c r="X172" i="1"/>
  <c r="AF172" i="1" s="1"/>
  <c r="Y172" i="1"/>
  <c r="AG172" i="1" s="1"/>
  <c r="Z172" i="1"/>
  <c r="AA172" i="1"/>
  <c r="AB172" i="1"/>
  <c r="W173" i="1"/>
  <c r="AE173" i="1" s="1"/>
  <c r="X173" i="1"/>
  <c r="AF173" i="1" s="1"/>
  <c r="Y173" i="1"/>
  <c r="AG173" i="1" s="1"/>
  <c r="Z173" i="1"/>
  <c r="AA173" i="1"/>
  <c r="AB173" i="1"/>
  <c r="W174" i="1"/>
  <c r="AE174" i="1" s="1"/>
  <c r="X174" i="1"/>
  <c r="AF174" i="1" s="1"/>
  <c r="Y174" i="1"/>
  <c r="AG174" i="1" s="1"/>
  <c r="Z174" i="1"/>
  <c r="AA174" i="1"/>
  <c r="AB174" i="1"/>
  <c r="W175" i="1"/>
  <c r="AE175" i="1" s="1"/>
  <c r="X175" i="1"/>
  <c r="AF175" i="1" s="1"/>
  <c r="Y175" i="1"/>
  <c r="AG175" i="1" s="1"/>
  <c r="Z175" i="1"/>
  <c r="AA175" i="1"/>
  <c r="AB175" i="1"/>
  <c r="W176" i="1"/>
  <c r="AE176" i="1" s="1"/>
  <c r="X176" i="1"/>
  <c r="AF176" i="1" s="1"/>
  <c r="Y176" i="1"/>
  <c r="AG176" i="1" s="1"/>
  <c r="Z176" i="1"/>
  <c r="AA176" i="1"/>
  <c r="AB176" i="1"/>
  <c r="W177" i="1"/>
  <c r="AE177" i="1" s="1"/>
  <c r="X177" i="1"/>
  <c r="AF177" i="1" s="1"/>
  <c r="Y177" i="1"/>
  <c r="AG177" i="1" s="1"/>
  <c r="Z177" i="1"/>
  <c r="AA177" i="1"/>
  <c r="AB177" i="1"/>
  <c r="W178" i="1"/>
  <c r="AE178" i="1" s="1"/>
  <c r="X178" i="1"/>
  <c r="AF178" i="1" s="1"/>
  <c r="Y178" i="1"/>
  <c r="AG178" i="1" s="1"/>
  <c r="Z178" i="1"/>
  <c r="AA178" i="1"/>
  <c r="AB178" i="1"/>
  <c r="W179" i="1"/>
  <c r="AE179" i="1" s="1"/>
  <c r="X179" i="1"/>
  <c r="AF179" i="1" s="1"/>
  <c r="Y179" i="1"/>
  <c r="AG179" i="1" s="1"/>
  <c r="Z179" i="1"/>
  <c r="AA179" i="1"/>
  <c r="AB179" i="1"/>
  <c r="W180" i="1"/>
  <c r="AE180" i="1" s="1"/>
  <c r="X180" i="1"/>
  <c r="AF180" i="1" s="1"/>
  <c r="Y180" i="1"/>
  <c r="AG180" i="1" s="1"/>
  <c r="Z180" i="1"/>
  <c r="AA180" i="1"/>
  <c r="AB180" i="1"/>
  <c r="W181" i="1"/>
  <c r="AE181" i="1" s="1"/>
  <c r="X181" i="1"/>
  <c r="AF181" i="1" s="1"/>
  <c r="Y181" i="1"/>
  <c r="AG181" i="1" s="1"/>
  <c r="Z181" i="1"/>
  <c r="AA181" i="1"/>
  <c r="AB181" i="1"/>
  <c r="W182" i="1"/>
  <c r="AE182" i="1" s="1"/>
  <c r="X182" i="1"/>
  <c r="AF182" i="1" s="1"/>
  <c r="Y182" i="1"/>
  <c r="AG182" i="1" s="1"/>
  <c r="Z182" i="1"/>
  <c r="AA182" i="1"/>
  <c r="AB182" i="1"/>
  <c r="W183" i="1"/>
  <c r="AE183" i="1" s="1"/>
  <c r="X183" i="1"/>
  <c r="AF183" i="1" s="1"/>
  <c r="Y183" i="1"/>
  <c r="AG183" i="1" s="1"/>
  <c r="Z183" i="1"/>
  <c r="AA183" i="1"/>
  <c r="AB183" i="1"/>
  <c r="W184" i="1"/>
  <c r="AE184" i="1" s="1"/>
  <c r="X184" i="1"/>
  <c r="AF184" i="1" s="1"/>
  <c r="Y184" i="1"/>
  <c r="AG184" i="1" s="1"/>
  <c r="Z184" i="1"/>
  <c r="AA184" i="1"/>
  <c r="AB184" i="1"/>
  <c r="W185" i="1"/>
  <c r="AE185" i="1" s="1"/>
  <c r="X185" i="1"/>
  <c r="AF185" i="1" s="1"/>
  <c r="Y185" i="1"/>
  <c r="AG185" i="1" s="1"/>
  <c r="Z185" i="1"/>
  <c r="AA185" i="1"/>
  <c r="AB185" i="1"/>
  <c r="W186" i="1"/>
  <c r="AE186" i="1" s="1"/>
  <c r="X186" i="1"/>
  <c r="AF186" i="1" s="1"/>
  <c r="Y186" i="1"/>
  <c r="AG186" i="1" s="1"/>
  <c r="Z186" i="1"/>
  <c r="AA186" i="1"/>
  <c r="AB186" i="1"/>
  <c r="W187" i="1"/>
  <c r="AE187" i="1" s="1"/>
  <c r="X187" i="1"/>
  <c r="AF187" i="1" s="1"/>
  <c r="Y187" i="1"/>
  <c r="AG187" i="1" s="1"/>
  <c r="Z187" i="1"/>
  <c r="AA187" i="1"/>
  <c r="AB187" i="1"/>
  <c r="W188" i="1"/>
  <c r="AE188" i="1" s="1"/>
  <c r="X188" i="1"/>
  <c r="AF188" i="1" s="1"/>
  <c r="Y188" i="1"/>
  <c r="AG188" i="1" s="1"/>
  <c r="Z188" i="1"/>
  <c r="AA188" i="1"/>
  <c r="AB188" i="1"/>
  <c r="W189" i="1"/>
  <c r="AE189" i="1" s="1"/>
  <c r="X189" i="1"/>
  <c r="AF189" i="1" s="1"/>
  <c r="Y189" i="1"/>
  <c r="AG189" i="1" s="1"/>
  <c r="Z189" i="1"/>
  <c r="AA189" i="1"/>
  <c r="AB189" i="1"/>
  <c r="W190" i="1"/>
  <c r="AE190" i="1" s="1"/>
  <c r="X190" i="1"/>
  <c r="AF190" i="1" s="1"/>
  <c r="Y190" i="1"/>
  <c r="AG190" i="1" s="1"/>
  <c r="Z190" i="1"/>
  <c r="AA190" i="1"/>
  <c r="AB190" i="1"/>
  <c r="W191" i="1"/>
  <c r="AE191" i="1" s="1"/>
  <c r="X191" i="1"/>
  <c r="AF191" i="1" s="1"/>
  <c r="Y191" i="1"/>
  <c r="AG191" i="1" s="1"/>
  <c r="Z191" i="1"/>
  <c r="AA191" i="1"/>
  <c r="AB191" i="1"/>
  <c r="W192" i="1"/>
  <c r="AE192" i="1" s="1"/>
  <c r="X192" i="1"/>
  <c r="AF192" i="1" s="1"/>
  <c r="Y192" i="1"/>
  <c r="AG192" i="1" s="1"/>
  <c r="Z192" i="1"/>
  <c r="AA192" i="1"/>
  <c r="AB192" i="1"/>
  <c r="W193" i="1"/>
  <c r="AE193" i="1" s="1"/>
  <c r="X193" i="1"/>
  <c r="AF193" i="1" s="1"/>
  <c r="Y193" i="1"/>
  <c r="AG193" i="1" s="1"/>
  <c r="Z193" i="1"/>
  <c r="AA193" i="1"/>
  <c r="AB193" i="1"/>
  <c r="W194" i="1"/>
  <c r="AE194" i="1" s="1"/>
  <c r="X194" i="1"/>
  <c r="AF194" i="1" s="1"/>
  <c r="Y194" i="1"/>
  <c r="AG194" i="1" s="1"/>
  <c r="Z194" i="1"/>
  <c r="AA194" i="1"/>
  <c r="AB194" i="1"/>
  <c r="W195" i="1"/>
  <c r="AE195" i="1" s="1"/>
  <c r="X195" i="1"/>
  <c r="AF195" i="1" s="1"/>
  <c r="Y195" i="1"/>
  <c r="AG195" i="1" s="1"/>
  <c r="Z195" i="1"/>
  <c r="AA195" i="1"/>
  <c r="AB195" i="1"/>
  <c r="W196" i="1"/>
  <c r="AE196" i="1" s="1"/>
  <c r="X196" i="1"/>
  <c r="AF196" i="1" s="1"/>
  <c r="Y196" i="1"/>
  <c r="AG196" i="1" s="1"/>
  <c r="Z196" i="1"/>
  <c r="AA196" i="1"/>
  <c r="AB196" i="1"/>
  <c r="W197" i="1"/>
  <c r="AE197" i="1" s="1"/>
  <c r="X197" i="1"/>
  <c r="AF197" i="1" s="1"/>
  <c r="Y197" i="1"/>
  <c r="AG197" i="1" s="1"/>
  <c r="Z197" i="1"/>
  <c r="AA197" i="1"/>
  <c r="AB197" i="1"/>
  <c r="W198" i="1"/>
  <c r="AE198" i="1" s="1"/>
  <c r="X198" i="1"/>
  <c r="AF198" i="1" s="1"/>
  <c r="Y198" i="1"/>
  <c r="AG198" i="1" s="1"/>
  <c r="Z198" i="1"/>
  <c r="AA198" i="1"/>
  <c r="AB198" i="1"/>
  <c r="W199" i="1"/>
  <c r="AE199" i="1" s="1"/>
  <c r="X199" i="1"/>
  <c r="AF199" i="1" s="1"/>
  <c r="Y199" i="1"/>
  <c r="AG199" i="1" s="1"/>
  <c r="Z199" i="1"/>
  <c r="AA199" i="1"/>
  <c r="AB199" i="1"/>
  <c r="W200" i="1"/>
  <c r="AE200" i="1" s="1"/>
  <c r="X200" i="1"/>
  <c r="AF200" i="1" s="1"/>
  <c r="Y200" i="1"/>
  <c r="AG200" i="1" s="1"/>
  <c r="Z200" i="1"/>
  <c r="AA200" i="1"/>
  <c r="AB200" i="1"/>
  <c r="W201" i="1"/>
  <c r="AE201" i="1" s="1"/>
  <c r="X201" i="1"/>
  <c r="AF201" i="1" s="1"/>
  <c r="Y201" i="1"/>
  <c r="AG201" i="1" s="1"/>
  <c r="Z201" i="1"/>
  <c r="AA201" i="1"/>
  <c r="AB201" i="1"/>
  <c r="W202" i="1"/>
  <c r="AE202" i="1" s="1"/>
  <c r="X202" i="1"/>
  <c r="AF202" i="1" s="1"/>
  <c r="Y202" i="1"/>
  <c r="AG202" i="1" s="1"/>
  <c r="Z202" i="1"/>
  <c r="AA202" i="1"/>
  <c r="AB202" i="1"/>
  <c r="W203" i="1"/>
  <c r="AE203" i="1" s="1"/>
  <c r="X203" i="1"/>
  <c r="AF203" i="1" s="1"/>
  <c r="Y203" i="1"/>
  <c r="AG203" i="1" s="1"/>
  <c r="Z203" i="1"/>
  <c r="AA203" i="1"/>
  <c r="AB203" i="1"/>
  <c r="W204" i="1"/>
  <c r="AE204" i="1" s="1"/>
  <c r="X204" i="1"/>
  <c r="AF204" i="1" s="1"/>
  <c r="Y204" i="1"/>
  <c r="AG204" i="1" s="1"/>
  <c r="Z204" i="1"/>
  <c r="AA204" i="1"/>
  <c r="AB204" i="1"/>
  <c r="W205" i="1"/>
  <c r="AE205" i="1" s="1"/>
  <c r="X205" i="1"/>
  <c r="AF205" i="1" s="1"/>
  <c r="Y205" i="1"/>
  <c r="AG205" i="1" s="1"/>
  <c r="Z205" i="1"/>
  <c r="AA205" i="1"/>
  <c r="AB205" i="1"/>
  <c r="W206" i="1"/>
  <c r="AE206" i="1" s="1"/>
  <c r="X206" i="1"/>
  <c r="AF206" i="1" s="1"/>
  <c r="Y206" i="1"/>
  <c r="AG206" i="1" s="1"/>
  <c r="Z206" i="1"/>
  <c r="AA206" i="1"/>
  <c r="AB206" i="1"/>
  <c r="W207" i="1"/>
  <c r="AE207" i="1" s="1"/>
  <c r="X207" i="1"/>
  <c r="AF207" i="1" s="1"/>
  <c r="Y207" i="1"/>
  <c r="AG207" i="1" s="1"/>
  <c r="Z207" i="1"/>
  <c r="AA207" i="1"/>
  <c r="AB207" i="1"/>
  <c r="W208" i="1"/>
  <c r="AE208" i="1" s="1"/>
  <c r="X208" i="1"/>
  <c r="AF208" i="1" s="1"/>
  <c r="Y208" i="1"/>
  <c r="AG208" i="1" s="1"/>
  <c r="Z208" i="1"/>
  <c r="AA208" i="1"/>
  <c r="AB208" i="1"/>
  <c r="W209" i="1"/>
  <c r="AE209" i="1" s="1"/>
  <c r="X209" i="1"/>
  <c r="AF209" i="1" s="1"/>
  <c r="Y209" i="1"/>
  <c r="AG209" i="1" s="1"/>
  <c r="Z209" i="1"/>
  <c r="AA209" i="1"/>
  <c r="AB209" i="1"/>
  <c r="W210" i="1"/>
  <c r="AE210" i="1" s="1"/>
  <c r="X210" i="1"/>
  <c r="AF210" i="1" s="1"/>
  <c r="Y210" i="1"/>
  <c r="AG210" i="1" s="1"/>
  <c r="Z210" i="1"/>
  <c r="AA210" i="1"/>
  <c r="AB210" i="1"/>
  <c r="W211" i="1"/>
  <c r="AE211" i="1" s="1"/>
  <c r="X211" i="1"/>
  <c r="AF211" i="1" s="1"/>
  <c r="Y211" i="1"/>
  <c r="AG211" i="1" s="1"/>
  <c r="Z211" i="1"/>
  <c r="AA211" i="1"/>
  <c r="AB211" i="1"/>
  <c r="W212" i="1"/>
  <c r="AE212" i="1" s="1"/>
  <c r="X212" i="1"/>
  <c r="AF212" i="1" s="1"/>
  <c r="Y212" i="1"/>
  <c r="AG212" i="1" s="1"/>
  <c r="Z212" i="1"/>
  <c r="AA212" i="1"/>
  <c r="AB212" i="1"/>
  <c r="W213" i="1"/>
  <c r="AE213" i="1" s="1"/>
  <c r="X213" i="1"/>
  <c r="AF213" i="1" s="1"/>
  <c r="Y213" i="1"/>
  <c r="AG213" i="1" s="1"/>
  <c r="Z213" i="1"/>
  <c r="AA213" i="1"/>
  <c r="AB213" i="1"/>
  <c r="W214" i="1"/>
  <c r="AE214" i="1" s="1"/>
  <c r="X214" i="1"/>
  <c r="AF214" i="1" s="1"/>
  <c r="Y214" i="1"/>
  <c r="AG214" i="1" s="1"/>
  <c r="Z214" i="1"/>
  <c r="AA214" i="1"/>
  <c r="AB214" i="1"/>
  <c r="W215" i="1"/>
  <c r="AE215" i="1" s="1"/>
  <c r="X215" i="1"/>
  <c r="AF215" i="1" s="1"/>
  <c r="Y215" i="1"/>
  <c r="AG215" i="1" s="1"/>
  <c r="Z215" i="1"/>
  <c r="AA215" i="1"/>
  <c r="AB215" i="1"/>
  <c r="W216" i="1"/>
  <c r="AE216" i="1" s="1"/>
  <c r="X216" i="1"/>
  <c r="AF216" i="1" s="1"/>
  <c r="Y216" i="1"/>
  <c r="AG216" i="1" s="1"/>
  <c r="Z216" i="1"/>
  <c r="AA216" i="1"/>
  <c r="AB216" i="1"/>
  <c r="W217" i="1"/>
  <c r="AE217" i="1" s="1"/>
  <c r="X217" i="1"/>
  <c r="AF217" i="1" s="1"/>
  <c r="Y217" i="1"/>
  <c r="AG217" i="1" s="1"/>
  <c r="Z217" i="1"/>
  <c r="AA217" i="1"/>
  <c r="AB217" i="1"/>
  <c r="W218" i="1"/>
  <c r="AE218" i="1" s="1"/>
  <c r="X218" i="1"/>
  <c r="AF218" i="1" s="1"/>
  <c r="Y218" i="1"/>
  <c r="AG218" i="1" s="1"/>
  <c r="Z218" i="1"/>
  <c r="AA218" i="1"/>
  <c r="AB218" i="1"/>
  <c r="W219" i="1"/>
  <c r="AE219" i="1" s="1"/>
  <c r="X219" i="1"/>
  <c r="AF219" i="1" s="1"/>
  <c r="Y219" i="1"/>
  <c r="AG219" i="1" s="1"/>
  <c r="Z219" i="1"/>
  <c r="AA219" i="1"/>
  <c r="AB219" i="1"/>
  <c r="W220" i="1"/>
  <c r="AE220" i="1" s="1"/>
  <c r="X220" i="1"/>
  <c r="AF220" i="1" s="1"/>
  <c r="Y220" i="1"/>
  <c r="AG220" i="1" s="1"/>
  <c r="Z220" i="1"/>
  <c r="AA220" i="1"/>
  <c r="AB220" i="1"/>
  <c r="W221" i="1"/>
  <c r="AE221" i="1" s="1"/>
  <c r="X221" i="1"/>
  <c r="AF221" i="1" s="1"/>
  <c r="Y221" i="1"/>
  <c r="AG221" i="1" s="1"/>
  <c r="Z221" i="1"/>
  <c r="AA221" i="1"/>
  <c r="AB221" i="1"/>
  <c r="W684" i="1"/>
  <c r="AE684" i="1" s="1"/>
  <c r="X684" i="1"/>
  <c r="AF684" i="1" s="1"/>
  <c r="Y684" i="1"/>
  <c r="AG684" i="1" s="1"/>
  <c r="Z684" i="1"/>
  <c r="AA684" i="1"/>
  <c r="AB684" i="1"/>
  <c r="W222" i="1"/>
  <c r="AE222" i="1" s="1"/>
  <c r="X222" i="1"/>
  <c r="AF222" i="1" s="1"/>
  <c r="Y222" i="1"/>
  <c r="AG222" i="1" s="1"/>
  <c r="Z222" i="1"/>
  <c r="AA222" i="1"/>
  <c r="AB222" i="1"/>
  <c r="W223" i="1"/>
  <c r="AE223" i="1" s="1"/>
  <c r="X223" i="1"/>
  <c r="AF223" i="1" s="1"/>
  <c r="Y223" i="1"/>
  <c r="AG223" i="1" s="1"/>
  <c r="Z223" i="1"/>
  <c r="AA223" i="1"/>
  <c r="AB223" i="1"/>
  <c r="W224" i="1"/>
  <c r="AE224" i="1" s="1"/>
  <c r="X224" i="1"/>
  <c r="AF224" i="1" s="1"/>
  <c r="Y224" i="1"/>
  <c r="AG224" i="1" s="1"/>
  <c r="Z224" i="1"/>
  <c r="AA224" i="1"/>
  <c r="AB224" i="1"/>
  <c r="W225" i="1"/>
  <c r="AE225" i="1" s="1"/>
  <c r="X225" i="1"/>
  <c r="AF225" i="1" s="1"/>
  <c r="Y225" i="1"/>
  <c r="AG225" i="1" s="1"/>
  <c r="Z225" i="1"/>
  <c r="AA225" i="1"/>
  <c r="AB225" i="1"/>
  <c r="W226" i="1"/>
  <c r="AE226" i="1" s="1"/>
  <c r="X226" i="1"/>
  <c r="AF226" i="1" s="1"/>
  <c r="Y226" i="1"/>
  <c r="AG226" i="1" s="1"/>
  <c r="Z226" i="1"/>
  <c r="AA226" i="1"/>
  <c r="AB226" i="1"/>
  <c r="W227" i="1"/>
  <c r="AE227" i="1" s="1"/>
  <c r="X227" i="1"/>
  <c r="AF227" i="1" s="1"/>
  <c r="Y227" i="1"/>
  <c r="AG227" i="1" s="1"/>
  <c r="Z227" i="1"/>
  <c r="AA227" i="1"/>
  <c r="AB227" i="1"/>
  <c r="W228" i="1"/>
  <c r="AE228" i="1" s="1"/>
  <c r="X228" i="1"/>
  <c r="AF228" i="1" s="1"/>
  <c r="Y228" i="1"/>
  <c r="AG228" i="1" s="1"/>
  <c r="Z228" i="1"/>
  <c r="AA228" i="1"/>
  <c r="AB228" i="1"/>
  <c r="W229" i="1"/>
  <c r="AE229" i="1" s="1"/>
  <c r="X229" i="1"/>
  <c r="AF229" i="1" s="1"/>
  <c r="Y229" i="1"/>
  <c r="AG229" i="1" s="1"/>
  <c r="Z229" i="1"/>
  <c r="AA229" i="1"/>
  <c r="AB229" i="1"/>
  <c r="W230" i="1"/>
  <c r="AE230" i="1" s="1"/>
  <c r="X230" i="1"/>
  <c r="AF230" i="1" s="1"/>
  <c r="Y230" i="1"/>
  <c r="AG230" i="1" s="1"/>
  <c r="Z230" i="1"/>
  <c r="AA230" i="1"/>
  <c r="AB230" i="1"/>
  <c r="W231" i="1"/>
  <c r="AE231" i="1" s="1"/>
  <c r="X231" i="1"/>
  <c r="AF231" i="1" s="1"/>
  <c r="Y231" i="1"/>
  <c r="AG231" i="1" s="1"/>
  <c r="Z231" i="1"/>
  <c r="AA231" i="1"/>
  <c r="AB231" i="1"/>
  <c r="W232" i="1"/>
  <c r="AE232" i="1" s="1"/>
  <c r="X232" i="1"/>
  <c r="AF232" i="1" s="1"/>
  <c r="Y232" i="1"/>
  <c r="AG232" i="1" s="1"/>
  <c r="Z232" i="1"/>
  <c r="AA232" i="1"/>
  <c r="AB232" i="1"/>
  <c r="W685" i="1"/>
  <c r="AE685" i="1" s="1"/>
  <c r="X685" i="1"/>
  <c r="AF685" i="1" s="1"/>
  <c r="Y685" i="1"/>
  <c r="AG685" i="1" s="1"/>
  <c r="Z685" i="1"/>
  <c r="AA685" i="1"/>
  <c r="AB685" i="1"/>
  <c r="W686" i="1"/>
  <c r="AE686" i="1" s="1"/>
  <c r="X686" i="1"/>
  <c r="AF686" i="1" s="1"/>
  <c r="Y686" i="1"/>
  <c r="AG686" i="1" s="1"/>
  <c r="Z686" i="1"/>
  <c r="AA686" i="1"/>
  <c r="AB686" i="1"/>
  <c r="W687" i="1"/>
  <c r="AE687" i="1" s="1"/>
  <c r="X687" i="1"/>
  <c r="AF687" i="1" s="1"/>
  <c r="Y687" i="1"/>
  <c r="AG687" i="1" s="1"/>
  <c r="Z687" i="1"/>
  <c r="AA687" i="1"/>
  <c r="AB687" i="1"/>
  <c r="W233" i="1"/>
  <c r="AE233" i="1" s="1"/>
  <c r="X233" i="1"/>
  <c r="AF233" i="1" s="1"/>
  <c r="Y233" i="1"/>
  <c r="AG233" i="1" s="1"/>
  <c r="Z233" i="1"/>
  <c r="AA233" i="1"/>
  <c r="AB233" i="1"/>
  <c r="W688" i="1"/>
  <c r="AE688" i="1" s="1"/>
  <c r="X688" i="1"/>
  <c r="AF688" i="1" s="1"/>
  <c r="Y688" i="1"/>
  <c r="AG688" i="1" s="1"/>
  <c r="Z688" i="1"/>
  <c r="AA688" i="1"/>
  <c r="AB688" i="1"/>
  <c r="W234" i="1"/>
  <c r="AE234" i="1" s="1"/>
  <c r="X234" i="1"/>
  <c r="AF234" i="1" s="1"/>
  <c r="Y234" i="1"/>
  <c r="AG234" i="1" s="1"/>
  <c r="Z234" i="1"/>
  <c r="AA234" i="1"/>
  <c r="AB234" i="1"/>
  <c r="W235" i="1"/>
  <c r="AE235" i="1" s="1"/>
  <c r="X235" i="1"/>
  <c r="AF235" i="1" s="1"/>
  <c r="Y235" i="1"/>
  <c r="AG235" i="1" s="1"/>
  <c r="Z235" i="1"/>
  <c r="AA235" i="1"/>
  <c r="AB235" i="1"/>
  <c r="W236" i="1"/>
  <c r="AE236" i="1" s="1"/>
  <c r="X236" i="1"/>
  <c r="AF236" i="1" s="1"/>
  <c r="Y236" i="1"/>
  <c r="AG236" i="1" s="1"/>
  <c r="Z236" i="1"/>
  <c r="AA236" i="1"/>
  <c r="AB236" i="1"/>
  <c r="W237" i="1"/>
  <c r="AE237" i="1" s="1"/>
  <c r="X237" i="1"/>
  <c r="AF237" i="1" s="1"/>
  <c r="Y237" i="1"/>
  <c r="AG237" i="1" s="1"/>
  <c r="Z237" i="1"/>
  <c r="AA237" i="1"/>
  <c r="AB237" i="1"/>
  <c r="W238" i="1"/>
  <c r="AE238" i="1" s="1"/>
  <c r="X238" i="1"/>
  <c r="AF238" i="1" s="1"/>
  <c r="Y238" i="1"/>
  <c r="AG238" i="1" s="1"/>
  <c r="Z238" i="1"/>
  <c r="AA238" i="1"/>
  <c r="AB238" i="1"/>
  <c r="W689" i="1"/>
  <c r="AE689" i="1" s="1"/>
  <c r="X689" i="1"/>
  <c r="AF689" i="1" s="1"/>
  <c r="Y689" i="1"/>
  <c r="AG689" i="1" s="1"/>
  <c r="Z689" i="1"/>
  <c r="AA689" i="1"/>
  <c r="AB689" i="1"/>
  <c r="W690" i="1"/>
  <c r="AE690" i="1" s="1"/>
  <c r="X690" i="1"/>
  <c r="AF690" i="1" s="1"/>
  <c r="Y690" i="1"/>
  <c r="AG690" i="1" s="1"/>
  <c r="Z690" i="1"/>
  <c r="AA690" i="1"/>
  <c r="AB690" i="1"/>
  <c r="W691" i="1"/>
  <c r="AE691" i="1" s="1"/>
  <c r="X691" i="1"/>
  <c r="AF691" i="1" s="1"/>
  <c r="Y691" i="1"/>
  <c r="AG691" i="1" s="1"/>
  <c r="Z691" i="1"/>
  <c r="AA691" i="1"/>
  <c r="AB691" i="1"/>
  <c r="W239" i="1"/>
  <c r="AE239" i="1" s="1"/>
  <c r="X239" i="1"/>
  <c r="AF239" i="1" s="1"/>
  <c r="Y239" i="1"/>
  <c r="AG239" i="1" s="1"/>
  <c r="Z239" i="1"/>
  <c r="AA239" i="1"/>
  <c r="AB239" i="1"/>
  <c r="W240" i="1"/>
  <c r="AE240" i="1" s="1"/>
  <c r="X240" i="1"/>
  <c r="AF240" i="1" s="1"/>
  <c r="Y240" i="1"/>
  <c r="AG240" i="1" s="1"/>
  <c r="Z240" i="1"/>
  <c r="AA240" i="1"/>
  <c r="AB240" i="1"/>
  <c r="W241" i="1"/>
  <c r="AE241" i="1" s="1"/>
  <c r="X241" i="1"/>
  <c r="AF241" i="1" s="1"/>
  <c r="Y241" i="1"/>
  <c r="AG241" i="1" s="1"/>
  <c r="Z241" i="1"/>
  <c r="AA241" i="1"/>
  <c r="AB241" i="1"/>
  <c r="W242" i="1"/>
  <c r="AE242" i="1" s="1"/>
  <c r="X242" i="1"/>
  <c r="AF242" i="1" s="1"/>
  <c r="Y242" i="1"/>
  <c r="AG242" i="1" s="1"/>
  <c r="Z242" i="1"/>
  <c r="AA242" i="1"/>
  <c r="AB242" i="1"/>
  <c r="W243" i="1"/>
  <c r="AE243" i="1" s="1"/>
  <c r="X243" i="1"/>
  <c r="AF243" i="1" s="1"/>
  <c r="Y243" i="1"/>
  <c r="AG243" i="1" s="1"/>
  <c r="Z243" i="1"/>
  <c r="AA243" i="1"/>
  <c r="AB243" i="1"/>
  <c r="W244" i="1"/>
  <c r="AE244" i="1" s="1"/>
  <c r="X244" i="1"/>
  <c r="AF244" i="1" s="1"/>
  <c r="Y244" i="1"/>
  <c r="AG244" i="1" s="1"/>
  <c r="Z244" i="1"/>
  <c r="AA244" i="1"/>
  <c r="AB244" i="1"/>
  <c r="W245" i="1"/>
  <c r="AE245" i="1" s="1"/>
  <c r="X245" i="1"/>
  <c r="AF245" i="1" s="1"/>
  <c r="Y245" i="1"/>
  <c r="AG245" i="1" s="1"/>
  <c r="Z245" i="1"/>
  <c r="AA245" i="1"/>
  <c r="AB245" i="1"/>
  <c r="W246" i="1"/>
  <c r="AE246" i="1" s="1"/>
  <c r="X246" i="1"/>
  <c r="AF246" i="1" s="1"/>
  <c r="Y246" i="1"/>
  <c r="AG246" i="1" s="1"/>
  <c r="Z246" i="1"/>
  <c r="AA246" i="1"/>
  <c r="AB246" i="1"/>
  <c r="W247" i="1"/>
  <c r="AE247" i="1" s="1"/>
  <c r="X247" i="1"/>
  <c r="AF247" i="1" s="1"/>
  <c r="Y247" i="1"/>
  <c r="AG247" i="1" s="1"/>
  <c r="Z247" i="1"/>
  <c r="AA247" i="1"/>
  <c r="AB247" i="1"/>
  <c r="W692" i="1"/>
  <c r="AE692" i="1" s="1"/>
  <c r="X692" i="1"/>
  <c r="AF692" i="1" s="1"/>
  <c r="Y692" i="1"/>
  <c r="AG692" i="1" s="1"/>
  <c r="Z692" i="1"/>
  <c r="AA692" i="1"/>
  <c r="AB692" i="1"/>
  <c r="W248" i="1"/>
  <c r="AE248" i="1" s="1"/>
  <c r="X248" i="1"/>
  <c r="AF248" i="1" s="1"/>
  <c r="Y248" i="1"/>
  <c r="AG248" i="1" s="1"/>
  <c r="Z248" i="1"/>
  <c r="AA248" i="1"/>
  <c r="AB248" i="1"/>
  <c r="W249" i="1"/>
  <c r="AE249" i="1" s="1"/>
  <c r="X249" i="1"/>
  <c r="AF249" i="1" s="1"/>
  <c r="Y249" i="1"/>
  <c r="AG249" i="1" s="1"/>
  <c r="Z249" i="1"/>
  <c r="AA249" i="1"/>
  <c r="AB249" i="1"/>
  <c r="W250" i="1"/>
  <c r="AE250" i="1" s="1"/>
  <c r="X250" i="1"/>
  <c r="AF250" i="1" s="1"/>
  <c r="Y250" i="1"/>
  <c r="AG250" i="1" s="1"/>
  <c r="Z250" i="1"/>
  <c r="AA250" i="1"/>
  <c r="AB250" i="1"/>
  <c r="W5" i="1"/>
  <c r="AE5" i="1" s="1"/>
  <c r="X5" i="1"/>
  <c r="AF5" i="1" s="1"/>
  <c r="Y5" i="1"/>
  <c r="AG5" i="1" s="1"/>
  <c r="Z5" i="1"/>
  <c r="AA5" i="1"/>
  <c r="AB5" i="1"/>
  <c r="W251" i="1"/>
  <c r="AE251" i="1" s="1"/>
  <c r="X251" i="1"/>
  <c r="AF251" i="1" s="1"/>
  <c r="Y251" i="1"/>
  <c r="AG251" i="1" s="1"/>
  <c r="Z251" i="1"/>
  <c r="AA251" i="1"/>
  <c r="AB251" i="1"/>
  <c r="W252" i="1"/>
  <c r="AE252" i="1" s="1"/>
  <c r="X252" i="1"/>
  <c r="AF252" i="1" s="1"/>
  <c r="Y252" i="1"/>
  <c r="AG252" i="1" s="1"/>
  <c r="Z252" i="1"/>
  <c r="AA252" i="1"/>
  <c r="AB252" i="1"/>
  <c r="W253" i="1"/>
  <c r="AE253" i="1" s="1"/>
  <c r="X253" i="1"/>
  <c r="AF253" i="1" s="1"/>
  <c r="Y253" i="1"/>
  <c r="AG253" i="1" s="1"/>
  <c r="Z253" i="1"/>
  <c r="AA253" i="1"/>
  <c r="AB253" i="1"/>
  <c r="W254" i="1"/>
  <c r="AE254" i="1" s="1"/>
  <c r="X254" i="1"/>
  <c r="AF254" i="1" s="1"/>
  <c r="Y254" i="1"/>
  <c r="AG254" i="1" s="1"/>
  <c r="Z254" i="1"/>
  <c r="AA254" i="1"/>
  <c r="AB254" i="1"/>
  <c r="W255" i="1"/>
  <c r="AE255" i="1" s="1"/>
  <c r="X255" i="1"/>
  <c r="AF255" i="1" s="1"/>
  <c r="Y255" i="1"/>
  <c r="AG255" i="1" s="1"/>
  <c r="Z255" i="1"/>
  <c r="AA255" i="1"/>
  <c r="AB255" i="1"/>
  <c r="W256" i="1"/>
  <c r="AE256" i="1" s="1"/>
  <c r="X256" i="1"/>
  <c r="AF256" i="1" s="1"/>
  <c r="Y256" i="1"/>
  <c r="AG256" i="1" s="1"/>
  <c r="Z256" i="1"/>
  <c r="AA256" i="1"/>
  <c r="AB256" i="1"/>
  <c r="W257" i="1"/>
  <c r="AE257" i="1" s="1"/>
  <c r="X257" i="1"/>
  <c r="AF257" i="1" s="1"/>
  <c r="Y257" i="1"/>
  <c r="AG257" i="1" s="1"/>
  <c r="Z257" i="1"/>
  <c r="AA257" i="1"/>
  <c r="AB257" i="1"/>
  <c r="W258" i="1"/>
  <c r="AE258" i="1" s="1"/>
  <c r="X258" i="1"/>
  <c r="AF258" i="1" s="1"/>
  <c r="Y258" i="1"/>
  <c r="AG258" i="1" s="1"/>
  <c r="Z258" i="1"/>
  <c r="AA258" i="1"/>
  <c r="AB258" i="1"/>
  <c r="W259" i="1"/>
  <c r="AE259" i="1" s="1"/>
  <c r="X259" i="1"/>
  <c r="AF259" i="1" s="1"/>
  <c r="Y259" i="1"/>
  <c r="AG259" i="1" s="1"/>
  <c r="Z259" i="1"/>
  <c r="AA259" i="1"/>
  <c r="AB259" i="1"/>
  <c r="W260" i="1"/>
  <c r="AE260" i="1" s="1"/>
  <c r="X260" i="1"/>
  <c r="AF260" i="1" s="1"/>
  <c r="Y260" i="1"/>
  <c r="AG260" i="1" s="1"/>
  <c r="Z260" i="1"/>
  <c r="AA260" i="1"/>
  <c r="AB260" i="1"/>
  <c r="W261" i="1"/>
  <c r="AE261" i="1" s="1"/>
  <c r="X261" i="1"/>
  <c r="AF261" i="1" s="1"/>
  <c r="Y261" i="1"/>
  <c r="AG261" i="1" s="1"/>
  <c r="Z261" i="1"/>
  <c r="AA261" i="1"/>
  <c r="AB261" i="1"/>
  <c r="W262" i="1"/>
  <c r="AE262" i="1" s="1"/>
  <c r="X262" i="1"/>
  <c r="AF262" i="1" s="1"/>
  <c r="Y262" i="1"/>
  <c r="AG262" i="1" s="1"/>
  <c r="Z262" i="1"/>
  <c r="AA262" i="1"/>
  <c r="AB262" i="1"/>
  <c r="W263" i="1"/>
  <c r="AE263" i="1" s="1"/>
  <c r="X263" i="1"/>
  <c r="AF263" i="1" s="1"/>
  <c r="Y263" i="1"/>
  <c r="AG263" i="1" s="1"/>
  <c r="Z263" i="1"/>
  <c r="AA263" i="1"/>
  <c r="AB263" i="1"/>
  <c r="W6" i="1"/>
  <c r="AE6" i="1" s="1"/>
  <c r="X6" i="1"/>
  <c r="AF6" i="1" s="1"/>
  <c r="Y6" i="1"/>
  <c r="AG6" i="1" s="1"/>
  <c r="Z6" i="1"/>
  <c r="AA6" i="1"/>
  <c r="AB6" i="1"/>
  <c r="W264" i="1"/>
  <c r="AE264" i="1" s="1"/>
  <c r="X264" i="1"/>
  <c r="AF264" i="1" s="1"/>
  <c r="Y264" i="1"/>
  <c r="AG264" i="1" s="1"/>
  <c r="Z264" i="1"/>
  <c r="AA264" i="1"/>
  <c r="AB264" i="1"/>
  <c r="W265" i="1"/>
  <c r="AE265" i="1" s="1"/>
  <c r="X265" i="1"/>
  <c r="AF265" i="1" s="1"/>
  <c r="Y265" i="1"/>
  <c r="AG265" i="1" s="1"/>
  <c r="Z265" i="1"/>
  <c r="AA265" i="1"/>
  <c r="AB265" i="1"/>
  <c r="W693" i="1"/>
  <c r="AE693" i="1" s="1"/>
  <c r="X693" i="1"/>
  <c r="AF693" i="1" s="1"/>
  <c r="Y693" i="1"/>
  <c r="AG693" i="1" s="1"/>
  <c r="Z693" i="1"/>
  <c r="AA693" i="1"/>
  <c r="AB693" i="1"/>
  <c r="W266" i="1"/>
  <c r="AE266" i="1" s="1"/>
  <c r="X266" i="1"/>
  <c r="AF266" i="1" s="1"/>
  <c r="Y266" i="1"/>
  <c r="AG266" i="1" s="1"/>
  <c r="Z266" i="1"/>
  <c r="AA266" i="1"/>
  <c r="AB266" i="1"/>
  <c r="W267" i="1"/>
  <c r="AE267" i="1" s="1"/>
  <c r="X267" i="1"/>
  <c r="AF267" i="1" s="1"/>
  <c r="Y267" i="1"/>
  <c r="AG267" i="1" s="1"/>
  <c r="Z267" i="1"/>
  <c r="AA267" i="1"/>
  <c r="AB267" i="1"/>
  <c r="W268" i="1"/>
  <c r="AE268" i="1" s="1"/>
  <c r="X268" i="1"/>
  <c r="AF268" i="1" s="1"/>
  <c r="Y268" i="1"/>
  <c r="AG268" i="1" s="1"/>
  <c r="Z268" i="1"/>
  <c r="AA268" i="1"/>
  <c r="AB268" i="1"/>
  <c r="W269" i="1"/>
  <c r="AE269" i="1" s="1"/>
  <c r="X269" i="1"/>
  <c r="AF269" i="1" s="1"/>
  <c r="Y269" i="1"/>
  <c r="AG269" i="1" s="1"/>
  <c r="Z269" i="1"/>
  <c r="AA269" i="1"/>
  <c r="AB269" i="1"/>
  <c r="W270" i="1"/>
  <c r="AE270" i="1" s="1"/>
  <c r="X270" i="1"/>
  <c r="AF270" i="1" s="1"/>
  <c r="Y270" i="1"/>
  <c r="AG270" i="1" s="1"/>
  <c r="Z270" i="1"/>
  <c r="AA270" i="1"/>
  <c r="AB270" i="1"/>
  <c r="W271" i="1"/>
  <c r="AE271" i="1" s="1"/>
  <c r="X271" i="1"/>
  <c r="AF271" i="1" s="1"/>
  <c r="Y271" i="1"/>
  <c r="AG271" i="1" s="1"/>
  <c r="Z271" i="1"/>
  <c r="AA271" i="1"/>
  <c r="AB271" i="1"/>
  <c r="W272" i="1"/>
  <c r="AE272" i="1" s="1"/>
  <c r="X272" i="1"/>
  <c r="AF272" i="1" s="1"/>
  <c r="Y272" i="1"/>
  <c r="AG272" i="1" s="1"/>
  <c r="Z272" i="1"/>
  <c r="AA272" i="1"/>
  <c r="AB272" i="1"/>
  <c r="W273" i="1"/>
  <c r="AE273" i="1" s="1"/>
  <c r="X273" i="1"/>
  <c r="AF273" i="1" s="1"/>
  <c r="Y273" i="1"/>
  <c r="AG273" i="1" s="1"/>
  <c r="Z273" i="1"/>
  <c r="AA273" i="1"/>
  <c r="AB273" i="1"/>
  <c r="W694" i="1"/>
  <c r="AE694" i="1" s="1"/>
  <c r="X694" i="1"/>
  <c r="AF694" i="1" s="1"/>
  <c r="Y694" i="1"/>
  <c r="AG694" i="1" s="1"/>
  <c r="Z694" i="1"/>
  <c r="AA694" i="1"/>
  <c r="AB694" i="1"/>
  <c r="W274" i="1"/>
  <c r="AE274" i="1" s="1"/>
  <c r="X274" i="1"/>
  <c r="AF274" i="1" s="1"/>
  <c r="Y274" i="1"/>
  <c r="AG274" i="1" s="1"/>
  <c r="Z274" i="1"/>
  <c r="AA274" i="1"/>
  <c r="AB274" i="1"/>
  <c r="W275" i="1"/>
  <c r="AE275" i="1" s="1"/>
  <c r="X275" i="1"/>
  <c r="AF275" i="1" s="1"/>
  <c r="Y275" i="1"/>
  <c r="AG275" i="1" s="1"/>
  <c r="Z275" i="1"/>
  <c r="AA275" i="1"/>
  <c r="AB275" i="1"/>
  <c r="W276" i="1"/>
  <c r="AE276" i="1" s="1"/>
  <c r="X276" i="1"/>
  <c r="AF276" i="1" s="1"/>
  <c r="Y276" i="1"/>
  <c r="AG276" i="1" s="1"/>
  <c r="Z276" i="1"/>
  <c r="AA276" i="1"/>
  <c r="AB276" i="1"/>
  <c r="W277" i="1"/>
  <c r="AE277" i="1" s="1"/>
  <c r="X277" i="1"/>
  <c r="AF277" i="1" s="1"/>
  <c r="Y277" i="1"/>
  <c r="AG277" i="1" s="1"/>
  <c r="Z277" i="1"/>
  <c r="AA277" i="1"/>
  <c r="AB277" i="1"/>
  <c r="W278" i="1"/>
  <c r="AE278" i="1" s="1"/>
  <c r="X278" i="1"/>
  <c r="AF278" i="1" s="1"/>
  <c r="Y278" i="1"/>
  <c r="AG278" i="1" s="1"/>
  <c r="Z278" i="1"/>
  <c r="AA278" i="1"/>
  <c r="AB278" i="1"/>
  <c r="W279" i="1"/>
  <c r="AE279" i="1" s="1"/>
  <c r="X279" i="1"/>
  <c r="AF279" i="1" s="1"/>
  <c r="Y279" i="1"/>
  <c r="AG279" i="1" s="1"/>
  <c r="Z279" i="1"/>
  <c r="AA279" i="1"/>
  <c r="AB279" i="1"/>
  <c r="W280" i="1"/>
  <c r="AE280" i="1" s="1"/>
  <c r="X280" i="1"/>
  <c r="AF280" i="1" s="1"/>
  <c r="Y280" i="1"/>
  <c r="AG280" i="1" s="1"/>
  <c r="Z280" i="1"/>
  <c r="AA280" i="1"/>
  <c r="AB280" i="1"/>
  <c r="W695" i="1"/>
  <c r="AE695" i="1" s="1"/>
  <c r="X695" i="1"/>
  <c r="AF695" i="1" s="1"/>
  <c r="Y695" i="1"/>
  <c r="AG695" i="1" s="1"/>
  <c r="Z695" i="1"/>
  <c r="AA695" i="1"/>
  <c r="AB695" i="1"/>
  <c r="W281" i="1"/>
  <c r="AE281" i="1" s="1"/>
  <c r="X281" i="1"/>
  <c r="AF281" i="1" s="1"/>
  <c r="Y281" i="1"/>
  <c r="AG281" i="1" s="1"/>
  <c r="Z281" i="1"/>
  <c r="AA281" i="1"/>
  <c r="AB281" i="1"/>
  <c r="W696" i="1"/>
  <c r="AE696" i="1" s="1"/>
  <c r="X696" i="1"/>
  <c r="AF696" i="1" s="1"/>
  <c r="Y696" i="1"/>
  <c r="AG696" i="1" s="1"/>
  <c r="Z696" i="1"/>
  <c r="AA696" i="1"/>
  <c r="AB696" i="1"/>
  <c r="W282" i="1"/>
  <c r="AE282" i="1" s="1"/>
  <c r="X282" i="1"/>
  <c r="AF282" i="1" s="1"/>
  <c r="Y282" i="1"/>
  <c r="AG282" i="1" s="1"/>
  <c r="Z282" i="1"/>
  <c r="AA282" i="1"/>
  <c r="AB282" i="1"/>
  <c r="W283" i="1"/>
  <c r="AE283" i="1" s="1"/>
  <c r="X283" i="1"/>
  <c r="AF283" i="1" s="1"/>
  <c r="Y283" i="1"/>
  <c r="AG283" i="1" s="1"/>
  <c r="Z283" i="1"/>
  <c r="AA283" i="1"/>
  <c r="AB283" i="1"/>
  <c r="W284" i="1"/>
  <c r="AE284" i="1" s="1"/>
  <c r="X284" i="1"/>
  <c r="AF284" i="1" s="1"/>
  <c r="Y284" i="1"/>
  <c r="AG284" i="1" s="1"/>
  <c r="Z284" i="1"/>
  <c r="AA284" i="1"/>
  <c r="AB284" i="1"/>
  <c r="W285" i="1"/>
  <c r="AE285" i="1" s="1"/>
  <c r="X285" i="1"/>
  <c r="AF285" i="1" s="1"/>
  <c r="Y285" i="1"/>
  <c r="AG285" i="1" s="1"/>
  <c r="Z285" i="1"/>
  <c r="AA285" i="1"/>
  <c r="AB285" i="1"/>
  <c r="W286" i="1"/>
  <c r="AE286" i="1" s="1"/>
  <c r="X286" i="1"/>
  <c r="AF286" i="1" s="1"/>
  <c r="Y286" i="1"/>
  <c r="AG286" i="1" s="1"/>
  <c r="Z286" i="1"/>
  <c r="AA286" i="1"/>
  <c r="AB286" i="1"/>
  <c r="W697" i="1"/>
  <c r="AE697" i="1" s="1"/>
  <c r="X697" i="1"/>
  <c r="AF697" i="1" s="1"/>
  <c r="Y697" i="1"/>
  <c r="AG697" i="1" s="1"/>
  <c r="Z697" i="1"/>
  <c r="AA697" i="1"/>
  <c r="AB697" i="1"/>
  <c r="W287" i="1"/>
  <c r="AE287" i="1" s="1"/>
  <c r="X287" i="1"/>
  <c r="AF287" i="1" s="1"/>
  <c r="Y287" i="1"/>
  <c r="AG287" i="1" s="1"/>
  <c r="Z287" i="1"/>
  <c r="AA287" i="1"/>
  <c r="AB287" i="1"/>
  <c r="W288" i="1"/>
  <c r="AE288" i="1" s="1"/>
  <c r="X288" i="1"/>
  <c r="AF288" i="1" s="1"/>
  <c r="Y288" i="1"/>
  <c r="AG288" i="1" s="1"/>
  <c r="Z288" i="1"/>
  <c r="AA288" i="1"/>
  <c r="AB288" i="1"/>
  <c r="W289" i="1"/>
  <c r="AE289" i="1" s="1"/>
  <c r="X289" i="1"/>
  <c r="AF289" i="1" s="1"/>
  <c r="Y289" i="1"/>
  <c r="AG289" i="1" s="1"/>
  <c r="Z289" i="1"/>
  <c r="AA289" i="1"/>
  <c r="AB289" i="1"/>
  <c r="W290" i="1"/>
  <c r="AE290" i="1" s="1"/>
  <c r="X290" i="1"/>
  <c r="AF290" i="1" s="1"/>
  <c r="Y290" i="1"/>
  <c r="AG290" i="1" s="1"/>
  <c r="Z290" i="1"/>
  <c r="AA290" i="1"/>
  <c r="AB290" i="1"/>
  <c r="W291" i="1"/>
  <c r="AE291" i="1" s="1"/>
  <c r="X291" i="1"/>
  <c r="AF291" i="1" s="1"/>
  <c r="Y291" i="1"/>
  <c r="AG291" i="1" s="1"/>
  <c r="Z291" i="1"/>
  <c r="AA291" i="1"/>
  <c r="AB291" i="1"/>
  <c r="W292" i="1"/>
  <c r="AE292" i="1" s="1"/>
  <c r="X292" i="1"/>
  <c r="AF292" i="1" s="1"/>
  <c r="Y292" i="1"/>
  <c r="AG292" i="1" s="1"/>
  <c r="Z292" i="1"/>
  <c r="AA292" i="1"/>
  <c r="AB292" i="1"/>
  <c r="W293" i="1"/>
  <c r="AE293" i="1" s="1"/>
  <c r="X293" i="1"/>
  <c r="AF293" i="1" s="1"/>
  <c r="Y293" i="1"/>
  <c r="AG293" i="1" s="1"/>
  <c r="Z293" i="1"/>
  <c r="AA293" i="1"/>
  <c r="AB293" i="1"/>
  <c r="W294" i="1"/>
  <c r="AE294" i="1" s="1"/>
  <c r="X294" i="1"/>
  <c r="AF294" i="1" s="1"/>
  <c r="Y294" i="1"/>
  <c r="AG294" i="1" s="1"/>
  <c r="Z294" i="1"/>
  <c r="AA294" i="1"/>
  <c r="AB294" i="1"/>
  <c r="W295" i="1"/>
  <c r="AE295" i="1" s="1"/>
  <c r="X295" i="1"/>
  <c r="AF295" i="1" s="1"/>
  <c r="Y295" i="1"/>
  <c r="AG295" i="1" s="1"/>
  <c r="Z295" i="1"/>
  <c r="AA295" i="1"/>
  <c r="AB295" i="1"/>
  <c r="W296" i="1"/>
  <c r="AE296" i="1" s="1"/>
  <c r="X296" i="1"/>
  <c r="AF296" i="1" s="1"/>
  <c r="Y296" i="1"/>
  <c r="AG296" i="1" s="1"/>
  <c r="Z296" i="1"/>
  <c r="AA296" i="1"/>
  <c r="AB296" i="1"/>
  <c r="W297" i="1"/>
  <c r="AE297" i="1" s="1"/>
  <c r="X297" i="1"/>
  <c r="AF297" i="1" s="1"/>
  <c r="Y297" i="1"/>
  <c r="AG297" i="1" s="1"/>
  <c r="Z297" i="1"/>
  <c r="AA297" i="1"/>
  <c r="AB297" i="1"/>
  <c r="W698" i="1"/>
  <c r="AE698" i="1" s="1"/>
  <c r="X698" i="1"/>
  <c r="AF698" i="1" s="1"/>
  <c r="Y698" i="1"/>
  <c r="AG698" i="1" s="1"/>
  <c r="Z698" i="1"/>
  <c r="AA698" i="1"/>
  <c r="AB698" i="1"/>
  <c r="W699" i="1"/>
  <c r="AE699" i="1" s="1"/>
  <c r="X699" i="1"/>
  <c r="AF699" i="1" s="1"/>
  <c r="Y699" i="1"/>
  <c r="AG699" i="1" s="1"/>
  <c r="Z699" i="1"/>
  <c r="AA699" i="1"/>
  <c r="AB699" i="1"/>
  <c r="W700" i="1"/>
  <c r="AE700" i="1" s="1"/>
  <c r="X700" i="1"/>
  <c r="AF700" i="1" s="1"/>
  <c r="Y700" i="1"/>
  <c r="AG700" i="1" s="1"/>
  <c r="Z700" i="1"/>
  <c r="AA700" i="1"/>
  <c r="AB700" i="1"/>
  <c r="W298" i="1"/>
  <c r="AE298" i="1" s="1"/>
  <c r="X298" i="1"/>
  <c r="AF298" i="1" s="1"/>
  <c r="Y298" i="1"/>
  <c r="AG298" i="1" s="1"/>
  <c r="Z298" i="1"/>
  <c r="AA298" i="1"/>
  <c r="AB298" i="1"/>
  <c r="W701" i="1"/>
  <c r="AE701" i="1" s="1"/>
  <c r="X701" i="1"/>
  <c r="AF701" i="1" s="1"/>
  <c r="Y701" i="1"/>
  <c r="AG701" i="1" s="1"/>
  <c r="Z701" i="1"/>
  <c r="AA701" i="1"/>
  <c r="AB701" i="1"/>
  <c r="W299" i="1"/>
  <c r="AE299" i="1" s="1"/>
  <c r="X299" i="1"/>
  <c r="AF299" i="1" s="1"/>
  <c r="Y299" i="1"/>
  <c r="AG299" i="1" s="1"/>
  <c r="Z299" i="1"/>
  <c r="AA299" i="1"/>
  <c r="AB299" i="1"/>
  <c r="W300" i="1"/>
  <c r="AE300" i="1" s="1"/>
  <c r="X300" i="1"/>
  <c r="AF300" i="1" s="1"/>
  <c r="Y300" i="1"/>
  <c r="AG300" i="1" s="1"/>
  <c r="Z300" i="1"/>
  <c r="AA300" i="1"/>
  <c r="AB300" i="1"/>
  <c r="W301" i="1"/>
  <c r="AE301" i="1" s="1"/>
  <c r="X301" i="1"/>
  <c r="AF301" i="1" s="1"/>
  <c r="Y301" i="1"/>
  <c r="AG301" i="1" s="1"/>
  <c r="Z301" i="1"/>
  <c r="AA301" i="1"/>
  <c r="AB301" i="1"/>
  <c r="W302" i="1"/>
  <c r="AE302" i="1" s="1"/>
  <c r="X302" i="1"/>
  <c r="AF302" i="1" s="1"/>
  <c r="Y302" i="1"/>
  <c r="AG302" i="1" s="1"/>
  <c r="Z302" i="1"/>
  <c r="AA302" i="1"/>
  <c r="AB302" i="1"/>
  <c r="W303" i="1"/>
  <c r="AE303" i="1" s="1"/>
  <c r="X303" i="1"/>
  <c r="AF303" i="1" s="1"/>
  <c r="Y303" i="1"/>
  <c r="AG303" i="1" s="1"/>
  <c r="Z303" i="1"/>
  <c r="AA303" i="1"/>
  <c r="AB303" i="1"/>
  <c r="W304" i="1"/>
  <c r="AE304" i="1" s="1"/>
  <c r="X304" i="1"/>
  <c r="AF304" i="1" s="1"/>
  <c r="Y304" i="1"/>
  <c r="AG304" i="1" s="1"/>
  <c r="Z304" i="1"/>
  <c r="AA304" i="1"/>
  <c r="AB304" i="1"/>
  <c r="W305" i="1"/>
  <c r="AE305" i="1" s="1"/>
  <c r="X305" i="1"/>
  <c r="AF305" i="1" s="1"/>
  <c r="Y305" i="1"/>
  <c r="AG305" i="1" s="1"/>
  <c r="Z305" i="1"/>
  <c r="AA305" i="1"/>
  <c r="AB305" i="1"/>
  <c r="W306" i="1"/>
  <c r="AE306" i="1" s="1"/>
  <c r="X306" i="1"/>
  <c r="AF306" i="1" s="1"/>
  <c r="Y306" i="1"/>
  <c r="AG306" i="1" s="1"/>
  <c r="Z306" i="1"/>
  <c r="AA306" i="1"/>
  <c r="AB306" i="1"/>
  <c r="W307" i="1"/>
  <c r="AE307" i="1" s="1"/>
  <c r="X307" i="1"/>
  <c r="AF307" i="1" s="1"/>
  <c r="Y307" i="1"/>
  <c r="AG307" i="1" s="1"/>
  <c r="Z307" i="1"/>
  <c r="AA307" i="1"/>
  <c r="AB307" i="1"/>
  <c r="W308" i="1"/>
  <c r="AE308" i="1" s="1"/>
  <c r="X308" i="1"/>
  <c r="AF308" i="1" s="1"/>
  <c r="Y308" i="1"/>
  <c r="AG308" i="1" s="1"/>
  <c r="Z308" i="1"/>
  <c r="AA308" i="1"/>
  <c r="AB308" i="1"/>
  <c r="W309" i="1"/>
  <c r="AE309" i="1" s="1"/>
  <c r="X309" i="1"/>
  <c r="AF309" i="1" s="1"/>
  <c r="Y309" i="1"/>
  <c r="AG309" i="1" s="1"/>
  <c r="Z309" i="1"/>
  <c r="AA309" i="1"/>
  <c r="AB309" i="1"/>
  <c r="W310" i="1"/>
  <c r="AE310" i="1" s="1"/>
  <c r="X310" i="1"/>
  <c r="AF310" i="1" s="1"/>
  <c r="Y310" i="1"/>
  <c r="AG310" i="1" s="1"/>
  <c r="Z310" i="1"/>
  <c r="AA310" i="1"/>
  <c r="AB310" i="1"/>
  <c r="W311" i="1"/>
  <c r="AE311" i="1" s="1"/>
  <c r="X311" i="1"/>
  <c r="AF311" i="1" s="1"/>
  <c r="Y311" i="1"/>
  <c r="AG311" i="1" s="1"/>
  <c r="Z311" i="1"/>
  <c r="AA311" i="1"/>
  <c r="AB311" i="1"/>
  <c r="W312" i="1"/>
  <c r="AE312" i="1" s="1"/>
  <c r="X312" i="1"/>
  <c r="AF312" i="1" s="1"/>
  <c r="Y312" i="1"/>
  <c r="AG312" i="1" s="1"/>
  <c r="Z312" i="1"/>
  <c r="AA312" i="1"/>
  <c r="AB312" i="1"/>
  <c r="W313" i="1"/>
  <c r="AE313" i="1" s="1"/>
  <c r="X313" i="1"/>
  <c r="AF313" i="1" s="1"/>
  <c r="Y313" i="1"/>
  <c r="AG313" i="1" s="1"/>
  <c r="Z313" i="1"/>
  <c r="AA313" i="1"/>
  <c r="AB313" i="1"/>
  <c r="W314" i="1"/>
  <c r="AE314" i="1" s="1"/>
  <c r="X314" i="1"/>
  <c r="AF314" i="1" s="1"/>
  <c r="Y314" i="1"/>
  <c r="AG314" i="1" s="1"/>
  <c r="Z314" i="1"/>
  <c r="AA314" i="1"/>
  <c r="AB314" i="1"/>
  <c r="W315" i="1"/>
  <c r="AE315" i="1" s="1"/>
  <c r="X315" i="1"/>
  <c r="AF315" i="1" s="1"/>
  <c r="Y315" i="1"/>
  <c r="AG315" i="1" s="1"/>
  <c r="Z315" i="1"/>
  <c r="AA315" i="1"/>
  <c r="AB315" i="1"/>
  <c r="W702" i="1"/>
  <c r="AE702" i="1" s="1"/>
  <c r="X702" i="1"/>
  <c r="AF702" i="1" s="1"/>
  <c r="Y702" i="1"/>
  <c r="AG702" i="1" s="1"/>
  <c r="Z702" i="1"/>
  <c r="AA702" i="1"/>
  <c r="AB702" i="1"/>
  <c r="W703" i="1"/>
  <c r="AE703" i="1" s="1"/>
  <c r="X703" i="1"/>
  <c r="AF703" i="1" s="1"/>
  <c r="Y703" i="1"/>
  <c r="AG703" i="1" s="1"/>
  <c r="Z703" i="1"/>
  <c r="AA703" i="1"/>
  <c r="AB703" i="1"/>
  <c r="W316" i="1"/>
  <c r="AE316" i="1" s="1"/>
  <c r="X316" i="1"/>
  <c r="AF316" i="1" s="1"/>
  <c r="Y316" i="1"/>
  <c r="AG316" i="1" s="1"/>
  <c r="Z316" i="1"/>
  <c r="AA316" i="1"/>
  <c r="AB316" i="1"/>
  <c r="W317" i="1"/>
  <c r="AE317" i="1" s="1"/>
  <c r="X317" i="1"/>
  <c r="AF317" i="1" s="1"/>
  <c r="Y317" i="1"/>
  <c r="AG317" i="1" s="1"/>
  <c r="Z317" i="1"/>
  <c r="AA317" i="1"/>
  <c r="AB317" i="1"/>
  <c r="W318" i="1"/>
  <c r="AE318" i="1" s="1"/>
  <c r="X318" i="1"/>
  <c r="AF318" i="1" s="1"/>
  <c r="Y318" i="1"/>
  <c r="AG318" i="1" s="1"/>
  <c r="Z318" i="1"/>
  <c r="AA318" i="1"/>
  <c r="AB318" i="1"/>
  <c r="W319" i="1"/>
  <c r="AE319" i="1" s="1"/>
  <c r="X319" i="1"/>
  <c r="AF319" i="1" s="1"/>
  <c r="Y319" i="1"/>
  <c r="AG319" i="1" s="1"/>
  <c r="Z319" i="1"/>
  <c r="AA319" i="1"/>
  <c r="AB319" i="1"/>
  <c r="W320" i="1"/>
  <c r="AE320" i="1" s="1"/>
  <c r="X320" i="1"/>
  <c r="AF320" i="1" s="1"/>
  <c r="Y320" i="1"/>
  <c r="AG320" i="1" s="1"/>
  <c r="Z320" i="1"/>
  <c r="AA320" i="1"/>
  <c r="AB320" i="1"/>
  <c r="W321" i="1"/>
  <c r="AE321" i="1" s="1"/>
  <c r="X321" i="1"/>
  <c r="AF321" i="1" s="1"/>
  <c r="Y321" i="1"/>
  <c r="AG321" i="1" s="1"/>
  <c r="Z321" i="1"/>
  <c r="AA321" i="1"/>
  <c r="AB321" i="1"/>
  <c r="W322" i="1"/>
  <c r="AE322" i="1" s="1"/>
  <c r="X322" i="1"/>
  <c r="AF322" i="1" s="1"/>
  <c r="Y322" i="1"/>
  <c r="AG322" i="1" s="1"/>
  <c r="Z322" i="1"/>
  <c r="AA322" i="1"/>
  <c r="AB322" i="1"/>
  <c r="W323" i="1"/>
  <c r="AE323" i="1" s="1"/>
  <c r="X323" i="1"/>
  <c r="AF323" i="1" s="1"/>
  <c r="Y323" i="1"/>
  <c r="AG323" i="1" s="1"/>
  <c r="Z323" i="1"/>
  <c r="AA323" i="1"/>
  <c r="AB323" i="1"/>
  <c r="W324" i="1"/>
  <c r="AE324" i="1" s="1"/>
  <c r="X324" i="1"/>
  <c r="AF324" i="1" s="1"/>
  <c r="Y324" i="1"/>
  <c r="AG324" i="1" s="1"/>
  <c r="Z324" i="1"/>
  <c r="AA324" i="1"/>
  <c r="AB324" i="1"/>
  <c r="W325" i="1"/>
  <c r="AE325" i="1" s="1"/>
  <c r="X325" i="1"/>
  <c r="AF325" i="1" s="1"/>
  <c r="Y325" i="1"/>
  <c r="AG325" i="1" s="1"/>
  <c r="Z325" i="1"/>
  <c r="AA325" i="1"/>
  <c r="AB325" i="1"/>
  <c r="W326" i="1"/>
  <c r="AE326" i="1" s="1"/>
  <c r="X326" i="1"/>
  <c r="AF326" i="1" s="1"/>
  <c r="Y326" i="1"/>
  <c r="AG326" i="1" s="1"/>
  <c r="Z326" i="1"/>
  <c r="AA326" i="1"/>
  <c r="AB326" i="1"/>
  <c r="W327" i="1"/>
  <c r="AE327" i="1" s="1"/>
  <c r="X327" i="1"/>
  <c r="AF327" i="1" s="1"/>
  <c r="Y327" i="1"/>
  <c r="AG327" i="1" s="1"/>
  <c r="Z327" i="1"/>
  <c r="AA327" i="1"/>
  <c r="AB327" i="1"/>
  <c r="W328" i="1"/>
  <c r="AE328" i="1" s="1"/>
  <c r="X328" i="1"/>
  <c r="AF328" i="1" s="1"/>
  <c r="Y328" i="1"/>
  <c r="AG328" i="1" s="1"/>
  <c r="Z328" i="1"/>
  <c r="AA328" i="1"/>
  <c r="AB328" i="1"/>
  <c r="W329" i="1"/>
  <c r="AE329" i="1" s="1"/>
  <c r="X329" i="1"/>
  <c r="AF329" i="1" s="1"/>
  <c r="Y329" i="1"/>
  <c r="AG329" i="1" s="1"/>
  <c r="Z329" i="1"/>
  <c r="AA329" i="1"/>
  <c r="AB329" i="1"/>
  <c r="W330" i="1"/>
  <c r="AE330" i="1" s="1"/>
  <c r="X330" i="1"/>
  <c r="AF330" i="1" s="1"/>
  <c r="Y330" i="1"/>
  <c r="AG330" i="1" s="1"/>
  <c r="Z330" i="1"/>
  <c r="AA330" i="1"/>
  <c r="AB330" i="1"/>
  <c r="W331" i="1"/>
  <c r="AE331" i="1" s="1"/>
  <c r="X331" i="1"/>
  <c r="AF331" i="1" s="1"/>
  <c r="Y331" i="1"/>
  <c r="AG331" i="1" s="1"/>
  <c r="Z331" i="1"/>
  <c r="AA331" i="1"/>
  <c r="AB331" i="1"/>
  <c r="W332" i="1"/>
  <c r="AE332" i="1" s="1"/>
  <c r="X332" i="1"/>
  <c r="AF332" i="1" s="1"/>
  <c r="Y332" i="1"/>
  <c r="AG332" i="1" s="1"/>
  <c r="Z332" i="1"/>
  <c r="AA332" i="1"/>
  <c r="AB332" i="1"/>
  <c r="W333" i="1"/>
  <c r="AE333" i="1" s="1"/>
  <c r="X333" i="1"/>
  <c r="AF333" i="1" s="1"/>
  <c r="Y333" i="1"/>
  <c r="AG333" i="1" s="1"/>
  <c r="Z333" i="1"/>
  <c r="AA333" i="1"/>
  <c r="AB333" i="1"/>
  <c r="W334" i="1"/>
  <c r="AE334" i="1" s="1"/>
  <c r="X334" i="1"/>
  <c r="AF334" i="1" s="1"/>
  <c r="Y334" i="1"/>
  <c r="AG334" i="1" s="1"/>
  <c r="Z334" i="1"/>
  <c r="AA334" i="1"/>
  <c r="AB334" i="1"/>
  <c r="W335" i="1"/>
  <c r="AE335" i="1" s="1"/>
  <c r="X335" i="1"/>
  <c r="AF335" i="1" s="1"/>
  <c r="Y335" i="1"/>
  <c r="AG335" i="1" s="1"/>
  <c r="Z335" i="1"/>
  <c r="AA335" i="1"/>
  <c r="AB335" i="1"/>
  <c r="W336" i="1"/>
  <c r="AE336" i="1" s="1"/>
  <c r="X336" i="1"/>
  <c r="AF336" i="1" s="1"/>
  <c r="Y336" i="1"/>
  <c r="AG336" i="1" s="1"/>
  <c r="Z336" i="1"/>
  <c r="AA336" i="1"/>
  <c r="AB336" i="1"/>
  <c r="W337" i="1"/>
  <c r="AE337" i="1" s="1"/>
  <c r="X337" i="1"/>
  <c r="AF337" i="1" s="1"/>
  <c r="Y337" i="1"/>
  <c r="AG337" i="1" s="1"/>
  <c r="Z337" i="1"/>
  <c r="AA337" i="1"/>
  <c r="AB337" i="1"/>
  <c r="W338" i="1"/>
  <c r="AE338" i="1" s="1"/>
  <c r="X338" i="1"/>
  <c r="AF338" i="1" s="1"/>
  <c r="Y338" i="1"/>
  <c r="AG338" i="1" s="1"/>
  <c r="Z338" i="1"/>
  <c r="AA338" i="1"/>
  <c r="AB338" i="1"/>
  <c r="W339" i="1"/>
  <c r="AE339" i="1" s="1"/>
  <c r="X339" i="1"/>
  <c r="AF339" i="1" s="1"/>
  <c r="Y339" i="1"/>
  <c r="AG339" i="1" s="1"/>
  <c r="Z339" i="1"/>
  <c r="AA339" i="1"/>
  <c r="AB339" i="1"/>
  <c r="W7" i="1"/>
  <c r="AE7" i="1" s="1"/>
  <c r="X7" i="1"/>
  <c r="AF7" i="1" s="1"/>
  <c r="Y7" i="1"/>
  <c r="AG7" i="1" s="1"/>
  <c r="Z7" i="1"/>
  <c r="AA7" i="1"/>
  <c r="AB7" i="1"/>
  <c r="W340" i="1"/>
  <c r="AE340" i="1" s="1"/>
  <c r="X340" i="1"/>
  <c r="AF340" i="1" s="1"/>
  <c r="Y340" i="1"/>
  <c r="AG340" i="1" s="1"/>
  <c r="Z340" i="1"/>
  <c r="AA340" i="1"/>
  <c r="AB340" i="1"/>
  <c r="W341" i="1"/>
  <c r="AE341" i="1" s="1"/>
  <c r="X341" i="1"/>
  <c r="AF341" i="1" s="1"/>
  <c r="Y341" i="1"/>
  <c r="AG341" i="1" s="1"/>
  <c r="Z341" i="1"/>
  <c r="AA341" i="1"/>
  <c r="AB341" i="1"/>
  <c r="W342" i="1"/>
  <c r="AE342" i="1" s="1"/>
  <c r="X342" i="1"/>
  <c r="AF342" i="1" s="1"/>
  <c r="Y342" i="1"/>
  <c r="AG342" i="1" s="1"/>
  <c r="Z342" i="1"/>
  <c r="AA342" i="1"/>
  <c r="AB342" i="1"/>
  <c r="W343" i="1"/>
  <c r="AE343" i="1" s="1"/>
  <c r="X343" i="1"/>
  <c r="AF343" i="1" s="1"/>
  <c r="Y343" i="1"/>
  <c r="AG343" i="1" s="1"/>
  <c r="Z343" i="1"/>
  <c r="AA343" i="1"/>
  <c r="AB343" i="1"/>
  <c r="W344" i="1"/>
  <c r="AE344" i="1" s="1"/>
  <c r="X344" i="1"/>
  <c r="AF344" i="1" s="1"/>
  <c r="Y344" i="1"/>
  <c r="AG344" i="1" s="1"/>
  <c r="Z344" i="1"/>
  <c r="AA344" i="1"/>
  <c r="AB344" i="1"/>
  <c r="W345" i="1"/>
  <c r="AE345" i="1" s="1"/>
  <c r="X345" i="1"/>
  <c r="AF345" i="1" s="1"/>
  <c r="Y345" i="1"/>
  <c r="AG345" i="1" s="1"/>
  <c r="Z345" i="1"/>
  <c r="AA345" i="1"/>
  <c r="AB345" i="1"/>
  <c r="W346" i="1"/>
  <c r="AE346" i="1" s="1"/>
  <c r="X346" i="1"/>
  <c r="AF346" i="1" s="1"/>
  <c r="Y346" i="1"/>
  <c r="AG346" i="1" s="1"/>
  <c r="Z346" i="1"/>
  <c r="AA346" i="1"/>
  <c r="AB346" i="1"/>
  <c r="W347" i="1"/>
  <c r="AE347" i="1" s="1"/>
  <c r="X347" i="1"/>
  <c r="AF347" i="1" s="1"/>
  <c r="Y347" i="1"/>
  <c r="AG347" i="1" s="1"/>
  <c r="Z347" i="1"/>
  <c r="AA347" i="1"/>
  <c r="AB347" i="1"/>
  <c r="W348" i="1"/>
  <c r="AE348" i="1" s="1"/>
  <c r="X348" i="1"/>
  <c r="AF348" i="1" s="1"/>
  <c r="Y348" i="1"/>
  <c r="AG348" i="1" s="1"/>
  <c r="Z348" i="1"/>
  <c r="AA348" i="1"/>
  <c r="AB348" i="1"/>
  <c r="W349" i="1"/>
  <c r="AE349" i="1" s="1"/>
  <c r="X349" i="1"/>
  <c r="AF349" i="1" s="1"/>
  <c r="Y349" i="1"/>
  <c r="AG349" i="1" s="1"/>
  <c r="Z349" i="1"/>
  <c r="AA349" i="1"/>
  <c r="AB349" i="1"/>
  <c r="W350" i="1"/>
  <c r="AE350" i="1" s="1"/>
  <c r="X350" i="1"/>
  <c r="AF350" i="1" s="1"/>
  <c r="Y350" i="1"/>
  <c r="AG350" i="1" s="1"/>
  <c r="Z350" i="1"/>
  <c r="AA350" i="1"/>
  <c r="AB350" i="1"/>
  <c r="W351" i="1"/>
  <c r="AE351" i="1" s="1"/>
  <c r="X351" i="1"/>
  <c r="AF351" i="1" s="1"/>
  <c r="Y351" i="1"/>
  <c r="AG351" i="1" s="1"/>
  <c r="Z351" i="1"/>
  <c r="AA351" i="1"/>
  <c r="AB351" i="1"/>
  <c r="W704" i="1"/>
  <c r="AE704" i="1" s="1"/>
  <c r="X704" i="1"/>
  <c r="AF704" i="1" s="1"/>
  <c r="Y704" i="1"/>
  <c r="AG704" i="1" s="1"/>
  <c r="Z704" i="1"/>
  <c r="AA704" i="1"/>
  <c r="AB704" i="1"/>
  <c r="W352" i="1"/>
  <c r="AE352" i="1" s="1"/>
  <c r="X352" i="1"/>
  <c r="AF352" i="1" s="1"/>
  <c r="Y352" i="1"/>
  <c r="AG352" i="1" s="1"/>
  <c r="Z352" i="1"/>
  <c r="AA352" i="1"/>
  <c r="AB352" i="1"/>
  <c r="W353" i="1"/>
  <c r="AE353" i="1" s="1"/>
  <c r="X353" i="1"/>
  <c r="AF353" i="1" s="1"/>
  <c r="Y353" i="1"/>
  <c r="AG353" i="1" s="1"/>
  <c r="Z353" i="1"/>
  <c r="AA353" i="1"/>
  <c r="AB353" i="1"/>
  <c r="W354" i="1"/>
  <c r="AE354" i="1" s="1"/>
  <c r="X354" i="1"/>
  <c r="AF354" i="1" s="1"/>
  <c r="Y354" i="1"/>
  <c r="AG354" i="1" s="1"/>
  <c r="Z354" i="1"/>
  <c r="AA354" i="1"/>
  <c r="AB354" i="1"/>
  <c r="W355" i="1"/>
  <c r="AE355" i="1" s="1"/>
  <c r="X355" i="1"/>
  <c r="AF355" i="1" s="1"/>
  <c r="Y355" i="1"/>
  <c r="AG355" i="1" s="1"/>
  <c r="Z355" i="1"/>
  <c r="AA355" i="1"/>
  <c r="AB355" i="1"/>
  <c r="W356" i="1"/>
  <c r="AE356" i="1" s="1"/>
  <c r="X356" i="1"/>
  <c r="AF356" i="1" s="1"/>
  <c r="Y356" i="1"/>
  <c r="AG356" i="1" s="1"/>
  <c r="Z356" i="1"/>
  <c r="AA356" i="1"/>
  <c r="AB356" i="1"/>
  <c r="W357" i="1"/>
  <c r="AE357" i="1" s="1"/>
  <c r="X357" i="1"/>
  <c r="AF357" i="1" s="1"/>
  <c r="Y357" i="1"/>
  <c r="AG357" i="1" s="1"/>
  <c r="Z357" i="1"/>
  <c r="AA357" i="1"/>
  <c r="AB357" i="1"/>
  <c r="W358" i="1"/>
  <c r="AE358" i="1" s="1"/>
  <c r="X358" i="1"/>
  <c r="AF358" i="1" s="1"/>
  <c r="Y358" i="1"/>
  <c r="AG358" i="1" s="1"/>
  <c r="Z358" i="1"/>
  <c r="AA358" i="1"/>
  <c r="AB358" i="1"/>
  <c r="W359" i="1"/>
  <c r="AE359" i="1" s="1"/>
  <c r="X359" i="1"/>
  <c r="AF359" i="1" s="1"/>
  <c r="Y359" i="1"/>
  <c r="AG359" i="1" s="1"/>
  <c r="Z359" i="1"/>
  <c r="AA359" i="1"/>
  <c r="AB359" i="1"/>
  <c r="W360" i="1"/>
  <c r="AE360" i="1" s="1"/>
  <c r="X360" i="1"/>
  <c r="AF360" i="1" s="1"/>
  <c r="Y360" i="1"/>
  <c r="AG360" i="1" s="1"/>
  <c r="Z360" i="1"/>
  <c r="AA360" i="1"/>
  <c r="AB360" i="1"/>
  <c r="W361" i="1"/>
  <c r="AE361" i="1" s="1"/>
  <c r="X361" i="1"/>
  <c r="AF361" i="1" s="1"/>
  <c r="Y361" i="1"/>
  <c r="AG361" i="1" s="1"/>
  <c r="Z361" i="1"/>
  <c r="AA361" i="1"/>
  <c r="AB361" i="1"/>
  <c r="W362" i="1"/>
  <c r="AE362" i="1" s="1"/>
  <c r="X362" i="1"/>
  <c r="AF362" i="1" s="1"/>
  <c r="Y362" i="1"/>
  <c r="AG362" i="1" s="1"/>
  <c r="Z362" i="1"/>
  <c r="AA362" i="1"/>
  <c r="AB362" i="1"/>
  <c r="W363" i="1"/>
  <c r="AE363" i="1" s="1"/>
  <c r="X363" i="1"/>
  <c r="AF363" i="1" s="1"/>
  <c r="Y363" i="1"/>
  <c r="AG363" i="1" s="1"/>
  <c r="Z363" i="1"/>
  <c r="AA363" i="1"/>
  <c r="AB363" i="1"/>
  <c r="W364" i="1"/>
  <c r="AE364" i="1" s="1"/>
  <c r="X364" i="1"/>
  <c r="AF364" i="1" s="1"/>
  <c r="Y364" i="1"/>
  <c r="AG364" i="1" s="1"/>
  <c r="Z364" i="1"/>
  <c r="AA364" i="1"/>
  <c r="AB364" i="1"/>
  <c r="W365" i="1"/>
  <c r="AE365" i="1" s="1"/>
  <c r="X365" i="1"/>
  <c r="AF365" i="1" s="1"/>
  <c r="Y365" i="1"/>
  <c r="AG365" i="1" s="1"/>
  <c r="Z365" i="1"/>
  <c r="AA365" i="1"/>
  <c r="AB365" i="1"/>
  <c r="W366" i="1"/>
  <c r="AE366" i="1" s="1"/>
  <c r="X366" i="1"/>
  <c r="AF366" i="1" s="1"/>
  <c r="Y366" i="1"/>
  <c r="AG366" i="1" s="1"/>
  <c r="Z366" i="1"/>
  <c r="AA366" i="1"/>
  <c r="AB366" i="1"/>
  <c r="W367" i="1"/>
  <c r="AE367" i="1" s="1"/>
  <c r="X367" i="1"/>
  <c r="AF367" i="1" s="1"/>
  <c r="Y367" i="1"/>
  <c r="AG367" i="1" s="1"/>
  <c r="Z367" i="1"/>
  <c r="AA367" i="1"/>
  <c r="AB367" i="1"/>
  <c r="W368" i="1"/>
  <c r="AE368" i="1" s="1"/>
  <c r="X368" i="1"/>
  <c r="AF368" i="1" s="1"/>
  <c r="Y368" i="1"/>
  <c r="AG368" i="1" s="1"/>
  <c r="Z368" i="1"/>
  <c r="AA368" i="1"/>
  <c r="AB368" i="1"/>
  <c r="W8" i="1"/>
  <c r="AE8" i="1" s="1"/>
  <c r="X8" i="1"/>
  <c r="AF8" i="1" s="1"/>
  <c r="Y8" i="1"/>
  <c r="AG8" i="1" s="1"/>
  <c r="Z8" i="1"/>
  <c r="AA8" i="1"/>
  <c r="AB8" i="1"/>
  <c r="W369" i="1"/>
  <c r="AE369" i="1" s="1"/>
  <c r="X369" i="1"/>
  <c r="AF369" i="1" s="1"/>
  <c r="Y369" i="1"/>
  <c r="AG369" i="1" s="1"/>
  <c r="Z369" i="1"/>
  <c r="AA369" i="1"/>
  <c r="AB369" i="1"/>
  <c r="W370" i="1"/>
  <c r="AE370" i="1" s="1"/>
  <c r="X370" i="1"/>
  <c r="AF370" i="1" s="1"/>
  <c r="Y370" i="1"/>
  <c r="AG370" i="1" s="1"/>
  <c r="Z370" i="1"/>
  <c r="AA370" i="1"/>
  <c r="AB370" i="1"/>
  <c r="W371" i="1"/>
  <c r="AE371" i="1" s="1"/>
  <c r="X371" i="1"/>
  <c r="AF371" i="1" s="1"/>
  <c r="Y371" i="1"/>
  <c r="AG371" i="1" s="1"/>
  <c r="Z371" i="1"/>
  <c r="AA371" i="1"/>
  <c r="AB371" i="1"/>
  <c r="W372" i="1"/>
  <c r="AE372" i="1" s="1"/>
  <c r="X372" i="1"/>
  <c r="AF372" i="1" s="1"/>
  <c r="Y372" i="1"/>
  <c r="AG372" i="1" s="1"/>
  <c r="Z372" i="1"/>
  <c r="AA372" i="1"/>
  <c r="AB372" i="1"/>
  <c r="W373" i="1"/>
  <c r="AE373" i="1" s="1"/>
  <c r="X373" i="1"/>
  <c r="AF373" i="1" s="1"/>
  <c r="Y373" i="1"/>
  <c r="AG373" i="1" s="1"/>
  <c r="Z373" i="1"/>
  <c r="AA373" i="1"/>
  <c r="AB373" i="1"/>
  <c r="W374" i="1"/>
  <c r="AE374" i="1" s="1"/>
  <c r="X374" i="1"/>
  <c r="AF374" i="1" s="1"/>
  <c r="Y374" i="1"/>
  <c r="AG374" i="1" s="1"/>
  <c r="Z374" i="1"/>
  <c r="AA374" i="1"/>
  <c r="AB374" i="1"/>
  <c r="W375" i="1"/>
  <c r="AE375" i="1" s="1"/>
  <c r="X375" i="1"/>
  <c r="AF375" i="1" s="1"/>
  <c r="Y375" i="1"/>
  <c r="AG375" i="1" s="1"/>
  <c r="Z375" i="1"/>
  <c r="AA375" i="1"/>
  <c r="AB375" i="1"/>
  <c r="W376" i="1"/>
  <c r="AE376" i="1" s="1"/>
  <c r="X376" i="1"/>
  <c r="AF376" i="1" s="1"/>
  <c r="Y376" i="1"/>
  <c r="AG376" i="1" s="1"/>
  <c r="Z376" i="1"/>
  <c r="AA376" i="1"/>
  <c r="AB376" i="1"/>
  <c r="W377" i="1"/>
  <c r="AE377" i="1" s="1"/>
  <c r="X377" i="1"/>
  <c r="AF377" i="1" s="1"/>
  <c r="Y377" i="1"/>
  <c r="AG377" i="1" s="1"/>
  <c r="Z377" i="1"/>
  <c r="AA377" i="1"/>
  <c r="AB377" i="1"/>
  <c r="W705" i="1"/>
  <c r="AE705" i="1" s="1"/>
  <c r="X705" i="1"/>
  <c r="AF705" i="1" s="1"/>
  <c r="Y705" i="1"/>
  <c r="AG705" i="1" s="1"/>
  <c r="Z705" i="1"/>
  <c r="AA705" i="1"/>
  <c r="AB705" i="1"/>
  <c r="W706" i="1"/>
  <c r="AE706" i="1" s="1"/>
  <c r="X706" i="1"/>
  <c r="AF706" i="1" s="1"/>
  <c r="Y706" i="1"/>
  <c r="AG706" i="1" s="1"/>
  <c r="Z706" i="1"/>
  <c r="AA706" i="1"/>
  <c r="AB706" i="1"/>
  <c r="W707" i="1"/>
  <c r="AE707" i="1" s="1"/>
  <c r="X707" i="1"/>
  <c r="AF707" i="1" s="1"/>
  <c r="Y707" i="1"/>
  <c r="AG707" i="1" s="1"/>
  <c r="Z707" i="1"/>
  <c r="AA707" i="1"/>
  <c r="AB707" i="1"/>
  <c r="W378" i="1"/>
  <c r="AE378" i="1" s="1"/>
  <c r="X378" i="1"/>
  <c r="AF378" i="1" s="1"/>
  <c r="Y378" i="1"/>
  <c r="AG378" i="1" s="1"/>
  <c r="Z378" i="1"/>
  <c r="AA378" i="1"/>
  <c r="AB378" i="1"/>
  <c r="W379" i="1"/>
  <c r="AE379" i="1" s="1"/>
  <c r="X379" i="1"/>
  <c r="AF379" i="1" s="1"/>
  <c r="Y379" i="1"/>
  <c r="AG379" i="1" s="1"/>
  <c r="Z379" i="1"/>
  <c r="AA379" i="1"/>
  <c r="AB379" i="1"/>
  <c r="W380" i="1"/>
  <c r="AE380" i="1" s="1"/>
  <c r="X380" i="1"/>
  <c r="AF380" i="1" s="1"/>
  <c r="Y380" i="1"/>
  <c r="AG380" i="1" s="1"/>
  <c r="Z380" i="1"/>
  <c r="AA380" i="1"/>
  <c r="AB380" i="1"/>
  <c r="W381" i="1"/>
  <c r="AE381" i="1" s="1"/>
  <c r="X381" i="1"/>
  <c r="AF381" i="1" s="1"/>
  <c r="Y381" i="1"/>
  <c r="AG381" i="1" s="1"/>
  <c r="Z381" i="1"/>
  <c r="AA381" i="1"/>
  <c r="AB381" i="1"/>
  <c r="W382" i="1"/>
  <c r="AE382" i="1" s="1"/>
  <c r="X382" i="1"/>
  <c r="AF382" i="1" s="1"/>
  <c r="Y382" i="1"/>
  <c r="AG382" i="1" s="1"/>
  <c r="Z382" i="1"/>
  <c r="AA382" i="1"/>
  <c r="AB382" i="1"/>
  <c r="W383" i="1"/>
  <c r="AE383" i="1" s="1"/>
  <c r="X383" i="1"/>
  <c r="AF383" i="1" s="1"/>
  <c r="Y383" i="1"/>
  <c r="AG383" i="1" s="1"/>
  <c r="Z383" i="1"/>
  <c r="AA383" i="1"/>
  <c r="AB383" i="1"/>
  <c r="W384" i="1"/>
  <c r="AE384" i="1" s="1"/>
  <c r="X384" i="1"/>
  <c r="AF384" i="1" s="1"/>
  <c r="Y384" i="1"/>
  <c r="AG384" i="1" s="1"/>
  <c r="Z384" i="1"/>
  <c r="AA384" i="1"/>
  <c r="AB384" i="1"/>
  <c r="W385" i="1"/>
  <c r="AE385" i="1" s="1"/>
  <c r="X385" i="1"/>
  <c r="AF385" i="1" s="1"/>
  <c r="Y385" i="1"/>
  <c r="AG385" i="1" s="1"/>
  <c r="Z385" i="1"/>
  <c r="AA385" i="1"/>
  <c r="AB385" i="1"/>
  <c r="W386" i="1"/>
  <c r="AE386" i="1" s="1"/>
  <c r="X386" i="1"/>
  <c r="AF386" i="1" s="1"/>
  <c r="Y386" i="1"/>
  <c r="AG386" i="1" s="1"/>
  <c r="Z386" i="1"/>
  <c r="AA386" i="1"/>
  <c r="AB386" i="1"/>
  <c r="W387" i="1"/>
  <c r="AE387" i="1" s="1"/>
  <c r="X387" i="1"/>
  <c r="AF387" i="1" s="1"/>
  <c r="Y387" i="1"/>
  <c r="AG387" i="1" s="1"/>
  <c r="Z387" i="1"/>
  <c r="AA387" i="1"/>
  <c r="AB387" i="1"/>
  <c r="W388" i="1"/>
  <c r="AE388" i="1" s="1"/>
  <c r="X388" i="1"/>
  <c r="AF388" i="1" s="1"/>
  <c r="Y388" i="1"/>
  <c r="AG388" i="1" s="1"/>
  <c r="Z388" i="1"/>
  <c r="AA388" i="1"/>
  <c r="AB388" i="1"/>
  <c r="W708" i="1"/>
  <c r="AE708" i="1" s="1"/>
  <c r="X708" i="1"/>
  <c r="AF708" i="1" s="1"/>
  <c r="Y708" i="1"/>
  <c r="AG708" i="1" s="1"/>
  <c r="Z708" i="1"/>
  <c r="AA708" i="1"/>
  <c r="AB708" i="1"/>
  <c r="W709" i="1"/>
  <c r="AE709" i="1" s="1"/>
  <c r="X709" i="1"/>
  <c r="AF709" i="1" s="1"/>
  <c r="Y709" i="1"/>
  <c r="AG709" i="1" s="1"/>
  <c r="Z709" i="1"/>
  <c r="AA709" i="1"/>
  <c r="AB709" i="1"/>
  <c r="W389" i="1"/>
  <c r="AE389" i="1" s="1"/>
  <c r="X389" i="1"/>
  <c r="AF389" i="1" s="1"/>
  <c r="Y389" i="1"/>
  <c r="AG389" i="1" s="1"/>
  <c r="Z389" i="1"/>
  <c r="AA389" i="1"/>
  <c r="AB389" i="1"/>
  <c r="W390" i="1"/>
  <c r="AE390" i="1" s="1"/>
  <c r="X390" i="1"/>
  <c r="AF390" i="1" s="1"/>
  <c r="Y390" i="1"/>
  <c r="AG390" i="1" s="1"/>
  <c r="Z390" i="1"/>
  <c r="AA390" i="1"/>
  <c r="AB390" i="1"/>
  <c r="W391" i="1"/>
  <c r="AE391" i="1" s="1"/>
  <c r="X391" i="1"/>
  <c r="AF391" i="1" s="1"/>
  <c r="Y391" i="1"/>
  <c r="AG391" i="1" s="1"/>
  <c r="Z391" i="1"/>
  <c r="AA391" i="1"/>
  <c r="AB391" i="1"/>
  <c r="W392" i="1"/>
  <c r="AE392" i="1" s="1"/>
  <c r="X392" i="1"/>
  <c r="AF392" i="1" s="1"/>
  <c r="Y392" i="1"/>
  <c r="AG392" i="1" s="1"/>
  <c r="Z392" i="1"/>
  <c r="AA392" i="1"/>
  <c r="AB392" i="1"/>
  <c r="W393" i="1"/>
  <c r="AE393" i="1" s="1"/>
  <c r="X393" i="1"/>
  <c r="AF393" i="1" s="1"/>
  <c r="Y393" i="1"/>
  <c r="AG393" i="1" s="1"/>
  <c r="Z393" i="1"/>
  <c r="AA393" i="1"/>
  <c r="AB393" i="1"/>
  <c r="W394" i="1"/>
  <c r="AE394" i="1" s="1"/>
  <c r="X394" i="1"/>
  <c r="AF394" i="1" s="1"/>
  <c r="Y394" i="1"/>
  <c r="AG394" i="1" s="1"/>
  <c r="Z394" i="1"/>
  <c r="AA394" i="1"/>
  <c r="AB394" i="1"/>
  <c r="W710" i="1"/>
  <c r="AE710" i="1" s="1"/>
  <c r="X710" i="1"/>
  <c r="AF710" i="1" s="1"/>
  <c r="Y710" i="1"/>
  <c r="AG710" i="1" s="1"/>
  <c r="Z710" i="1"/>
  <c r="AA710" i="1"/>
  <c r="AB710" i="1"/>
  <c r="W395" i="1"/>
  <c r="AE395" i="1" s="1"/>
  <c r="X395" i="1"/>
  <c r="AF395" i="1" s="1"/>
  <c r="Y395" i="1"/>
  <c r="AG395" i="1" s="1"/>
  <c r="Z395" i="1"/>
  <c r="AA395" i="1"/>
  <c r="AB395" i="1"/>
  <c r="W396" i="1"/>
  <c r="AE396" i="1" s="1"/>
  <c r="X396" i="1"/>
  <c r="AF396" i="1" s="1"/>
  <c r="Y396" i="1"/>
  <c r="AG396" i="1" s="1"/>
  <c r="Z396" i="1"/>
  <c r="AA396" i="1"/>
  <c r="AB396" i="1"/>
  <c r="W397" i="1"/>
  <c r="AE397" i="1" s="1"/>
  <c r="X397" i="1"/>
  <c r="AF397" i="1" s="1"/>
  <c r="Y397" i="1"/>
  <c r="AG397" i="1" s="1"/>
  <c r="Z397" i="1"/>
  <c r="AA397" i="1"/>
  <c r="AB397" i="1"/>
  <c r="W398" i="1"/>
  <c r="AE398" i="1" s="1"/>
  <c r="X398" i="1"/>
  <c r="AF398" i="1" s="1"/>
  <c r="Y398" i="1"/>
  <c r="AG398" i="1" s="1"/>
  <c r="Z398" i="1"/>
  <c r="AA398" i="1"/>
  <c r="AB398" i="1"/>
  <c r="W399" i="1"/>
  <c r="AE399" i="1" s="1"/>
  <c r="X399" i="1"/>
  <c r="AF399" i="1" s="1"/>
  <c r="Y399" i="1"/>
  <c r="AG399" i="1" s="1"/>
  <c r="Z399" i="1"/>
  <c r="AA399" i="1"/>
  <c r="AB399" i="1"/>
  <c r="W711" i="1"/>
  <c r="AE711" i="1" s="1"/>
  <c r="X711" i="1"/>
  <c r="AF711" i="1" s="1"/>
  <c r="Y711" i="1"/>
  <c r="AG711" i="1" s="1"/>
  <c r="Z711" i="1"/>
  <c r="AA711" i="1"/>
  <c r="AB711" i="1"/>
  <c r="W400" i="1"/>
  <c r="AE400" i="1" s="1"/>
  <c r="X400" i="1"/>
  <c r="AF400" i="1" s="1"/>
  <c r="Y400" i="1"/>
  <c r="AG400" i="1" s="1"/>
  <c r="Z400" i="1"/>
  <c r="AA400" i="1"/>
  <c r="AB400" i="1"/>
  <c r="W401" i="1"/>
  <c r="AE401" i="1" s="1"/>
  <c r="X401" i="1"/>
  <c r="AF401" i="1" s="1"/>
  <c r="Y401" i="1"/>
  <c r="AG401" i="1" s="1"/>
  <c r="Z401" i="1"/>
  <c r="AA401" i="1"/>
  <c r="AB401" i="1"/>
  <c r="W402" i="1"/>
  <c r="AE402" i="1" s="1"/>
  <c r="X402" i="1"/>
  <c r="AF402" i="1" s="1"/>
  <c r="Y402" i="1"/>
  <c r="AG402" i="1" s="1"/>
  <c r="Z402" i="1"/>
  <c r="AA402" i="1"/>
  <c r="AB402" i="1"/>
  <c r="W403" i="1"/>
  <c r="AE403" i="1" s="1"/>
  <c r="X403" i="1"/>
  <c r="AF403" i="1" s="1"/>
  <c r="Y403" i="1"/>
  <c r="AG403" i="1" s="1"/>
  <c r="Z403" i="1"/>
  <c r="AA403" i="1"/>
  <c r="AB403" i="1"/>
  <c r="W404" i="1"/>
  <c r="AE404" i="1" s="1"/>
  <c r="X404" i="1"/>
  <c r="AF404" i="1" s="1"/>
  <c r="Y404" i="1"/>
  <c r="AG404" i="1" s="1"/>
  <c r="Z404" i="1"/>
  <c r="AA404" i="1"/>
  <c r="AB404" i="1"/>
  <c r="W405" i="1"/>
  <c r="AE405" i="1" s="1"/>
  <c r="X405" i="1"/>
  <c r="AF405" i="1" s="1"/>
  <c r="Y405" i="1"/>
  <c r="AG405" i="1" s="1"/>
  <c r="Z405" i="1"/>
  <c r="AA405" i="1"/>
  <c r="AB405" i="1"/>
  <c r="W406" i="1"/>
  <c r="AE406" i="1" s="1"/>
  <c r="X406" i="1"/>
  <c r="AF406" i="1" s="1"/>
  <c r="Y406" i="1"/>
  <c r="AG406" i="1" s="1"/>
  <c r="Z406" i="1"/>
  <c r="AA406" i="1"/>
  <c r="AB406" i="1"/>
  <c r="W407" i="1"/>
  <c r="AE407" i="1" s="1"/>
  <c r="X407" i="1"/>
  <c r="AF407" i="1" s="1"/>
  <c r="Y407" i="1"/>
  <c r="AG407" i="1" s="1"/>
  <c r="Z407" i="1"/>
  <c r="AA407" i="1"/>
  <c r="AB407" i="1"/>
  <c r="W408" i="1"/>
  <c r="AE408" i="1" s="1"/>
  <c r="X408" i="1"/>
  <c r="AF408" i="1" s="1"/>
  <c r="Y408" i="1"/>
  <c r="AG408" i="1" s="1"/>
  <c r="Z408" i="1"/>
  <c r="AA408" i="1"/>
  <c r="AB408" i="1"/>
  <c r="W409" i="1"/>
  <c r="AE409" i="1" s="1"/>
  <c r="X409" i="1"/>
  <c r="AF409" i="1" s="1"/>
  <c r="Y409" i="1"/>
  <c r="AG409" i="1" s="1"/>
  <c r="Z409" i="1"/>
  <c r="AA409" i="1"/>
  <c r="AB409" i="1"/>
  <c r="W410" i="1"/>
  <c r="AE410" i="1" s="1"/>
  <c r="X410" i="1"/>
  <c r="AF410" i="1" s="1"/>
  <c r="Y410" i="1"/>
  <c r="AG410" i="1" s="1"/>
  <c r="Z410" i="1"/>
  <c r="AA410" i="1"/>
  <c r="AB410" i="1"/>
  <c r="W411" i="1"/>
  <c r="AE411" i="1" s="1"/>
  <c r="X411" i="1"/>
  <c r="AF411" i="1" s="1"/>
  <c r="Y411" i="1"/>
  <c r="AG411" i="1" s="1"/>
  <c r="Z411" i="1"/>
  <c r="AA411" i="1"/>
  <c r="AB411" i="1"/>
  <c r="W412" i="1"/>
  <c r="AE412" i="1" s="1"/>
  <c r="X412" i="1"/>
  <c r="AF412" i="1" s="1"/>
  <c r="Y412" i="1"/>
  <c r="AG412" i="1" s="1"/>
  <c r="Z412" i="1"/>
  <c r="AA412" i="1"/>
  <c r="AB412" i="1"/>
  <c r="W413" i="1"/>
  <c r="AE413" i="1" s="1"/>
  <c r="X413" i="1"/>
  <c r="AF413" i="1" s="1"/>
  <c r="Y413" i="1"/>
  <c r="AG413" i="1" s="1"/>
  <c r="Z413" i="1"/>
  <c r="AA413" i="1"/>
  <c r="AB413" i="1"/>
  <c r="W414" i="1"/>
  <c r="AE414" i="1" s="1"/>
  <c r="X414" i="1"/>
  <c r="AF414" i="1" s="1"/>
  <c r="Y414" i="1"/>
  <c r="AG414" i="1" s="1"/>
  <c r="Z414" i="1"/>
  <c r="AA414" i="1"/>
  <c r="AB414" i="1"/>
  <c r="W415" i="1"/>
  <c r="AE415" i="1" s="1"/>
  <c r="X415" i="1"/>
  <c r="AF415" i="1" s="1"/>
  <c r="Y415" i="1"/>
  <c r="AG415" i="1" s="1"/>
  <c r="Z415" i="1"/>
  <c r="AA415" i="1"/>
  <c r="AB415" i="1"/>
  <c r="W416" i="1"/>
  <c r="AE416" i="1" s="1"/>
  <c r="X416" i="1"/>
  <c r="AF416" i="1" s="1"/>
  <c r="Y416" i="1"/>
  <c r="AG416" i="1" s="1"/>
  <c r="Z416" i="1"/>
  <c r="AA416" i="1"/>
  <c r="AB416" i="1"/>
  <c r="W712" i="1"/>
  <c r="AE712" i="1" s="1"/>
  <c r="X712" i="1"/>
  <c r="AF712" i="1" s="1"/>
  <c r="Y712" i="1"/>
  <c r="AG712" i="1" s="1"/>
  <c r="Z712" i="1"/>
  <c r="AA712" i="1"/>
  <c r="AB712" i="1"/>
  <c r="W417" i="1"/>
  <c r="AE417" i="1" s="1"/>
  <c r="X417" i="1"/>
  <c r="AF417" i="1" s="1"/>
  <c r="Y417" i="1"/>
  <c r="AG417" i="1" s="1"/>
  <c r="Z417" i="1"/>
  <c r="AA417" i="1"/>
  <c r="AB417" i="1"/>
  <c r="W418" i="1"/>
  <c r="AE418" i="1" s="1"/>
  <c r="X418" i="1"/>
  <c r="AF418" i="1" s="1"/>
  <c r="Y418" i="1"/>
  <c r="AG418" i="1" s="1"/>
  <c r="Z418" i="1"/>
  <c r="AA418" i="1"/>
  <c r="AB418" i="1"/>
  <c r="W713" i="1"/>
  <c r="AE713" i="1" s="1"/>
  <c r="X713" i="1"/>
  <c r="AF713" i="1" s="1"/>
  <c r="Y713" i="1"/>
  <c r="AG713" i="1" s="1"/>
  <c r="Z713" i="1"/>
  <c r="AA713" i="1"/>
  <c r="AB713" i="1"/>
  <c r="W419" i="1"/>
  <c r="AE419" i="1" s="1"/>
  <c r="X419" i="1"/>
  <c r="AF419" i="1" s="1"/>
  <c r="Y419" i="1"/>
  <c r="AG419" i="1" s="1"/>
  <c r="Z419" i="1"/>
  <c r="AA419" i="1"/>
  <c r="AB419" i="1"/>
  <c r="W420" i="1"/>
  <c r="AE420" i="1" s="1"/>
  <c r="X420" i="1"/>
  <c r="AF420" i="1" s="1"/>
  <c r="Y420" i="1"/>
  <c r="AG420" i="1" s="1"/>
  <c r="Z420" i="1"/>
  <c r="AA420" i="1"/>
  <c r="AB420" i="1"/>
  <c r="W421" i="1"/>
  <c r="AE421" i="1" s="1"/>
  <c r="X421" i="1"/>
  <c r="AF421" i="1" s="1"/>
  <c r="Y421" i="1"/>
  <c r="AG421" i="1" s="1"/>
  <c r="Z421" i="1"/>
  <c r="AA421" i="1"/>
  <c r="AB421" i="1"/>
  <c r="W422" i="1"/>
  <c r="AE422" i="1" s="1"/>
  <c r="X422" i="1"/>
  <c r="AF422" i="1" s="1"/>
  <c r="Y422" i="1"/>
  <c r="AG422" i="1" s="1"/>
  <c r="Z422" i="1"/>
  <c r="AA422" i="1"/>
  <c r="AB422" i="1"/>
  <c r="W423" i="1"/>
  <c r="AE423" i="1" s="1"/>
  <c r="X423" i="1"/>
  <c r="AF423" i="1" s="1"/>
  <c r="Y423" i="1"/>
  <c r="AG423" i="1" s="1"/>
  <c r="Z423" i="1"/>
  <c r="AA423" i="1"/>
  <c r="AB423" i="1"/>
  <c r="W424" i="1"/>
  <c r="AE424" i="1" s="1"/>
  <c r="X424" i="1"/>
  <c r="AF424" i="1" s="1"/>
  <c r="Y424" i="1"/>
  <c r="AG424" i="1" s="1"/>
  <c r="Z424" i="1"/>
  <c r="AA424" i="1"/>
  <c r="AB424" i="1"/>
  <c r="W425" i="1"/>
  <c r="AE425" i="1" s="1"/>
  <c r="X425" i="1"/>
  <c r="AF425" i="1" s="1"/>
  <c r="Y425" i="1"/>
  <c r="AG425" i="1" s="1"/>
  <c r="Z425" i="1"/>
  <c r="AA425" i="1"/>
  <c r="AB425" i="1"/>
  <c r="W426" i="1"/>
  <c r="AE426" i="1" s="1"/>
  <c r="X426" i="1"/>
  <c r="AF426" i="1" s="1"/>
  <c r="Y426" i="1"/>
  <c r="AG426" i="1" s="1"/>
  <c r="Z426" i="1"/>
  <c r="AA426" i="1"/>
  <c r="AB426" i="1"/>
  <c r="W714" i="1"/>
  <c r="AE714" i="1" s="1"/>
  <c r="X714" i="1"/>
  <c r="AF714" i="1" s="1"/>
  <c r="Y714" i="1"/>
  <c r="AG714" i="1" s="1"/>
  <c r="Z714" i="1"/>
  <c r="AA714" i="1"/>
  <c r="AB714" i="1"/>
  <c r="W427" i="1"/>
  <c r="AE427" i="1" s="1"/>
  <c r="X427" i="1"/>
  <c r="AF427" i="1" s="1"/>
  <c r="Y427" i="1"/>
  <c r="AG427" i="1" s="1"/>
  <c r="Z427" i="1"/>
  <c r="AA427" i="1"/>
  <c r="AB427" i="1"/>
  <c r="W428" i="1"/>
  <c r="AE428" i="1" s="1"/>
  <c r="X428" i="1"/>
  <c r="AF428" i="1" s="1"/>
  <c r="Y428" i="1"/>
  <c r="AG428" i="1" s="1"/>
  <c r="Z428" i="1"/>
  <c r="AA428" i="1"/>
  <c r="AB428" i="1"/>
  <c r="W429" i="1"/>
  <c r="AE429" i="1" s="1"/>
  <c r="X429" i="1"/>
  <c r="AF429" i="1" s="1"/>
  <c r="Y429" i="1"/>
  <c r="AG429" i="1" s="1"/>
  <c r="Z429" i="1"/>
  <c r="AA429" i="1"/>
  <c r="AB429" i="1"/>
  <c r="W430" i="1"/>
  <c r="AE430" i="1" s="1"/>
  <c r="X430" i="1"/>
  <c r="AF430" i="1" s="1"/>
  <c r="Y430" i="1"/>
  <c r="AG430" i="1" s="1"/>
  <c r="Z430" i="1"/>
  <c r="AA430" i="1"/>
  <c r="AB430" i="1"/>
  <c r="W431" i="1"/>
  <c r="AE431" i="1" s="1"/>
  <c r="X431" i="1"/>
  <c r="AF431" i="1" s="1"/>
  <c r="Y431" i="1"/>
  <c r="AG431" i="1" s="1"/>
  <c r="Z431" i="1"/>
  <c r="AA431" i="1"/>
  <c r="AB431" i="1"/>
  <c r="W432" i="1"/>
  <c r="AE432" i="1" s="1"/>
  <c r="X432" i="1"/>
  <c r="AF432" i="1" s="1"/>
  <c r="Y432" i="1"/>
  <c r="AG432" i="1" s="1"/>
  <c r="Z432" i="1"/>
  <c r="AA432" i="1"/>
  <c r="AB432" i="1"/>
  <c r="W433" i="1"/>
  <c r="AE433" i="1" s="1"/>
  <c r="X433" i="1"/>
  <c r="AF433" i="1" s="1"/>
  <c r="Y433" i="1"/>
  <c r="AG433" i="1" s="1"/>
  <c r="Z433" i="1"/>
  <c r="AA433" i="1"/>
  <c r="AB433" i="1"/>
  <c r="W715" i="1"/>
  <c r="AE715" i="1" s="1"/>
  <c r="X715" i="1"/>
  <c r="AF715" i="1" s="1"/>
  <c r="Y715" i="1"/>
  <c r="AG715" i="1" s="1"/>
  <c r="Z715" i="1"/>
  <c r="AA715" i="1"/>
  <c r="AB715" i="1"/>
  <c r="W434" i="1"/>
  <c r="AE434" i="1" s="1"/>
  <c r="X434" i="1"/>
  <c r="AF434" i="1" s="1"/>
  <c r="Y434" i="1"/>
  <c r="AG434" i="1" s="1"/>
  <c r="Z434" i="1"/>
  <c r="AA434" i="1"/>
  <c r="AB434" i="1"/>
  <c r="W435" i="1"/>
  <c r="AE435" i="1" s="1"/>
  <c r="X435" i="1"/>
  <c r="AF435" i="1" s="1"/>
  <c r="Y435" i="1"/>
  <c r="AG435" i="1" s="1"/>
  <c r="Z435" i="1"/>
  <c r="AA435" i="1"/>
  <c r="AB435" i="1"/>
  <c r="W436" i="1"/>
  <c r="AE436" i="1" s="1"/>
  <c r="X436" i="1"/>
  <c r="AF436" i="1" s="1"/>
  <c r="Y436" i="1"/>
  <c r="AG436" i="1" s="1"/>
  <c r="Z436" i="1"/>
  <c r="AA436" i="1"/>
  <c r="AB436" i="1"/>
  <c r="W716" i="1"/>
  <c r="AE716" i="1" s="1"/>
  <c r="X716" i="1"/>
  <c r="AF716" i="1" s="1"/>
  <c r="Y716" i="1"/>
  <c r="AG716" i="1" s="1"/>
  <c r="Z716" i="1"/>
  <c r="AA716" i="1"/>
  <c r="AB716" i="1"/>
  <c r="W437" i="1"/>
  <c r="AE437" i="1" s="1"/>
  <c r="X437" i="1"/>
  <c r="AF437" i="1" s="1"/>
  <c r="Y437" i="1"/>
  <c r="AG437" i="1" s="1"/>
  <c r="Z437" i="1"/>
  <c r="AA437" i="1"/>
  <c r="AB437" i="1"/>
  <c r="W438" i="1"/>
  <c r="AE438" i="1" s="1"/>
  <c r="X438" i="1"/>
  <c r="AF438" i="1" s="1"/>
  <c r="Y438" i="1"/>
  <c r="AG438" i="1" s="1"/>
  <c r="Z438" i="1"/>
  <c r="AA438" i="1"/>
  <c r="AB438" i="1"/>
  <c r="W439" i="1"/>
  <c r="AE439" i="1" s="1"/>
  <c r="X439" i="1"/>
  <c r="AF439" i="1" s="1"/>
  <c r="Y439" i="1"/>
  <c r="AG439" i="1" s="1"/>
  <c r="Z439" i="1"/>
  <c r="AA439" i="1"/>
  <c r="AB439" i="1"/>
  <c r="W440" i="1"/>
  <c r="AE440" i="1" s="1"/>
  <c r="X440" i="1"/>
  <c r="AF440" i="1" s="1"/>
  <c r="Y440" i="1"/>
  <c r="AG440" i="1" s="1"/>
  <c r="Z440" i="1"/>
  <c r="AA440" i="1"/>
  <c r="AB440" i="1"/>
  <c r="W441" i="1"/>
  <c r="AE441" i="1" s="1"/>
  <c r="X441" i="1"/>
  <c r="AF441" i="1" s="1"/>
  <c r="Y441" i="1"/>
  <c r="AG441" i="1" s="1"/>
  <c r="Z441" i="1"/>
  <c r="AA441" i="1"/>
  <c r="AB441" i="1"/>
  <c r="W442" i="1"/>
  <c r="AE442" i="1" s="1"/>
  <c r="X442" i="1"/>
  <c r="AF442" i="1" s="1"/>
  <c r="Y442" i="1"/>
  <c r="AG442" i="1" s="1"/>
  <c r="Z442" i="1"/>
  <c r="AA442" i="1"/>
  <c r="AB442" i="1"/>
  <c r="W717" i="1"/>
  <c r="AE717" i="1" s="1"/>
  <c r="X717" i="1"/>
  <c r="AF717" i="1" s="1"/>
  <c r="Y717" i="1"/>
  <c r="AG717" i="1" s="1"/>
  <c r="Z717" i="1"/>
  <c r="AA717" i="1"/>
  <c r="AB717" i="1"/>
  <c r="W718" i="1"/>
  <c r="AE718" i="1" s="1"/>
  <c r="X718" i="1"/>
  <c r="AF718" i="1" s="1"/>
  <c r="Y718" i="1"/>
  <c r="AG718" i="1" s="1"/>
  <c r="Z718" i="1"/>
  <c r="AA718" i="1"/>
  <c r="AB718" i="1"/>
  <c r="W719" i="1"/>
  <c r="AE719" i="1" s="1"/>
  <c r="X719" i="1"/>
  <c r="AF719" i="1" s="1"/>
  <c r="Y719" i="1"/>
  <c r="AG719" i="1" s="1"/>
  <c r="Z719" i="1"/>
  <c r="AA719" i="1"/>
  <c r="AB719" i="1"/>
  <c r="W443" i="1"/>
  <c r="AE443" i="1" s="1"/>
  <c r="X443" i="1"/>
  <c r="AF443" i="1" s="1"/>
  <c r="Y443" i="1"/>
  <c r="AG443" i="1" s="1"/>
  <c r="Z443" i="1"/>
  <c r="AA443" i="1"/>
  <c r="AB443" i="1"/>
  <c r="W444" i="1"/>
  <c r="AE444" i="1" s="1"/>
  <c r="X444" i="1"/>
  <c r="AF444" i="1" s="1"/>
  <c r="Y444" i="1"/>
  <c r="AG444" i="1" s="1"/>
  <c r="Z444" i="1"/>
  <c r="AA444" i="1"/>
  <c r="AB444" i="1"/>
  <c r="W720" i="1"/>
  <c r="AE720" i="1" s="1"/>
  <c r="X720" i="1"/>
  <c r="AF720" i="1" s="1"/>
  <c r="Y720" i="1"/>
  <c r="AG720" i="1" s="1"/>
  <c r="Z720" i="1"/>
  <c r="AA720" i="1"/>
  <c r="AB720" i="1"/>
  <c r="W445" i="1"/>
  <c r="AE445" i="1" s="1"/>
  <c r="X445" i="1"/>
  <c r="AF445" i="1" s="1"/>
  <c r="Y445" i="1"/>
  <c r="AG445" i="1" s="1"/>
  <c r="Z445" i="1"/>
  <c r="AA445" i="1"/>
  <c r="AB445" i="1"/>
  <c r="W446" i="1"/>
  <c r="AE446" i="1" s="1"/>
  <c r="X446" i="1"/>
  <c r="AF446" i="1" s="1"/>
  <c r="Y446" i="1"/>
  <c r="AG446" i="1" s="1"/>
  <c r="Z446" i="1"/>
  <c r="AA446" i="1"/>
  <c r="AB446" i="1"/>
  <c r="W447" i="1"/>
  <c r="AE447" i="1" s="1"/>
  <c r="X447" i="1"/>
  <c r="AF447" i="1" s="1"/>
  <c r="Y447" i="1"/>
  <c r="AG447" i="1" s="1"/>
  <c r="Z447" i="1"/>
  <c r="AA447" i="1"/>
  <c r="AB447" i="1"/>
  <c r="W448" i="1"/>
  <c r="AE448" i="1" s="1"/>
  <c r="X448" i="1"/>
  <c r="AF448" i="1" s="1"/>
  <c r="Y448" i="1"/>
  <c r="AG448" i="1" s="1"/>
  <c r="Z448" i="1"/>
  <c r="AA448" i="1"/>
  <c r="AB448" i="1"/>
  <c r="W449" i="1"/>
  <c r="AE449" i="1" s="1"/>
  <c r="X449" i="1"/>
  <c r="AF449" i="1" s="1"/>
  <c r="Y449" i="1"/>
  <c r="AG449" i="1" s="1"/>
  <c r="Z449" i="1"/>
  <c r="AA449" i="1"/>
  <c r="AB449" i="1"/>
  <c r="W450" i="1"/>
  <c r="AE450" i="1" s="1"/>
  <c r="X450" i="1"/>
  <c r="AF450" i="1" s="1"/>
  <c r="Y450" i="1"/>
  <c r="AG450" i="1" s="1"/>
  <c r="Z450" i="1"/>
  <c r="AA450" i="1"/>
  <c r="AB450" i="1"/>
  <c r="W721" i="1"/>
  <c r="AE721" i="1" s="1"/>
  <c r="X721" i="1"/>
  <c r="AF721" i="1" s="1"/>
  <c r="Y721" i="1"/>
  <c r="AG721" i="1" s="1"/>
  <c r="Z721" i="1"/>
  <c r="AA721" i="1"/>
  <c r="AB721" i="1"/>
  <c r="W722" i="1"/>
  <c r="AE722" i="1" s="1"/>
  <c r="X722" i="1"/>
  <c r="AF722" i="1" s="1"/>
  <c r="Y722" i="1"/>
  <c r="AG722" i="1" s="1"/>
  <c r="Z722" i="1"/>
  <c r="AA722" i="1"/>
  <c r="AB722" i="1"/>
  <c r="W451" i="1"/>
  <c r="AE451" i="1" s="1"/>
  <c r="X451" i="1"/>
  <c r="AF451" i="1" s="1"/>
  <c r="Y451" i="1"/>
  <c r="AG451" i="1" s="1"/>
  <c r="Z451" i="1"/>
  <c r="AA451" i="1"/>
  <c r="AB451" i="1"/>
  <c r="W452" i="1"/>
  <c r="AE452" i="1" s="1"/>
  <c r="X452" i="1"/>
  <c r="AF452" i="1" s="1"/>
  <c r="Y452" i="1"/>
  <c r="AG452" i="1" s="1"/>
  <c r="Z452" i="1"/>
  <c r="AA452" i="1"/>
  <c r="AB452" i="1"/>
  <c r="W453" i="1"/>
  <c r="AE453" i="1" s="1"/>
  <c r="X453" i="1"/>
  <c r="AF453" i="1" s="1"/>
  <c r="Y453" i="1"/>
  <c r="AG453" i="1" s="1"/>
  <c r="Z453" i="1"/>
  <c r="AA453" i="1"/>
  <c r="AB453" i="1"/>
  <c r="W454" i="1"/>
  <c r="AE454" i="1" s="1"/>
  <c r="X454" i="1"/>
  <c r="AF454" i="1" s="1"/>
  <c r="Y454" i="1"/>
  <c r="AG454" i="1" s="1"/>
  <c r="Z454" i="1"/>
  <c r="AA454" i="1"/>
  <c r="AB454" i="1"/>
  <c r="W455" i="1"/>
  <c r="AE455" i="1" s="1"/>
  <c r="X455" i="1"/>
  <c r="AF455" i="1" s="1"/>
  <c r="Y455" i="1"/>
  <c r="AG455" i="1" s="1"/>
  <c r="Z455" i="1"/>
  <c r="AA455" i="1"/>
  <c r="AB455" i="1"/>
  <c r="W456" i="1"/>
  <c r="AE456" i="1" s="1"/>
  <c r="X456" i="1"/>
  <c r="AF456" i="1" s="1"/>
  <c r="Y456" i="1"/>
  <c r="AG456" i="1" s="1"/>
  <c r="Z456" i="1"/>
  <c r="AA456" i="1"/>
  <c r="AB456" i="1"/>
  <c r="W457" i="1"/>
  <c r="AE457" i="1" s="1"/>
  <c r="X457" i="1"/>
  <c r="AF457" i="1" s="1"/>
  <c r="Y457" i="1"/>
  <c r="AG457" i="1" s="1"/>
  <c r="Z457" i="1"/>
  <c r="AA457" i="1"/>
  <c r="AB457" i="1"/>
  <c r="W723" i="1"/>
  <c r="AE723" i="1" s="1"/>
  <c r="X723" i="1"/>
  <c r="AF723" i="1" s="1"/>
  <c r="Y723" i="1"/>
  <c r="AG723" i="1" s="1"/>
  <c r="Z723" i="1"/>
  <c r="AA723" i="1"/>
  <c r="AB723" i="1"/>
  <c r="W458" i="1"/>
  <c r="AE458" i="1" s="1"/>
  <c r="X458" i="1"/>
  <c r="AF458" i="1" s="1"/>
  <c r="Y458" i="1"/>
  <c r="AG458" i="1" s="1"/>
  <c r="Z458" i="1"/>
  <c r="AA458" i="1"/>
  <c r="AB458" i="1"/>
  <c r="W459" i="1"/>
  <c r="AE459" i="1" s="1"/>
  <c r="X459" i="1"/>
  <c r="AF459" i="1" s="1"/>
  <c r="Y459" i="1"/>
  <c r="AG459" i="1" s="1"/>
  <c r="Z459" i="1"/>
  <c r="AA459" i="1"/>
  <c r="AB459" i="1"/>
  <c r="W460" i="1"/>
  <c r="AE460" i="1" s="1"/>
  <c r="X460" i="1"/>
  <c r="AF460" i="1" s="1"/>
  <c r="Y460" i="1"/>
  <c r="AG460" i="1" s="1"/>
  <c r="Z460" i="1"/>
  <c r="AA460" i="1"/>
  <c r="AB460" i="1"/>
  <c r="W461" i="1"/>
  <c r="AE461" i="1" s="1"/>
  <c r="X461" i="1"/>
  <c r="AF461" i="1" s="1"/>
  <c r="Y461" i="1"/>
  <c r="AG461" i="1" s="1"/>
  <c r="Z461" i="1"/>
  <c r="AA461" i="1"/>
  <c r="AB461" i="1"/>
  <c r="W462" i="1"/>
  <c r="AE462" i="1" s="1"/>
  <c r="X462" i="1"/>
  <c r="AF462" i="1" s="1"/>
  <c r="Y462" i="1"/>
  <c r="AG462" i="1" s="1"/>
  <c r="Z462" i="1"/>
  <c r="AA462" i="1"/>
  <c r="AB462" i="1"/>
  <c r="W463" i="1"/>
  <c r="AE463" i="1" s="1"/>
  <c r="X463" i="1"/>
  <c r="AF463" i="1" s="1"/>
  <c r="Y463" i="1"/>
  <c r="AG463" i="1" s="1"/>
  <c r="Z463" i="1"/>
  <c r="AA463" i="1"/>
  <c r="AB463" i="1"/>
  <c r="W724" i="1"/>
  <c r="AE724" i="1" s="1"/>
  <c r="X724" i="1"/>
  <c r="AF724" i="1" s="1"/>
  <c r="Y724" i="1"/>
  <c r="AG724" i="1" s="1"/>
  <c r="Z724" i="1"/>
  <c r="AA724" i="1"/>
  <c r="AB724" i="1"/>
  <c r="W464" i="1"/>
  <c r="AE464" i="1" s="1"/>
  <c r="X464" i="1"/>
  <c r="AF464" i="1" s="1"/>
  <c r="Y464" i="1"/>
  <c r="AG464" i="1" s="1"/>
  <c r="Z464" i="1"/>
  <c r="AA464" i="1"/>
  <c r="AB464" i="1"/>
  <c r="W465" i="1"/>
  <c r="AE465" i="1" s="1"/>
  <c r="X465" i="1"/>
  <c r="AF465" i="1" s="1"/>
  <c r="Y465" i="1"/>
  <c r="AG465" i="1" s="1"/>
  <c r="Z465" i="1"/>
  <c r="AA465" i="1"/>
  <c r="AB465" i="1"/>
  <c r="W466" i="1"/>
  <c r="AE466" i="1" s="1"/>
  <c r="X466" i="1"/>
  <c r="AF466" i="1" s="1"/>
  <c r="Y466" i="1"/>
  <c r="AG466" i="1" s="1"/>
  <c r="Z466" i="1"/>
  <c r="AA466" i="1"/>
  <c r="AB466" i="1"/>
  <c r="W9" i="1"/>
  <c r="AE9" i="1" s="1"/>
  <c r="X9" i="1"/>
  <c r="AF9" i="1" s="1"/>
  <c r="Y9" i="1"/>
  <c r="AG9" i="1" s="1"/>
  <c r="Z9" i="1"/>
  <c r="AA9" i="1"/>
  <c r="AB9" i="1"/>
  <c r="W467" i="1"/>
  <c r="AE467" i="1" s="1"/>
  <c r="X467" i="1"/>
  <c r="AF467" i="1" s="1"/>
  <c r="Y467" i="1"/>
  <c r="AG467" i="1" s="1"/>
  <c r="Z467" i="1"/>
  <c r="AA467" i="1"/>
  <c r="AB467" i="1"/>
  <c r="W468" i="1"/>
  <c r="AE468" i="1" s="1"/>
  <c r="X468" i="1"/>
  <c r="AF468" i="1" s="1"/>
  <c r="Y468" i="1"/>
  <c r="AG468" i="1" s="1"/>
  <c r="Z468" i="1"/>
  <c r="AA468" i="1"/>
  <c r="AB468" i="1"/>
  <c r="W469" i="1"/>
  <c r="AE469" i="1" s="1"/>
  <c r="X469" i="1"/>
  <c r="AF469" i="1" s="1"/>
  <c r="Y469" i="1"/>
  <c r="AG469" i="1" s="1"/>
  <c r="Z469" i="1"/>
  <c r="AA469" i="1"/>
  <c r="AB469" i="1"/>
  <c r="W470" i="1"/>
  <c r="AE470" i="1" s="1"/>
  <c r="X470" i="1"/>
  <c r="AF470" i="1" s="1"/>
  <c r="Y470" i="1"/>
  <c r="AG470" i="1" s="1"/>
  <c r="Z470" i="1"/>
  <c r="AA470" i="1"/>
  <c r="AB470" i="1"/>
  <c r="W471" i="1"/>
  <c r="AE471" i="1" s="1"/>
  <c r="X471" i="1"/>
  <c r="AF471" i="1" s="1"/>
  <c r="Y471" i="1"/>
  <c r="AG471" i="1" s="1"/>
  <c r="Z471" i="1"/>
  <c r="AA471" i="1"/>
  <c r="AB471" i="1"/>
  <c r="W472" i="1"/>
  <c r="AE472" i="1" s="1"/>
  <c r="X472" i="1"/>
  <c r="AF472" i="1" s="1"/>
  <c r="Y472" i="1"/>
  <c r="AG472" i="1" s="1"/>
  <c r="Z472" i="1"/>
  <c r="AA472" i="1"/>
  <c r="AB472" i="1"/>
  <c r="W473" i="1"/>
  <c r="AE473" i="1" s="1"/>
  <c r="X473" i="1"/>
  <c r="AF473" i="1" s="1"/>
  <c r="Y473" i="1"/>
  <c r="AG473" i="1" s="1"/>
  <c r="Z473" i="1"/>
  <c r="AA473" i="1"/>
  <c r="AB473" i="1"/>
  <c r="W474" i="1"/>
  <c r="AE474" i="1" s="1"/>
  <c r="X474" i="1"/>
  <c r="AF474" i="1" s="1"/>
  <c r="Y474" i="1"/>
  <c r="AG474" i="1" s="1"/>
  <c r="Z474" i="1"/>
  <c r="AA474" i="1"/>
  <c r="AB474" i="1"/>
  <c r="W475" i="1"/>
  <c r="AE475" i="1" s="1"/>
  <c r="X475" i="1"/>
  <c r="AF475" i="1" s="1"/>
  <c r="Y475" i="1"/>
  <c r="AG475" i="1" s="1"/>
  <c r="Z475" i="1"/>
  <c r="AA475" i="1"/>
  <c r="AB475" i="1"/>
  <c r="W476" i="1"/>
  <c r="AE476" i="1" s="1"/>
  <c r="X476" i="1"/>
  <c r="AF476" i="1" s="1"/>
  <c r="Y476" i="1"/>
  <c r="AG476" i="1" s="1"/>
  <c r="Z476" i="1"/>
  <c r="AA476" i="1"/>
  <c r="AB476" i="1"/>
  <c r="W477" i="1"/>
  <c r="AE477" i="1" s="1"/>
  <c r="X477" i="1"/>
  <c r="AF477" i="1" s="1"/>
  <c r="Y477" i="1"/>
  <c r="AG477" i="1" s="1"/>
  <c r="Z477" i="1"/>
  <c r="AA477" i="1"/>
  <c r="AB477" i="1"/>
  <c r="W725" i="1"/>
  <c r="AE725" i="1" s="1"/>
  <c r="X725" i="1"/>
  <c r="AF725" i="1" s="1"/>
  <c r="Y725" i="1"/>
  <c r="AG725" i="1" s="1"/>
  <c r="Z725" i="1"/>
  <c r="AA725" i="1"/>
  <c r="AB725" i="1"/>
  <c r="W726" i="1"/>
  <c r="AE726" i="1" s="1"/>
  <c r="X726" i="1"/>
  <c r="AF726" i="1" s="1"/>
  <c r="Y726" i="1"/>
  <c r="AG726" i="1" s="1"/>
  <c r="Z726" i="1"/>
  <c r="AA726" i="1"/>
  <c r="AB726" i="1"/>
  <c r="W478" i="1"/>
  <c r="AE478" i="1" s="1"/>
  <c r="X478" i="1"/>
  <c r="AF478" i="1" s="1"/>
  <c r="Y478" i="1"/>
  <c r="AG478" i="1" s="1"/>
  <c r="Z478" i="1"/>
  <c r="AA478" i="1"/>
  <c r="AB478" i="1"/>
  <c r="W479" i="1"/>
  <c r="AE479" i="1" s="1"/>
  <c r="X479" i="1"/>
  <c r="AF479" i="1" s="1"/>
  <c r="Y479" i="1"/>
  <c r="AG479" i="1" s="1"/>
  <c r="Z479" i="1"/>
  <c r="AA479" i="1"/>
  <c r="AB479" i="1"/>
  <c r="W480" i="1"/>
  <c r="AE480" i="1" s="1"/>
  <c r="X480" i="1"/>
  <c r="AF480" i="1" s="1"/>
  <c r="Y480" i="1"/>
  <c r="AG480" i="1" s="1"/>
  <c r="Z480" i="1"/>
  <c r="AA480" i="1"/>
  <c r="AB480" i="1"/>
  <c r="W481" i="1"/>
  <c r="AE481" i="1" s="1"/>
  <c r="X481" i="1"/>
  <c r="AF481" i="1" s="1"/>
  <c r="Y481" i="1"/>
  <c r="AG481" i="1" s="1"/>
  <c r="Z481" i="1"/>
  <c r="AA481" i="1"/>
  <c r="AB481" i="1"/>
  <c r="W482" i="1"/>
  <c r="AE482" i="1" s="1"/>
  <c r="X482" i="1"/>
  <c r="AF482" i="1" s="1"/>
  <c r="Y482" i="1"/>
  <c r="AG482" i="1" s="1"/>
  <c r="Z482" i="1"/>
  <c r="AA482" i="1"/>
  <c r="AB482" i="1"/>
  <c r="W483" i="1"/>
  <c r="AE483" i="1" s="1"/>
  <c r="X483" i="1"/>
  <c r="AF483" i="1" s="1"/>
  <c r="Y483" i="1"/>
  <c r="AG483" i="1" s="1"/>
  <c r="Z483" i="1"/>
  <c r="AA483" i="1"/>
  <c r="AB483" i="1"/>
  <c r="W484" i="1"/>
  <c r="AE484" i="1" s="1"/>
  <c r="X484" i="1"/>
  <c r="AF484" i="1" s="1"/>
  <c r="Y484" i="1"/>
  <c r="AG484" i="1" s="1"/>
  <c r="Z484" i="1"/>
  <c r="AA484" i="1"/>
  <c r="AB484" i="1"/>
  <c r="W485" i="1"/>
  <c r="AE485" i="1" s="1"/>
  <c r="X485" i="1"/>
  <c r="AF485" i="1" s="1"/>
  <c r="Y485" i="1"/>
  <c r="AG485" i="1" s="1"/>
  <c r="Z485" i="1"/>
  <c r="AA485" i="1"/>
  <c r="AB485" i="1"/>
  <c r="W486" i="1"/>
  <c r="AE486" i="1" s="1"/>
  <c r="X486" i="1"/>
  <c r="AF486" i="1" s="1"/>
  <c r="Y486" i="1"/>
  <c r="AG486" i="1" s="1"/>
  <c r="Z486" i="1"/>
  <c r="AA486" i="1"/>
  <c r="AB486" i="1"/>
  <c r="W727" i="1"/>
  <c r="AE727" i="1" s="1"/>
  <c r="X727" i="1"/>
  <c r="AF727" i="1" s="1"/>
  <c r="Y727" i="1"/>
  <c r="AG727" i="1" s="1"/>
  <c r="Z727" i="1"/>
  <c r="AA727" i="1"/>
  <c r="AB727" i="1"/>
  <c r="W728" i="1"/>
  <c r="AE728" i="1" s="1"/>
  <c r="X728" i="1"/>
  <c r="AF728" i="1" s="1"/>
  <c r="Y728" i="1"/>
  <c r="AG728" i="1" s="1"/>
  <c r="Z728" i="1"/>
  <c r="AA728" i="1"/>
  <c r="AB728" i="1"/>
  <c r="W487" i="1"/>
  <c r="AE487" i="1" s="1"/>
  <c r="X487" i="1"/>
  <c r="AF487" i="1" s="1"/>
  <c r="Y487" i="1"/>
  <c r="AG487" i="1" s="1"/>
  <c r="Z487" i="1"/>
  <c r="AA487" i="1"/>
  <c r="AB487" i="1"/>
  <c r="W488" i="1"/>
  <c r="AE488" i="1" s="1"/>
  <c r="X488" i="1"/>
  <c r="AF488" i="1" s="1"/>
  <c r="Y488" i="1"/>
  <c r="AG488" i="1" s="1"/>
  <c r="Z488" i="1"/>
  <c r="AA488" i="1"/>
  <c r="AB488" i="1"/>
  <c r="W489" i="1"/>
  <c r="AE489" i="1" s="1"/>
  <c r="X489" i="1"/>
  <c r="AF489" i="1" s="1"/>
  <c r="Y489" i="1"/>
  <c r="AG489" i="1" s="1"/>
  <c r="Z489" i="1"/>
  <c r="AA489" i="1"/>
  <c r="AB489" i="1"/>
  <c r="W490" i="1"/>
  <c r="AE490" i="1" s="1"/>
  <c r="X490" i="1"/>
  <c r="AF490" i="1" s="1"/>
  <c r="Y490" i="1"/>
  <c r="AG490" i="1" s="1"/>
  <c r="Z490" i="1"/>
  <c r="AA490" i="1"/>
  <c r="AB490" i="1"/>
  <c r="W491" i="1"/>
  <c r="AE491" i="1" s="1"/>
  <c r="X491" i="1"/>
  <c r="AF491" i="1" s="1"/>
  <c r="Y491" i="1"/>
  <c r="AG491" i="1" s="1"/>
  <c r="Z491" i="1"/>
  <c r="AA491" i="1"/>
  <c r="AB491" i="1"/>
  <c r="W729" i="1"/>
  <c r="AE729" i="1" s="1"/>
  <c r="X729" i="1"/>
  <c r="AF729" i="1" s="1"/>
  <c r="Y729" i="1"/>
  <c r="AG729" i="1" s="1"/>
  <c r="Z729" i="1"/>
  <c r="AA729" i="1"/>
  <c r="AB729" i="1"/>
  <c r="W492" i="1"/>
  <c r="AE492" i="1" s="1"/>
  <c r="X492" i="1"/>
  <c r="AF492" i="1" s="1"/>
  <c r="Y492" i="1"/>
  <c r="AG492" i="1" s="1"/>
  <c r="Z492" i="1"/>
  <c r="AA492" i="1"/>
  <c r="AB492" i="1"/>
  <c r="W493" i="1"/>
  <c r="AE493" i="1" s="1"/>
  <c r="X493" i="1"/>
  <c r="AF493" i="1" s="1"/>
  <c r="Y493" i="1"/>
  <c r="AG493" i="1" s="1"/>
  <c r="Z493" i="1"/>
  <c r="AA493" i="1"/>
  <c r="AB493" i="1"/>
  <c r="W494" i="1"/>
  <c r="AE494" i="1" s="1"/>
  <c r="X494" i="1"/>
  <c r="AF494" i="1" s="1"/>
  <c r="Y494" i="1"/>
  <c r="AG494" i="1" s="1"/>
  <c r="Z494" i="1"/>
  <c r="AA494" i="1"/>
  <c r="AB494" i="1"/>
  <c r="W495" i="1"/>
  <c r="AE495" i="1" s="1"/>
  <c r="X495" i="1"/>
  <c r="AF495" i="1" s="1"/>
  <c r="Y495" i="1"/>
  <c r="AG495" i="1" s="1"/>
  <c r="Z495" i="1"/>
  <c r="AA495" i="1"/>
  <c r="AB495" i="1"/>
  <c r="W496" i="1"/>
  <c r="AE496" i="1" s="1"/>
  <c r="X496" i="1"/>
  <c r="AF496" i="1" s="1"/>
  <c r="Y496" i="1"/>
  <c r="AG496" i="1" s="1"/>
  <c r="Z496" i="1"/>
  <c r="AA496" i="1"/>
  <c r="AB496" i="1"/>
  <c r="W497" i="1"/>
  <c r="AE497" i="1" s="1"/>
  <c r="X497" i="1"/>
  <c r="AF497" i="1" s="1"/>
  <c r="Y497" i="1"/>
  <c r="AG497" i="1" s="1"/>
  <c r="Z497" i="1"/>
  <c r="AA497" i="1"/>
  <c r="AB497" i="1"/>
  <c r="W498" i="1"/>
  <c r="AE498" i="1" s="1"/>
  <c r="X498" i="1"/>
  <c r="AF498" i="1" s="1"/>
  <c r="Y498" i="1"/>
  <c r="AG498" i="1" s="1"/>
  <c r="Z498" i="1"/>
  <c r="AA498" i="1"/>
  <c r="AB498" i="1"/>
  <c r="W730" i="1"/>
  <c r="AE730" i="1" s="1"/>
  <c r="X730" i="1"/>
  <c r="AF730" i="1" s="1"/>
  <c r="Y730" i="1"/>
  <c r="AG730" i="1" s="1"/>
  <c r="Z730" i="1"/>
  <c r="AA730" i="1"/>
  <c r="AB730" i="1"/>
  <c r="W499" i="1"/>
  <c r="AE499" i="1" s="1"/>
  <c r="X499" i="1"/>
  <c r="AF499" i="1" s="1"/>
  <c r="Y499" i="1"/>
  <c r="AG499" i="1" s="1"/>
  <c r="Z499" i="1"/>
  <c r="AA499" i="1"/>
  <c r="AB499" i="1"/>
  <c r="W10" i="1"/>
  <c r="AE10" i="1" s="1"/>
  <c r="X10" i="1"/>
  <c r="AF10" i="1" s="1"/>
  <c r="Y10" i="1"/>
  <c r="AG10" i="1" s="1"/>
  <c r="Z10" i="1"/>
  <c r="AA10" i="1"/>
  <c r="AB10" i="1"/>
  <c r="W500" i="1"/>
  <c r="AE500" i="1" s="1"/>
  <c r="X500" i="1"/>
  <c r="AF500" i="1" s="1"/>
  <c r="Y500" i="1"/>
  <c r="AG500" i="1" s="1"/>
  <c r="Z500" i="1"/>
  <c r="AA500" i="1"/>
  <c r="AB500" i="1"/>
  <c r="W501" i="1"/>
  <c r="AE501" i="1" s="1"/>
  <c r="X501" i="1"/>
  <c r="AF501" i="1" s="1"/>
  <c r="Y501" i="1"/>
  <c r="AG501" i="1" s="1"/>
  <c r="Z501" i="1"/>
  <c r="AA501" i="1"/>
  <c r="AB501" i="1"/>
  <c r="W731" i="1"/>
  <c r="AE731" i="1" s="1"/>
  <c r="X731" i="1"/>
  <c r="AF731" i="1" s="1"/>
  <c r="Y731" i="1"/>
  <c r="AG731" i="1" s="1"/>
  <c r="Z731" i="1"/>
  <c r="AA731" i="1"/>
  <c r="AB731" i="1"/>
  <c r="W502" i="1"/>
  <c r="AE502" i="1" s="1"/>
  <c r="X502" i="1"/>
  <c r="AF502" i="1" s="1"/>
  <c r="Y502" i="1"/>
  <c r="AG502" i="1" s="1"/>
  <c r="Z502" i="1"/>
  <c r="AA502" i="1"/>
  <c r="AB502" i="1"/>
  <c r="W732" i="1"/>
  <c r="AE732" i="1" s="1"/>
  <c r="X732" i="1"/>
  <c r="AF732" i="1" s="1"/>
  <c r="Y732" i="1"/>
  <c r="AG732" i="1" s="1"/>
  <c r="Z732" i="1"/>
  <c r="AA732" i="1"/>
  <c r="AB732" i="1"/>
  <c r="W733" i="1"/>
  <c r="AE733" i="1" s="1"/>
  <c r="X733" i="1"/>
  <c r="AF733" i="1" s="1"/>
  <c r="Y733" i="1"/>
  <c r="AG733" i="1" s="1"/>
  <c r="Z733" i="1"/>
  <c r="AA733" i="1"/>
  <c r="AB733" i="1"/>
  <c r="W734" i="1"/>
  <c r="AE734" i="1" s="1"/>
  <c r="X734" i="1"/>
  <c r="AF734" i="1" s="1"/>
  <c r="Y734" i="1"/>
  <c r="AG734" i="1" s="1"/>
  <c r="Z734" i="1"/>
  <c r="AA734" i="1"/>
  <c r="AB734" i="1"/>
  <c r="W503" i="1"/>
  <c r="AE503" i="1" s="1"/>
  <c r="X503" i="1"/>
  <c r="AF503" i="1" s="1"/>
  <c r="Y503" i="1"/>
  <c r="AG503" i="1" s="1"/>
  <c r="Z503" i="1"/>
  <c r="AA503" i="1"/>
  <c r="AB503" i="1"/>
  <c r="W504" i="1"/>
  <c r="AE504" i="1" s="1"/>
  <c r="X504" i="1"/>
  <c r="AF504" i="1" s="1"/>
  <c r="Y504" i="1"/>
  <c r="AG504" i="1" s="1"/>
  <c r="Z504" i="1"/>
  <c r="AA504" i="1"/>
  <c r="AB504" i="1"/>
  <c r="W505" i="1"/>
  <c r="AE505" i="1" s="1"/>
  <c r="X505" i="1"/>
  <c r="AF505" i="1" s="1"/>
  <c r="Y505" i="1"/>
  <c r="AG505" i="1" s="1"/>
  <c r="Z505" i="1"/>
  <c r="AA505" i="1"/>
  <c r="AB505" i="1"/>
  <c r="W506" i="1"/>
  <c r="AE506" i="1" s="1"/>
  <c r="X506" i="1"/>
  <c r="AF506" i="1" s="1"/>
  <c r="Y506" i="1"/>
  <c r="AG506" i="1" s="1"/>
  <c r="Z506" i="1"/>
  <c r="AA506" i="1"/>
  <c r="AB506" i="1"/>
  <c r="W507" i="1"/>
  <c r="AE507" i="1" s="1"/>
  <c r="X507" i="1"/>
  <c r="AF507" i="1" s="1"/>
  <c r="Y507" i="1"/>
  <c r="AG507" i="1" s="1"/>
  <c r="Z507" i="1"/>
  <c r="AA507" i="1"/>
  <c r="AB507" i="1"/>
  <c r="W508" i="1"/>
  <c r="AE508" i="1" s="1"/>
  <c r="X508" i="1"/>
  <c r="AF508" i="1" s="1"/>
  <c r="Y508" i="1"/>
  <c r="AG508" i="1" s="1"/>
  <c r="Z508" i="1"/>
  <c r="AA508" i="1"/>
  <c r="AB508" i="1"/>
  <c r="W509" i="1"/>
  <c r="AE509" i="1" s="1"/>
  <c r="X509" i="1"/>
  <c r="AF509" i="1" s="1"/>
  <c r="Y509" i="1"/>
  <c r="AG509" i="1" s="1"/>
  <c r="Z509" i="1"/>
  <c r="AA509" i="1"/>
  <c r="AB509" i="1"/>
  <c r="W510" i="1"/>
  <c r="AE510" i="1" s="1"/>
  <c r="X510" i="1"/>
  <c r="AF510" i="1" s="1"/>
  <c r="Y510" i="1"/>
  <c r="AG510" i="1" s="1"/>
  <c r="Z510" i="1"/>
  <c r="AA510" i="1"/>
  <c r="AB510" i="1"/>
  <c r="W735" i="1"/>
  <c r="AE735" i="1" s="1"/>
  <c r="X735" i="1"/>
  <c r="AF735" i="1" s="1"/>
  <c r="Y735" i="1"/>
  <c r="AG735" i="1" s="1"/>
  <c r="Z735" i="1"/>
  <c r="AA735" i="1"/>
  <c r="AB735" i="1"/>
  <c r="W511" i="1"/>
  <c r="AE511" i="1" s="1"/>
  <c r="X511" i="1"/>
  <c r="AF511" i="1" s="1"/>
  <c r="Y511" i="1"/>
  <c r="AG511" i="1" s="1"/>
  <c r="Z511" i="1"/>
  <c r="AA511" i="1"/>
  <c r="AB511" i="1"/>
  <c r="W512" i="1"/>
  <c r="AE512" i="1" s="1"/>
  <c r="X512" i="1"/>
  <c r="AF512" i="1" s="1"/>
  <c r="Y512" i="1"/>
  <c r="AG512" i="1" s="1"/>
  <c r="Z512" i="1"/>
  <c r="AA512" i="1"/>
  <c r="AB512" i="1"/>
  <c r="W513" i="1"/>
  <c r="AE513" i="1" s="1"/>
  <c r="X513" i="1"/>
  <c r="AF513" i="1" s="1"/>
  <c r="Y513" i="1"/>
  <c r="AG513" i="1" s="1"/>
  <c r="Z513" i="1"/>
  <c r="AA513" i="1"/>
  <c r="AB513" i="1"/>
  <c r="W514" i="1"/>
  <c r="AE514" i="1" s="1"/>
  <c r="X514" i="1"/>
  <c r="AF514" i="1" s="1"/>
  <c r="Y514" i="1"/>
  <c r="AG514" i="1" s="1"/>
  <c r="Z514" i="1"/>
  <c r="AA514" i="1"/>
  <c r="AB514" i="1"/>
  <c r="W515" i="1"/>
  <c r="AE515" i="1" s="1"/>
  <c r="X515" i="1"/>
  <c r="AF515" i="1" s="1"/>
  <c r="Y515" i="1"/>
  <c r="AG515" i="1" s="1"/>
  <c r="Z515" i="1"/>
  <c r="AA515" i="1"/>
  <c r="AB515" i="1"/>
  <c r="W736" i="1"/>
  <c r="AE736" i="1" s="1"/>
  <c r="X736" i="1"/>
  <c r="AF736" i="1" s="1"/>
  <c r="Y736" i="1"/>
  <c r="AG736" i="1" s="1"/>
  <c r="Z736" i="1"/>
  <c r="AA736" i="1"/>
  <c r="AB736" i="1"/>
  <c r="W516" i="1"/>
  <c r="AE516" i="1" s="1"/>
  <c r="X516" i="1"/>
  <c r="AF516" i="1" s="1"/>
  <c r="Y516" i="1"/>
  <c r="AG516" i="1" s="1"/>
  <c r="Z516" i="1"/>
  <c r="AA516" i="1"/>
  <c r="AB516" i="1"/>
  <c r="W517" i="1"/>
  <c r="AE517" i="1" s="1"/>
  <c r="X517" i="1"/>
  <c r="AF517" i="1" s="1"/>
  <c r="Y517" i="1"/>
  <c r="AG517" i="1" s="1"/>
  <c r="Z517" i="1"/>
  <c r="AA517" i="1"/>
  <c r="AB517" i="1"/>
  <c r="W518" i="1"/>
  <c r="AE518" i="1" s="1"/>
  <c r="X518" i="1"/>
  <c r="AF518" i="1" s="1"/>
  <c r="Y518" i="1"/>
  <c r="AG518" i="1" s="1"/>
  <c r="Z518" i="1"/>
  <c r="AA518" i="1"/>
  <c r="AB518" i="1"/>
  <c r="W519" i="1"/>
  <c r="AE519" i="1" s="1"/>
  <c r="X519" i="1"/>
  <c r="AF519" i="1" s="1"/>
  <c r="Y519" i="1"/>
  <c r="AG519" i="1" s="1"/>
  <c r="Z519" i="1"/>
  <c r="AA519" i="1"/>
  <c r="AB519" i="1"/>
  <c r="W520" i="1"/>
  <c r="AE520" i="1" s="1"/>
  <c r="X520" i="1"/>
  <c r="AF520" i="1" s="1"/>
  <c r="Y520" i="1"/>
  <c r="AG520" i="1" s="1"/>
  <c r="Z520" i="1"/>
  <c r="AA520" i="1"/>
  <c r="AB520" i="1"/>
  <c r="W521" i="1"/>
  <c r="AE521" i="1" s="1"/>
  <c r="X521" i="1"/>
  <c r="AF521" i="1" s="1"/>
  <c r="Y521" i="1"/>
  <c r="AG521" i="1" s="1"/>
  <c r="Z521" i="1"/>
  <c r="AA521" i="1"/>
  <c r="AB521" i="1"/>
  <c r="W522" i="1"/>
  <c r="AE522" i="1" s="1"/>
  <c r="X522" i="1"/>
  <c r="AF522" i="1" s="1"/>
  <c r="Y522" i="1"/>
  <c r="AG522" i="1" s="1"/>
  <c r="Z522" i="1"/>
  <c r="AA522" i="1"/>
  <c r="AB522" i="1"/>
  <c r="W523" i="1"/>
  <c r="AE523" i="1" s="1"/>
  <c r="X523" i="1"/>
  <c r="AF523" i="1" s="1"/>
  <c r="Y523" i="1"/>
  <c r="AG523" i="1" s="1"/>
  <c r="Z523" i="1"/>
  <c r="AA523" i="1"/>
  <c r="AB523" i="1"/>
  <c r="W524" i="1"/>
  <c r="AE524" i="1" s="1"/>
  <c r="X524" i="1"/>
  <c r="AF524" i="1" s="1"/>
  <c r="Y524" i="1"/>
  <c r="AG524" i="1" s="1"/>
  <c r="Z524" i="1"/>
  <c r="AA524" i="1"/>
  <c r="AB524" i="1"/>
  <c r="W525" i="1"/>
  <c r="AE525" i="1" s="1"/>
  <c r="X525" i="1"/>
  <c r="AF525" i="1" s="1"/>
  <c r="Y525" i="1"/>
  <c r="AG525" i="1" s="1"/>
  <c r="Z525" i="1"/>
  <c r="AA525" i="1"/>
  <c r="AB525" i="1"/>
  <c r="W526" i="1"/>
  <c r="AE526" i="1" s="1"/>
  <c r="X526" i="1"/>
  <c r="AF526" i="1" s="1"/>
  <c r="Y526" i="1"/>
  <c r="AG526" i="1" s="1"/>
  <c r="Z526" i="1"/>
  <c r="AA526" i="1"/>
  <c r="AB526" i="1"/>
  <c r="W527" i="1"/>
  <c r="AE527" i="1" s="1"/>
  <c r="X527" i="1"/>
  <c r="AF527" i="1" s="1"/>
  <c r="Y527" i="1"/>
  <c r="AG527" i="1" s="1"/>
  <c r="Z527" i="1"/>
  <c r="AA527" i="1"/>
  <c r="AB527" i="1"/>
  <c r="W528" i="1"/>
  <c r="AE528" i="1" s="1"/>
  <c r="X528" i="1"/>
  <c r="AF528" i="1" s="1"/>
  <c r="Y528" i="1"/>
  <c r="AG528" i="1" s="1"/>
  <c r="Z528" i="1"/>
  <c r="AA528" i="1"/>
  <c r="AB528" i="1"/>
  <c r="W529" i="1"/>
  <c r="AE529" i="1" s="1"/>
  <c r="X529" i="1"/>
  <c r="AF529" i="1" s="1"/>
  <c r="Y529" i="1"/>
  <c r="AG529" i="1" s="1"/>
  <c r="Z529" i="1"/>
  <c r="AA529" i="1"/>
  <c r="AB529" i="1"/>
  <c r="W737" i="1"/>
  <c r="AE737" i="1" s="1"/>
  <c r="X737" i="1"/>
  <c r="AF737" i="1" s="1"/>
  <c r="Y737" i="1"/>
  <c r="AG737" i="1" s="1"/>
  <c r="Z737" i="1"/>
  <c r="AA737" i="1"/>
  <c r="AB737" i="1"/>
  <c r="W738" i="1"/>
  <c r="AE738" i="1" s="1"/>
  <c r="X738" i="1"/>
  <c r="AF738" i="1" s="1"/>
  <c r="Y738" i="1"/>
  <c r="AG738" i="1" s="1"/>
  <c r="Z738" i="1"/>
  <c r="AA738" i="1"/>
  <c r="AB738" i="1"/>
  <c r="W530" i="1"/>
  <c r="AE530" i="1" s="1"/>
  <c r="X530" i="1"/>
  <c r="AF530" i="1" s="1"/>
  <c r="Y530" i="1"/>
  <c r="AG530" i="1" s="1"/>
  <c r="Z530" i="1"/>
  <c r="AA530" i="1"/>
  <c r="AB530" i="1"/>
  <c r="W739" i="1"/>
  <c r="AE739" i="1" s="1"/>
  <c r="X739" i="1"/>
  <c r="AF739" i="1" s="1"/>
  <c r="Y739" i="1"/>
  <c r="AG739" i="1" s="1"/>
  <c r="Z739" i="1"/>
  <c r="AA739" i="1"/>
  <c r="AB739" i="1"/>
  <c r="W531" i="1"/>
  <c r="AE531" i="1" s="1"/>
  <c r="X531" i="1"/>
  <c r="AF531" i="1" s="1"/>
  <c r="Y531" i="1"/>
  <c r="AG531" i="1" s="1"/>
  <c r="Z531" i="1"/>
  <c r="AA531" i="1"/>
  <c r="AB531" i="1"/>
  <c r="W532" i="1"/>
  <c r="AE532" i="1" s="1"/>
  <c r="X532" i="1"/>
  <c r="AF532" i="1" s="1"/>
  <c r="Y532" i="1"/>
  <c r="AG532" i="1" s="1"/>
  <c r="Z532" i="1"/>
  <c r="AA532" i="1"/>
  <c r="AB532" i="1"/>
  <c r="W533" i="1"/>
  <c r="AE533" i="1" s="1"/>
  <c r="X533" i="1"/>
  <c r="AF533" i="1" s="1"/>
  <c r="Y533" i="1"/>
  <c r="AG533" i="1" s="1"/>
  <c r="Z533" i="1"/>
  <c r="AA533" i="1"/>
  <c r="AB533" i="1"/>
  <c r="W534" i="1"/>
  <c r="AE534" i="1" s="1"/>
  <c r="X534" i="1"/>
  <c r="AF534" i="1" s="1"/>
  <c r="Y534" i="1"/>
  <c r="AG534" i="1" s="1"/>
  <c r="Z534" i="1"/>
  <c r="AA534" i="1"/>
  <c r="AB534" i="1"/>
  <c r="W535" i="1"/>
  <c r="AE535" i="1" s="1"/>
  <c r="X535" i="1"/>
  <c r="AF535" i="1" s="1"/>
  <c r="Y535" i="1"/>
  <c r="AG535" i="1" s="1"/>
  <c r="Z535" i="1"/>
  <c r="AA535" i="1"/>
  <c r="AB535" i="1"/>
  <c r="W536" i="1"/>
  <c r="AE536" i="1" s="1"/>
  <c r="X536" i="1"/>
  <c r="AF536" i="1" s="1"/>
  <c r="Y536" i="1"/>
  <c r="AG536" i="1" s="1"/>
  <c r="Z536" i="1"/>
  <c r="AA536" i="1"/>
  <c r="AB536" i="1"/>
  <c r="W537" i="1"/>
  <c r="AE537" i="1" s="1"/>
  <c r="X537" i="1"/>
  <c r="AF537" i="1" s="1"/>
  <c r="Y537" i="1"/>
  <c r="AG537" i="1" s="1"/>
  <c r="Z537" i="1"/>
  <c r="AA537" i="1"/>
  <c r="AB537" i="1"/>
  <c r="W538" i="1"/>
  <c r="AE538" i="1" s="1"/>
  <c r="X538" i="1"/>
  <c r="AF538" i="1" s="1"/>
  <c r="Y538" i="1"/>
  <c r="AG538" i="1" s="1"/>
  <c r="Z538" i="1"/>
  <c r="AA538" i="1"/>
  <c r="AB538" i="1"/>
  <c r="W539" i="1"/>
  <c r="AE539" i="1" s="1"/>
  <c r="X539" i="1"/>
  <c r="AF539" i="1" s="1"/>
  <c r="Y539" i="1"/>
  <c r="AG539" i="1" s="1"/>
  <c r="Z539" i="1"/>
  <c r="AA539" i="1"/>
  <c r="AB539" i="1"/>
  <c r="W540" i="1"/>
  <c r="AE540" i="1" s="1"/>
  <c r="X540" i="1"/>
  <c r="AF540" i="1" s="1"/>
  <c r="Y540" i="1"/>
  <c r="AG540" i="1" s="1"/>
  <c r="Z540" i="1"/>
  <c r="AA540" i="1"/>
  <c r="AB540" i="1"/>
  <c r="W541" i="1"/>
  <c r="AE541" i="1" s="1"/>
  <c r="X541" i="1"/>
  <c r="AF541" i="1" s="1"/>
  <c r="Y541" i="1"/>
  <c r="AG541" i="1" s="1"/>
  <c r="Z541" i="1"/>
  <c r="AA541" i="1"/>
  <c r="AB541" i="1"/>
  <c r="W542" i="1"/>
  <c r="AE542" i="1" s="1"/>
  <c r="X542" i="1"/>
  <c r="AF542" i="1" s="1"/>
  <c r="Y542" i="1"/>
  <c r="AG542" i="1" s="1"/>
  <c r="Z542" i="1"/>
  <c r="AA542" i="1"/>
  <c r="AB542" i="1"/>
  <c r="W543" i="1"/>
  <c r="AE543" i="1" s="1"/>
  <c r="X543" i="1"/>
  <c r="AF543" i="1" s="1"/>
  <c r="Y543" i="1"/>
  <c r="AG543" i="1" s="1"/>
  <c r="Z543" i="1"/>
  <c r="AA543" i="1"/>
  <c r="AB543" i="1"/>
  <c r="W544" i="1"/>
  <c r="AE544" i="1" s="1"/>
  <c r="X544" i="1"/>
  <c r="AF544" i="1" s="1"/>
  <c r="Y544" i="1"/>
  <c r="AG544" i="1" s="1"/>
  <c r="Z544" i="1"/>
  <c r="AA544" i="1"/>
  <c r="AB544" i="1"/>
  <c r="W545" i="1"/>
  <c r="AE545" i="1" s="1"/>
  <c r="X545" i="1"/>
  <c r="AF545" i="1" s="1"/>
  <c r="Y545" i="1"/>
  <c r="AG545" i="1" s="1"/>
  <c r="Z545" i="1"/>
  <c r="AA545" i="1"/>
  <c r="AB545" i="1"/>
  <c r="W546" i="1"/>
  <c r="AE546" i="1" s="1"/>
  <c r="X546" i="1"/>
  <c r="AF546" i="1" s="1"/>
  <c r="Y546" i="1"/>
  <c r="AG546" i="1" s="1"/>
  <c r="Z546" i="1"/>
  <c r="AA546" i="1"/>
  <c r="AB546" i="1"/>
  <c r="W547" i="1"/>
  <c r="AE547" i="1" s="1"/>
  <c r="X547" i="1"/>
  <c r="AF547" i="1" s="1"/>
  <c r="Y547" i="1"/>
  <c r="AG547" i="1" s="1"/>
  <c r="Z547" i="1"/>
  <c r="AA547" i="1"/>
  <c r="AB547" i="1"/>
  <c r="W548" i="1"/>
  <c r="AE548" i="1" s="1"/>
  <c r="X548" i="1"/>
  <c r="AF548" i="1" s="1"/>
  <c r="Y548" i="1"/>
  <c r="AG548" i="1" s="1"/>
  <c r="Z548" i="1"/>
  <c r="AA548" i="1"/>
  <c r="AB548" i="1"/>
  <c r="W549" i="1"/>
  <c r="AE549" i="1" s="1"/>
  <c r="X549" i="1"/>
  <c r="AF549" i="1" s="1"/>
  <c r="Y549" i="1"/>
  <c r="AG549" i="1" s="1"/>
  <c r="Z549" i="1"/>
  <c r="AA549" i="1"/>
  <c r="AB549" i="1"/>
  <c r="W550" i="1"/>
  <c r="AE550" i="1" s="1"/>
  <c r="X550" i="1"/>
  <c r="AF550" i="1" s="1"/>
  <c r="Y550" i="1"/>
  <c r="AG550" i="1" s="1"/>
  <c r="Z550" i="1"/>
  <c r="AA550" i="1"/>
  <c r="AB550" i="1"/>
  <c r="W551" i="1"/>
  <c r="AE551" i="1" s="1"/>
  <c r="X551" i="1"/>
  <c r="AF551" i="1" s="1"/>
  <c r="Y551" i="1"/>
  <c r="AG551" i="1" s="1"/>
  <c r="Z551" i="1"/>
  <c r="AA551" i="1"/>
  <c r="AB551" i="1"/>
  <c r="W552" i="1"/>
  <c r="AE552" i="1" s="1"/>
  <c r="X552" i="1"/>
  <c r="AF552" i="1" s="1"/>
  <c r="Y552" i="1"/>
  <c r="AG552" i="1" s="1"/>
  <c r="Z552" i="1"/>
  <c r="AA552" i="1"/>
  <c r="AB552" i="1"/>
  <c r="W553" i="1"/>
  <c r="AE553" i="1" s="1"/>
  <c r="X553" i="1"/>
  <c r="AF553" i="1" s="1"/>
  <c r="Y553" i="1"/>
  <c r="AG553" i="1" s="1"/>
  <c r="Z553" i="1"/>
  <c r="AA553" i="1"/>
  <c r="AB553" i="1"/>
  <c r="W554" i="1"/>
  <c r="AE554" i="1" s="1"/>
  <c r="X554" i="1"/>
  <c r="AF554" i="1" s="1"/>
  <c r="Y554" i="1"/>
  <c r="AG554" i="1" s="1"/>
  <c r="Z554" i="1"/>
  <c r="AA554" i="1"/>
  <c r="AB554" i="1"/>
  <c r="W555" i="1"/>
  <c r="AE555" i="1" s="1"/>
  <c r="X555" i="1"/>
  <c r="AF555" i="1" s="1"/>
  <c r="Y555" i="1"/>
  <c r="AG555" i="1" s="1"/>
  <c r="Z555" i="1"/>
  <c r="AA555" i="1"/>
  <c r="AB555" i="1"/>
  <c r="W740" i="1"/>
  <c r="AE740" i="1" s="1"/>
  <c r="X740" i="1"/>
  <c r="AF740" i="1" s="1"/>
  <c r="Y740" i="1"/>
  <c r="AG740" i="1" s="1"/>
  <c r="Z740" i="1"/>
  <c r="AA740" i="1"/>
  <c r="AB740" i="1"/>
  <c r="W741" i="1"/>
  <c r="AE741" i="1" s="1"/>
  <c r="X741" i="1"/>
  <c r="AF741" i="1" s="1"/>
  <c r="Y741" i="1"/>
  <c r="AG741" i="1" s="1"/>
  <c r="Z741" i="1"/>
  <c r="AA741" i="1"/>
  <c r="AB741" i="1"/>
  <c r="W556" i="1"/>
  <c r="AE556" i="1" s="1"/>
  <c r="X556" i="1"/>
  <c r="AF556" i="1" s="1"/>
  <c r="Y556" i="1"/>
  <c r="AG556" i="1" s="1"/>
  <c r="Z556" i="1"/>
  <c r="AA556" i="1"/>
  <c r="AB556" i="1"/>
  <c r="W742" i="1"/>
  <c r="AE742" i="1" s="1"/>
  <c r="X742" i="1"/>
  <c r="AF742" i="1" s="1"/>
  <c r="Y742" i="1"/>
  <c r="AG742" i="1" s="1"/>
  <c r="Z742" i="1"/>
  <c r="AA742" i="1"/>
  <c r="AB742" i="1"/>
  <c r="W743" i="1"/>
  <c r="AE743" i="1" s="1"/>
  <c r="X743" i="1"/>
  <c r="AF743" i="1" s="1"/>
  <c r="Y743" i="1"/>
  <c r="AG743" i="1" s="1"/>
  <c r="Z743" i="1"/>
  <c r="AA743" i="1"/>
  <c r="AB743" i="1"/>
  <c r="W557" i="1"/>
  <c r="AE557" i="1" s="1"/>
  <c r="X557" i="1"/>
  <c r="AF557" i="1" s="1"/>
  <c r="Y557" i="1"/>
  <c r="AG557" i="1" s="1"/>
  <c r="Z557" i="1"/>
  <c r="AA557" i="1"/>
  <c r="AB557" i="1"/>
  <c r="W558" i="1"/>
  <c r="AE558" i="1" s="1"/>
  <c r="X558" i="1"/>
  <c r="AF558" i="1" s="1"/>
  <c r="Y558" i="1"/>
  <c r="AG558" i="1" s="1"/>
  <c r="Z558" i="1"/>
  <c r="AA558" i="1"/>
  <c r="AB558" i="1"/>
  <c r="W744" i="1"/>
  <c r="AE744" i="1" s="1"/>
  <c r="X744" i="1"/>
  <c r="AF744" i="1" s="1"/>
  <c r="Y744" i="1"/>
  <c r="AG744" i="1" s="1"/>
  <c r="Z744" i="1"/>
  <c r="AA744" i="1"/>
  <c r="AB744" i="1"/>
  <c r="W559" i="1"/>
  <c r="AE559" i="1" s="1"/>
  <c r="X559" i="1"/>
  <c r="AF559" i="1" s="1"/>
  <c r="Y559" i="1"/>
  <c r="AG559" i="1" s="1"/>
  <c r="Z559" i="1"/>
  <c r="AA559" i="1"/>
  <c r="AB559" i="1"/>
  <c r="W745" i="1"/>
  <c r="AE745" i="1" s="1"/>
  <c r="X745" i="1"/>
  <c r="AF745" i="1" s="1"/>
  <c r="Y745" i="1"/>
  <c r="AG745" i="1" s="1"/>
  <c r="Z745" i="1"/>
  <c r="AA745" i="1"/>
  <c r="AB745" i="1"/>
  <c r="W560" i="1"/>
  <c r="AE560" i="1" s="1"/>
  <c r="X560" i="1"/>
  <c r="AF560" i="1" s="1"/>
  <c r="Y560" i="1"/>
  <c r="AG560" i="1" s="1"/>
  <c r="Z560" i="1"/>
  <c r="AA560" i="1"/>
  <c r="AB560" i="1"/>
  <c r="W561" i="1"/>
  <c r="AE561" i="1" s="1"/>
  <c r="X561" i="1"/>
  <c r="AF561" i="1" s="1"/>
  <c r="Y561" i="1"/>
  <c r="AG561" i="1" s="1"/>
  <c r="Z561" i="1"/>
  <c r="AA561" i="1"/>
  <c r="AB561" i="1"/>
  <c r="W562" i="1"/>
  <c r="AE562" i="1" s="1"/>
  <c r="X562" i="1"/>
  <c r="AF562" i="1" s="1"/>
  <c r="Y562" i="1"/>
  <c r="AG562" i="1" s="1"/>
  <c r="Z562" i="1"/>
  <c r="AA562" i="1"/>
  <c r="AB562" i="1"/>
  <c r="W563" i="1"/>
  <c r="AE563" i="1" s="1"/>
  <c r="X563" i="1"/>
  <c r="AF563" i="1" s="1"/>
  <c r="Y563" i="1"/>
  <c r="AG563" i="1" s="1"/>
  <c r="Z563" i="1"/>
  <c r="AA563" i="1"/>
  <c r="AB563" i="1"/>
  <c r="W564" i="1"/>
  <c r="AE564" i="1" s="1"/>
  <c r="X564" i="1"/>
  <c r="AF564" i="1" s="1"/>
  <c r="Y564" i="1"/>
  <c r="AG564" i="1" s="1"/>
  <c r="Z564" i="1"/>
  <c r="AA564" i="1"/>
  <c r="AB564" i="1"/>
  <c r="W565" i="1"/>
  <c r="AE565" i="1" s="1"/>
  <c r="X565" i="1"/>
  <c r="AF565" i="1" s="1"/>
  <c r="Y565" i="1"/>
  <c r="AG565" i="1" s="1"/>
  <c r="Z565" i="1"/>
  <c r="AA565" i="1"/>
  <c r="AB565" i="1"/>
  <c r="W566" i="1"/>
  <c r="AE566" i="1" s="1"/>
  <c r="X566" i="1"/>
  <c r="AF566" i="1" s="1"/>
  <c r="Y566" i="1"/>
  <c r="AG566" i="1" s="1"/>
  <c r="Z566" i="1"/>
  <c r="AA566" i="1"/>
  <c r="AB566" i="1"/>
  <c r="W567" i="1"/>
  <c r="AE567" i="1" s="1"/>
  <c r="X567" i="1"/>
  <c r="AF567" i="1" s="1"/>
  <c r="Y567" i="1"/>
  <c r="AG567" i="1" s="1"/>
  <c r="Z567" i="1"/>
  <c r="AA567" i="1"/>
  <c r="AB567" i="1"/>
  <c r="W568" i="1"/>
  <c r="AE568" i="1" s="1"/>
  <c r="X568" i="1"/>
  <c r="AF568" i="1" s="1"/>
  <c r="Y568" i="1"/>
  <c r="AG568" i="1" s="1"/>
  <c r="Z568" i="1"/>
  <c r="AA568" i="1"/>
  <c r="AB568" i="1"/>
  <c r="W569" i="1"/>
  <c r="AE569" i="1" s="1"/>
  <c r="X569" i="1"/>
  <c r="AF569" i="1" s="1"/>
  <c r="Y569" i="1"/>
  <c r="AG569" i="1" s="1"/>
  <c r="Z569" i="1"/>
  <c r="AA569" i="1"/>
  <c r="AB569" i="1"/>
  <c r="W746" i="1"/>
  <c r="AE746" i="1" s="1"/>
  <c r="X746" i="1"/>
  <c r="AF746" i="1" s="1"/>
  <c r="Y746" i="1"/>
  <c r="AG746" i="1" s="1"/>
  <c r="Z746" i="1"/>
  <c r="AA746" i="1"/>
  <c r="AB746" i="1"/>
  <c r="W570" i="1"/>
  <c r="AE570" i="1" s="1"/>
  <c r="X570" i="1"/>
  <c r="AF570" i="1" s="1"/>
  <c r="Y570" i="1"/>
  <c r="AG570" i="1" s="1"/>
  <c r="Z570" i="1"/>
  <c r="AA570" i="1"/>
  <c r="AB570" i="1"/>
  <c r="W571" i="1"/>
  <c r="AE571" i="1" s="1"/>
  <c r="X571" i="1"/>
  <c r="AF571" i="1" s="1"/>
  <c r="Y571" i="1"/>
  <c r="AG571" i="1" s="1"/>
  <c r="Z571" i="1"/>
  <c r="AA571" i="1"/>
  <c r="AB571" i="1"/>
  <c r="W572" i="1"/>
  <c r="AE572" i="1" s="1"/>
  <c r="X572" i="1"/>
  <c r="AF572" i="1" s="1"/>
  <c r="Y572" i="1"/>
  <c r="AG572" i="1" s="1"/>
  <c r="Z572" i="1"/>
  <c r="AA572" i="1"/>
  <c r="AB572" i="1"/>
  <c r="W573" i="1"/>
  <c r="AE573" i="1" s="1"/>
  <c r="X573" i="1"/>
  <c r="AF573" i="1" s="1"/>
  <c r="Y573" i="1"/>
  <c r="AG573" i="1" s="1"/>
  <c r="Z573" i="1"/>
  <c r="AA573" i="1"/>
  <c r="AB573" i="1"/>
  <c r="W747" i="1"/>
  <c r="AE747" i="1" s="1"/>
  <c r="X747" i="1"/>
  <c r="AF747" i="1" s="1"/>
  <c r="Y747" i="1"/>
  <c r="AG747" i="1" s="1"/>
  <c r="Z747" i="1"/>
  <c r="AA747" i="1"/>
  <c r="AB747" i="1"/>
  <c r="W748" i="1"/>
  <c r="AE748" i="1" s="1"/>
  <c r="X748" i="1"/>
  <c r="AF748" i="1" s="1"/>
  <c r="Y748" i="1"/>
  <c r="AG748" i="1" s="1"/>
  <c r="Z748" i="1"/>
  <c r="AA748" i="1"/>
  <c r="AB748" i="1"/>
  <c r="W574" i="1"/>
  <c r="AE574" i="1" s="1"/>
  <c r="X574" i="1"/>
  <c r="AF574" i="1" s="1"/>
  <c r="Y574" i="1"/>
  <c r="AG574" i="1" s="1"/>
  <c r="Z574" i="1"/>
  <c r="AA574" i="1"/>
  <c r="AB574" i="1"/>
  <c r="W749" i="1"/>
  <c r="AE749" i="1" s="1"/>
  <c r="X749" i="1"/>
  <c r="AF749" i="1" s="1"/>
  <c r="Y749" i="1"/>
  <c r="AG749" i="1" s="1"/>
  <c r="Z749" i="1"/>
  <c r="AA749" i="1"/>
  <c r="AB749" i="1"/>
  <c r="W575" i="1"/>
  <c r="AE575" i="1" s="1"/>
  <c r="X575" i="1"/>
  <c r="AF575" i="1" s="1"/>
  <c r="Y575" i="1"/>
  <c r="AG575" i="1" s="1"/>
  <c r="Z575" i="1"/>
  <c r="AA575" i="1"/>
  <c r="AB575" i="1"/>
  <c r="W750" i="1"/>
  <c r="AE750" i="1" s="1"/>
  <c r="X750" i="1"/>
  <c r="AF750" i="1" s="1"/>
  <c r="Y750" i="1"/>
  <c r="AG750" i="1" s="1"/>
  <c r="Z750" i="1"/>
  <c r="AA750" i="1"/>
  <c r="AB750" i="1"/>
  <c r="W576" i="1"/>
  <c r="AE576" i="1" s="1"/>
  <c r="X576" i="1"/>
  <c r="AF576" i="1" s="1"/>
  <c r="Y576" i="1"/>
  <c r="AG576" i="1" s="1"/>
  <c r="Z576" i="1"/>
  <c r="AA576" i="1"/>
  <c r="AB576" i="1"/>
  <c r="W577" i="1"/>
  <c r="AE577" i="1" s="1"/>
  <c r="X577" i="1"/>
  <c r="AF577" i="1" s="1"/>
  <c r="Y577" i="1"/>
  <c r="AG577" i="1" s="1"/>
  <c r="Z577" i="1"/>
  <c r="AA577" i="1"/>
  <c r="AB577" i="1"/>
  <c r="W751" i="1"/>
  <c r="AE751" i="1" s="1"/>
  <c r="X751" i="1"/>
  <c r="AF751" i="1" s="1"/>
  <c r="Y751" i="1"/>
  <c r="AG751" i="1" s="1"/>
  <c r="Z751" i="1"/>
  <c r="AA751" i="1"/>
  <c r="AB751" i="1"/>
  <c r="W578" i="1"/>
  <c r="AE578" i="1" s="1"/>
  <c r="X578" i="1"/>
  <c r="AF578" i="1" s="1"/>
  <c r="Y578" i="1"/>
  <c r="AG578" i="1" s="1"/>
  <c r="Z578" i="1"/>
  <c r="AA578" i="1"/>
  <c r="AB578" i="1"/>
  <c r="W579" i="1"/>
  <c r="AE579" i="1" s="1"/>
  <c r="X579" i="1"/>
  <c r="AF579" i="1" s="1"/>
  <c r="Y579" i="1"/>
  <c r="AG579" i="1" s="1"/>
  <c r="Z579" i="1"/>
  <c r="AA579" i="1"/>
  <c r="AB579" i="1"/>
  <c r="W580" i="1"/>
  <c r="AE580" i="1" s="1"/>
  <c r="X580" i="1"/>
  <c r="AF580" i="1" s="1"/>
  <c r="Y580" i="1"/>
  <c r="AG580" i="1" s="1"/>
  <c r="Z580" i="1"/>
  <c r="AA580" i="1"/>
  <c r="AB580" i="1"/>
  <c r="W581" i="1"/>
  <c r="AE581" i="1" s="1"/>
  <c r="X581" i="1"/>
  <c r="AF581" i="1" s="1"/>
  <c r="Y581" i="1"/>
  <c r="AG581" i="1" s="1"/>
  <c r="Z581" i="1"/>
  <c r="AA581" i="1"/>
  <c r="AB581" i="1"/>
  <c r="W582" i="1"/>
  <c r="AE582" i="1" s="1"/>
  <c r="X582" i="1"/>
  <c r="AF582" i="1" s="1"/>
  <c r="Y582" i="1"/>
  <c r="AG582" i="1" s="1"/>
  <c r="Z582" i="1"/>
  <c r="AA582" i="1"/>
  <c r="AB582" i="1"/>
  <c r="W583" i="1"/>
  <c r="AE583" i="1" s="1"/>
  <c r="X583" i="1"/>
  <c r="AF583" i="1" s="1"/>
  <c r="Y583" i="1"/>
  <c r="AG583" i="1" s="1"/>
  <c r="Z583" i="1"/>
  <c r="AA583" i="1"/>
  <c r="AB583" i="1"/>
  <c r="W584" i="1"/>
  <c r="AE584" i="1" s="1"/>
  <c r="X584" i="1"/>
  <c r="AF584" i="1" s="1"/>
  <c r="Y584" i="1"/>
  <c r="AG584" i="1" s="1"/>
  <c r="Z584" i="1"/>
  <c r="AA584" i="1"/>
  <c r="AB584" i="1"/>
  <c r="W585" i="1"/>
  <c r="AE585" i="1" s="1"/>
  <c r="X585" i="1"/>
  <c r="AF585" i="1" s="1"/>
  <c r="Y585" i="1"/>
  <c r="AG585" i="1" s="1"/>
  <c r="Z585" i="1"/>
  <c r="AA585" i="1"/>
  <c r="AB585" i="1"/>
  <c r="W752" i="1"/>
  <c r="AE752" i="1" s="1"/>
  <c r="X752" i="1"/>
  <c r="AF752" i="1" s="1"/>
  <c r="Y752" i="1"/>
  <c r="AG752" i="1" s="1"/>
  <c r="Z752" i="1"/>
  <c r="AA752" i="1"/>
  <c r="AB752" i="1"/>
  <c r="W586" i="1"/>
  <c r="AE586" i="1" s="1"/>
  <c r="X586" i="1"/>
  <c r="AF586" i="1" s="1"/>
  <c r="Y586" i="1"/>
  <c r="AG586" i="1" s="1"/>
  <c r="Z586" i="1"/>
  <c r="AA586" i="1"/>
  <c r="AB586" i="1"/>
  <c r="W587" i="1"/>
  <c r="AE587" i="1" s="1"/>
  <c r="X587" i="1"/>
  <c r="AF587" i="1" s="1"/>
  <c r="Y587" i="1"/>
  <c r="AG587" i="1" s="1"/>
  <c r="Z587" i="1"/>
  <c r="AA587" i="1"/>
  <c r="AB587" i="1"/>
  <c r="W588" i="1"/>
  <c r="AE588" i="1" s="1"/>
  <c r="X588" i="1"/>
  <c r="AF588" i="1" s="1"/>
  <c r="Y588" i="1"/>
  <c r="AG588" i="1" s="1"/>
  <c r="Z588" i="1"/>
  <c r="AA588" i="1"/>
  <c r="AB588" i="1"/>
  <c r="W753" i="1"/>
  <c r="AE753" i="1" s="1"/>
  <c r="X753" i="1"/>
  <c r="AF753" i="1" s="1"/>
  <c r="Y753" i="1"/>
  <c r="AG753" i="1" s="1"/>
  <c r="Z753" i="1"/>
  <c r="AA753" i="1"/>
  <c r="AB753" i="1"/>
  <c r="W589" i="1"/>
  <c r="AE589" i="1" s="1"/>
  <c r="X589" i="1"/>
  <c r="AF589" i="1" s="1"/>
  <c r="Y589" i="1"/>
  <c r="AG589" i="1" s="1"/>
  <c r="Z589" i="1"/>
  <c r="AA589" i="1"/>
  <c r="AB589" i="1"/>
  <c r="W590" i="1"/>
  <c r="AE590" i="1" s="1"/>
  <c r="X590" i="1"/>
  <c r="AF590" i="1" s="1"/>
  <c r="Y590" i="1"/>
  <c r="AG590" i="1" s="1"/>
  <c r="Z590" i="1"/>
  <c r="AA590" i="1"/>
  <c r="AB590" i="1"/>
  <c r="W591" i="1"/>
  <c r="AE591" i="1" s="1"/>
  <c r="X591" i="1"/>
  <c r="AF591" i="1" s="1"/>
  <c r="Y591" i="1"/>
  <c r="AG591" i="1" s="1"/>
  <c r="Z591" i="1"/>
  <c r="AA591" i="1"/>
  <c r="AB591" i="1"/>
  <c r="W592" i="1"/>
  <c r="AE592" i="1" s="1"/>
  <c r="X592" i="1"/>
  <c r="AF592" i="1" s="1"/>
  <c r="Y592" i="1"/>
  <c r="AG592" i="1" s="1"/>
  <c r="Z592" i="1"/>
  <c r="AA592" i="1"/>
  <c r="AB592" i="1"/>
  <c r="W593" i="1"/>
  <c r="AE593" i="1" s="1"/>
  <c r="X593" i="1"/>
  <c r="AF593" i="1" s="1"/>
  <c r="Y593" i="1"/>
  <c r="AG593" i="1" s="1"/>
  <c r="Z593" i="1"/>
  <c r="AA593" i="1"/>
  <c r="AB593" i="1"/>
  <c r="W594" i="1"/>
  <c r="AE594" i="1" s="1"/>
  <c r="X594" i="1"/>
  <c r="AF594" i="1" s="1"/>
  <c r="Y594" i="1"/>
  <c r="AG594" i="1" s="1"/>
  <c r="Z594" i="1"/>
  <c r="AA594" i="1"/>
  <c r="AB594" i="1"/>
  <c r="W754" i="1"/>
  <c r="AE754" i="1" s="1"/>
  <c r="X754" i="1"/>
  <c r="AF754" i="1" s="1"/>
  <c r="Y754" i="1"/>
  <c r="AG754" i="1" s="1"/>
  <c r="Z754" i="1"/>
  <c r="AA754" i="1"/>
  <c r="AB754" i="1"/>
  <c r="W595" i="1"/>
  <c r="AE595" i="1" s="1"/>
  <c r="X595" i="1"/>
  <c r="AF595" i="1" s="1"/>
  <c r="Y595" i="1"/>
  <c r="AG595" i="1" s="1"/>
  <c r="Z595" i="1"/>
  <c r="AA595" i="1"/>
  <c r="AB595" i="1"/>
  <c r="W596" i="1"/>
  <c r="AE596" i="1" s="1"/>
  <c r="X596" i="1"/>
  <c r="AF596" i="1" s="1"/>
  <c r="Y596" i="1"/>
  <c r="AG596" i="1" s="1"/>
  <c r="Z596" i="1"/>
  <c r="AA596" i="1"/>
  <c r="AB596" i="1"/>
  <c r="W755" i="1"/>
  <c r="AE755" i="1" s="1"/>
  <c r="X755" i="1"/>
  <c r="AF755" i="1" s="1"/>
  <c r="Y755" i="1"/>
  <c r="AG755" i="1" s="1"/>
  <c r="Z755" i="1"/>
  <c r="AA755" i="1"/>
  <c r="AB755" i="1"/>
  <c r="W597" i="1"/>
  <c r="AE597" i="1" s="1"/>
  <c r="X597" i="1"/>
  <c r="AF597" i="1" s="1"/>
  <c r="Y597" i="1"/>
  <c r="AG597" i="1" s="1"/>
  <c r="Z597" i="1"/>
  <c r="AA597" i="1"/>
  <c r="AB597" i="1"/>
  <c r="W598" i="1"/>
  <c r="AE598" i="1" s="1"/>
  <c r="X598" i="1"/>
  <c r="AF598" i="1" s="1"/>
  <c r="Y598" i="1"/>
  <c r="AG598" i="1" s="1"/>
  <c r="Z598" i="1"/>
  <c r="AA598" i="1"/>
  <c r="AB598" i="1"/>
  <c r="W599" i="1"/>
  <c r="AE599" i="1" s="1"/>
  <c r="X599" i="1"/>
  <c r="AF599" i="1" s="1"/>
  <c r="Y599" i="1"/>
  <c r="AG599" i="1" s="1"/>
  <c r="Z599" i="1"/>
  <c r="AA599" i="1"/>
  <c r="AB599" i="1"/>
  <c r="W600" i="1"/>
  <c r="AE600" i="1" s="1"/>
  <c r="X600" i="1"/>
  <c r="AF600" i="1" s="1"/>
  <c r="Y600" i="1"/>
  <c r="AG600" i="1" s="1"/>
  <c r="Z600" i="1"/>
  <c r="AA600" i="1"/>
  <c r="AB600" i="1"/>
  <c r="W601" i="1"/>
  <c r="AE601" i="1" s="1"/>
  <c r="X601" i="1"/>
  <c r="AF601" i="1" s="1"/>
  <c r="Y601" i="1"/>
  <c r="AG601" i="1" s="1"/>
  <c r="Z601" i="1"/>
  <c r="AA601" i="1"/>
  <c r="AB601" i="1"/>
  <c r="W602" i="1"/>
  <c r="AE602" i="1" s="1"/>
  <c r="X602" i="1"/>
  <c r="AF602" i="1" s="1"/>
  <c r="Y602" i="1"/>
  <c r="AG602" i="1" s="1"/>
  <c r="Z602" i="1"/>
  <c r="AA602" i="1"/>
  <c r="AB602" i="1"/>
  <c r="W603" i="1"/>
  <c r="AE603" i="1" s="1"/>
  <c r="X603" i="1"/>
  <c r="AF603" i="1" s="1"/>
  <c r="Y603" i="1"/>
  <c r="AG603" i="1" s="1"/>
  <c r="Z603" i="1"/>
  <c r="AA603" i="1"/>
  <c r="AB603" i="1"/>
  <c r="W756" i="1"/>
  <c r="AE756" i="1" s="1"/>
  <c r="X756" i="1"/>
  <c r="AF756" i="1" s="1"/>
  <c r="Y756" i="1"/>
  <c r="AG756" i="1" s="1"/>
  <c r="Z756" i="1"/>
  <c r="AA756" i="1"/>
  <c r="AB756" i="1"/>
  <c r="W604" i="1"/>
  <c r="AE604" i="1" s="1"/>
  <c r="X604" i="1"/>
  <c r="AF604" i="1" s="1"/>
  <c r="Y604" i="1"/>
  <c r="AG604" i="1" s="1"/>
  <c r="Z604" i="1"/>
  <c r="AA604" i="1"/>
  <c r="AB604" i="1"/>
  <c r="W605" i="1"/>
  <c r="AE605" i="1" s="1"/>
  <c r="X605" i="1"/>
  <c r="AF605" i="1" s="1"/>
  <c r="Y605" i="1"/>
  <c r="AG605" i="1" s="1"/>
  <c r="Z605" i="1"/>
  <c r="AA605" i="1"/>
  <c r="AB605" i="1"/>
  <c r="W606" i="1"/>
  <c r="AE606" i="1" s="1"/>
  <c r="X606" i="1"/>
  <c r="AF606" i="1" s="1"/>
  <c r="Y606" i="1"/>
  <c r="AG606" i="1" s="1"/>
  <c r="Z606" i="1"/>
  <c r="AA606" i="1"/>
  <c r="AB606" i="1"/>
  <c r="W607" i="1"/>
  <c r="AE607" i="1" s="1"/>
  <c r="X607" i="1"/>
  <c r="AF607" i="1" s="1"/>
  <c r="Y607" i="1"/>
  <c r="AG607" i="1" s="1"/>
  <c r="Z607" i="1"/>
  <c r="AA607" i="1"/>
  <c r="AB607" i="1"/>
  <c r="W608" i="1"/>
  <c r="AE608" i="1" s="1"/>
  <c r="X608" i="1"/>
  <c r="AF608" i="1" s="1"/>
  <c r="Y608" i="1"/>
  <c r="AG608" i="1" s="1"/>
  <c r="Z608" i="1"/>
  <c r="AA608" i="1"/>
  <c r="AB608" i="1"/>
  <c r="W609" i="1"/>
  <c r="AE609" i="1" s="1"/>
  <c r="X609" i="1"/>
  <c r="AF609" i="1" s="1"/>
  <c r="Y609" i="1"/>
  <c r="AG609" i="1" s="1"/>
  <c r="Z609" i="1"/>
  <c r="AA609" i="1"/>
  <c r="AB609" i="1"/>
  <c r="W610" i="1"/>
  <c r="AE610" i="1" s="1"/>
  <c r="X610" i="1"/>
  <c r="AF610" i="1" s="1"/>
  <c r="Y610" i="1"/>
  <c r="AG610" i="1" s="1"/>
  <c r="Z610" i="1"/>
  <c r="AA610" i="1"/>
  <c r="AB610" i="1"/>
  <c r="W611" i="1"/>
  <c r="AE611" i="1" s="1"/>
  <c r="X611" i="1"/>
  <c r="AF611" i="1" s="1"/>
  <c r="Y611" i="1"/>
  <c r="AG611" i="1" s="1"/>
  <c r="Z611" i="1"/>
  <c r="AA611" i="1"/>
  <c r="AB611" i="1"/>
  <c r="W757" i="1"/>
  <c r="AE757" i="1" s="1"/>
  <c r="X757" i="1"/>
  <c r="AF757" i="1" s="1"/>
  <c r="Y757" i="1"/>
  <c r="AG757" i="1" s="1"/>
  <c r="Z757" i="1"/>
  <c r="AA757" i="1"/>
  <c r="AB757" i="1"/>
  <c r="W758" i="1"/>
  <c r="AE758" i="1" s="1"/>
  <c r="X758" i="1"/>
  <c r="AF758" i="1" s="1"/>
  <c r="Y758" i="1"/>
  <c r="AG758" i="1" s="1"/>
  <c r="Z758" i="1"/>
  <c r="AA758" i="1"/>
  <c r="AB758" i="1"/>
  <c r="W759" i="1"/>
  <c r="AE759" i="1" s="1"/>
  <c r="X759" i="1"/>
  <c r="AF759" i="1" s="1"/>
  <c r="Y759" i="1"/>
  <c r="AG759" i="1" s="1"/>
  <c r="Z759" i="1"/>
  <c r="AA759" i="1"/>
  <c r="AB759" i="1"/>
  <c r="W760" i="1"/>
  <c r="AE760" i="1" s="1"/>
  <c r="X760" i="1"/>
  <c r="AF760" i="1" s="1"/>
  <c r="Y760" i="1"/>
  <c r="AG760" i="1" s="1"/>
  <c r="Z760" i="1"/>
  <c r="AA760" i="1"/>
  <c r="AB760" i="1"/>
  <c r="W612" i="1"/>
  <c r="AE612" i="1" s="1"/>
  <c r="X612" i="1"/>
  <c r="AF612" i="1" s="1"/>
  <c r="Y612" i="1"/>
  <c r="AG612" i="1" s="1"/>
  <c r="Z612" i="1"/>
  <c r="AA612" i="1"/>
  <c r="AB612" i="1"/>
  <c r="W613" i="1"/>
  <c r="AE613" i="1" s="1"/>
  <c r="X613" i="1"/>
  <c r="AF613" i="1" s="1"/>
  <c r="Y613" i="1"/>
  <c r="AG613" i="1" s="1"/>
  <c r="Z613" i="1"/>
  <c r="AA613" i="1"/>
  <c r="AB613" i="1"/>
  <c r="W614" i="1"/>
  <c r="AE614" i="1" s="1"/>
  <c r="X614" i="1"/>
  <c r="AF614" i="1" s="1"/>
  <c r="Y614" i="1"/>
  <c r="AG614" i="1" s="1"/>
  <c r="Z614" i="1"/>
  <c r="AA614" i="1"/>
  <c r="AB614" i="1"/>
  <c r="W615" i="1"/>
  <c r="AE615" i="1" s="1"/>
  <c r="X615" i="1"/>
  <c r="AF615" i="1" s="1"/>
  <c r="Y615" i="1"/>
  <c r="AG615" i="1" s="1"/>
  <c r="Z615" i="1"/>
  <c r="AA615" i="1"/>
  <c r="AB615" i="1"/>
  <c r="W616" i="1"/>
  <c r="AE616" i="1" s="1"/>
  <c r="X616" i="1"/>
  <c r="AF616" i="1" s="1"/>
  <c r="Y616" i="1"/>
  <c r="AG616" i="1" s="1"/>
  <c r="Z616" i="1"/>
  <c r="AA616" i="1"/>
  <c r="AB616" i="1"/>
  <c r="W617" i="1"/>
  <c r="AE617" i="1" s="1"/>
  <c r="X617" i="1"/>
  <c r="AF617" i="1" s="1"/>
  <c r="Y617" i="1"/>
  <c r="AG617" i="1" s="1"/>
  <c r="Z617" i="1"/>
  <c r="AA617" i="1"/>
  <c r="AB617" i="1"/>
  <c r="W618" i="1"/>
  <c r="AE618" i="1" s="1"/>
  <c r="X618" i="1"/>
  <c r="AF618" i="1" s="1"/>
  <c r="Y618" i="1"/>
  <c r="AG618" i="1" s="1"/>
  <c r="Z618" i="1"/>
  <c r="AA618" i="1"/>
  <c r="AB618" i="1"/>
  <c r="W761" i="1"/>
  <c r="AE761" i="1" s="1"/>
  <c r="X761" i="1"/>
  <c r="AF761" i="1" s="1"/>
  <c r="Y761" i="1"/>
  <c r="AG761" i="1" s="1"/>
  <c r="Z761" i="1"/>
  <c r="AA761" i="1"/>
  <c r="AB761" i="1"/>
  <c r="W619" i="1"/>
  <c r="AE619" i="1" s="1"/>
  <c r="X619" i="1"/>
  <c r="AF619" i="1" s="1"/>
  <c r="Y619" i="1"/>
  <c r="AG619" i="1" s="1"/>
  <c r="Z619" i="1"/>
  <c r="AA619" i="1"/>
  <c r="AB619" i="1"/>
  <c r="W620" i="1"/>
  <c r="AE620" i="1" s="1"/>
  <c r="X620" i="1"/>
  <c r="AF620" i="1" s="1"/>
  <c r="Y620" i="1"/>
  <c r="AG620" i="1" s="1"/>
  <c r="Z620" i="1"/>
  <c r="AA620" i="1"/>
  <c r="AB620" i="1"/>
  <c r="W762" i="1"/>
  <c r="AE762" i="1" s="1"/>
  <c r="X762" i="1"/>
  <c r="AF762" i="1" s="1"/>
  <c r="Y762" i="1"/>
  <c r="AG762" i="1" s="1"/>
  <c r="Z762" i="1"/>
  <c r="AA762" i="1"/>
  <c r="AB762" i="1"/>
  <c r="W621" i="1"/>
  <c r="AE621" i="1" s="1"/>
  <c r="X621" i="1"/>
  <c r="AF621" i="1" s="1"/>
  <c r="Y621" i="1"/>
  <c r="AG621" i="1" s="1"/>
  <c r="Z621" i="1"/>
  <c r="AA621" i="1"/>
  <c r="AB621" i="1"/>
  <c r="W622" i="1"/>
  <c r="AE622" i="1" s="1"/>
  <c r="X622" i="1"/>
  <c r="AF622" i="1" s="1"/>
  <c r="Y622" i="1"/>
  <c r="AG622" i="1" s="1"/>
  <c r="Z622" i="1"/>
  <c r="AA622" i="1"/>
  <c r="AB622" i="1"/>
  <c r="W623" i="1"/>
  <c r="AE623" i="1" s="1"/>
  <c r="X623" i="1"/>
  <c r="AF623" i="1" s="1"/>
  <c r="Y623" i="1"/>
  <c r="AG623" i="1" s="1"/>
  <c r="Z623" i="1"/>
  <c r="AA623" i="1"/>
  <c r="AB623" i="1"/>
  <c r="W624" i="1"/>
  <c r="AE624" i="1" s="1"/>
  <c r="X624" i="1"/>
  <c r="AF624" i="1" s="1"/>
  <c r="Y624" i="1"/>
  <c r="AG624" i="1" s="1"/>
  <c r="Z624" i="1"/>
  <c r="AA624" i="1"/>
  <c r="AB624" i="1"/>
  <c r="W763" i="1"/>
  <c r="AE763" i="1" s="1"/>
  <c r="X763" i="1"/>
  <c r="AF763" i="1" s="1"/>
  <c r="Y763" i="1"/>
  <c r="AG763" i="1" s="1"/>
  <c r="Z763" i="1"/>
  <c r="AA763" i="1"/>
  <c r="AB763" i="1"/>
  <c r="W625" i="1"/>
  <c r="AE625" i="1" s="1"/>
  <c r="X625" i="1"/>
  <c r="AF625" i="1" s="1"/>
  <c r="Y625" i="1"/>
  <c r="AG625" i="1" s="1"/>
  <c r="Z625" i="1"/>
  <c r="AA625" i="1"/>
  <c r="AB625" i="1"/>
  <c r="W626" i="1"/>
  <c r="AE626" i="1" s="1"/>
  <c r="X626" i="1"/>
  <c r="AF626" i="1" s="1"/>
  <c r="Y626" i="1"/>
  <c r="AG626" i="1" s="1"/>
  <c r="Z626" i="1"/>
  <c r="AA626" i="1"/>
  <c r="AB626" i="1"/>
  <c r="W627" i="1"/>
  <c r="AE627" i="1" s="1"/>
  <c r="X627" i="1"/>
  <c r="AF627" i="1" s="1"/>
  <c r="Y627" i="1"/>
  <c r="AG627" i="1" s="1"/>
  <c r="Z627" i="1"/>
  <c r="AA627" i="1"/>
  <c r="AB627" i="1"/>
  <c r="W628" i="1"/>
  <c r="AE628" i="1" s="1"/>
  <c r="X628" i="1"/>
  <c r="AF628" i="1" s="1"/>
  <c r="Y628" i="1"/>
  <c r="AG628" i="1" s="1"/>
  <c r="Z628" i="1"/>
  <c r="AA628" i="1"/>
  <c r="AB628" i="1"/>
  <c r="W629" i="1"/>
  <c r="AE629" i="1" s="1"/>
  <c r="X629" i="1"/>
  <c r="AF629" i="1" s="1"/>
  <c r="Y629" i="1"/>
  <c r="AG629" i="1" s="1"/>
  <c r="Z629" i="1"/>
  <c r="AA629" i="1"/>
  <c r="AB629" i="1"/>
  <c r="W630" i="1"/>
  <c r="AE630" i="1" s="1"/>
  <c r="X630" i="1"/>
  <c r="AF630" i="1" s="1"/>
  <c r="Y630" i="1"/>
  <c r="AG630" i="1" s="1"/>
  <c r="Z630" i="1"/>
  <c r="AA630" i="1"/>
  <c r="AB630" i="1"/>
  <c r="W631" i="1"/>
  <c r="AE631" i="1" s="1"/>
  <c r="X631" i="1"/>
  <c r="AF631" i="1" s="1"/>
  <c r="Y631" i="1"/>
  <c r="AG631" i="1" s="1"/>
  <c r="Z631" i="1"/>
  <c r="AA631" i="1"/>
  <c r="AB631" i="1"/>
  <c r="W632" i="1"/>
  <c r="AE632" i="1" s="1"/>
  <c r="X632" i="1"/>
  <c r="AF632" i="1" s="1"/>
  <c r="Y632" i="1"/>
  <c r="AG632" i="1" s="1"/>
  <c r="Z632" i="1"/>
  <c r="AA632" i="1"/>
  <c r="AB632" i="1"/>
  <c r="W633" i="1"/>
  <c r="AE633" i="1" s="1"/>
  <c r="X633" i="1"/>
  <c r="AF633" i="1" s="1"/>
  <c r="Y633" i="1"/>
  <c r="AG633" i="1" s="1"/>
  <c r="Z633" i="1"/>
  <c r="AA633" i="1"/>
  <c r="AB633" i="1"/>
  <c r="W764" i="1"/>
  <c r="AE764" i="1" s="1"/>
  <c r="X764" i="1"/>
  <c r="AF764" i="1" s="1"/>
  <c r="Y764" i="1"/>
  <c r="AG764" i="1" s="1"/>
  <c r="Z764" i="1"/>
  <c r="AA764" i="1"/>
  <c r="AB764" i="1"/>
  <c r="W634" i="1"/>
  <c r="AE634" i="1" s="1"/>
  <c r="X634" i="1"/>
  <c r="AF634" i="1" s="1"/>
  <c r="Y634" i="1"/>
  <c r="AG634" i="1" s="1"/>
  <c r="Z634" i="1"/>
  <c r="AA634" i="1"/>
  <c r="AB634" i="1"/>
  <c r="W635" i="1"/>
  <c r="AE635" i="1" s="1"/>
  <c r="X635" i="1"/>
  <c r="AF635" i="1" s="1"/>
  <c r="Y635" i="1"/>
  <c r="AG635" i="1" s="1"/>
  <c r="Z635" i="1"/>
  <c r="AA635" i="1"/>
  <c r="AB635" i="1"/>
  <c r="W636" i="1"/>
  <c r="AE636" i="1" s="1"/>
  <c r="X636" i="1"/>
  <c r="AF636" i="1" s="1"/>
  <c r="Y636" i="1"/>
  <c r="AG636" i="1" s="1"/>
  <c r="Z636" i="1"/>
  <c r="AA636" i="1"/>
  <c r="AB636" i="1"/>
  <c r="W637" i="1"/>
  <c r="AE637" i="1" s="1"/>
  <c r="X637" i="1"/>
  <c r="AF637" i="1" s="1"/>
  <c r="Y637" i="1"/>
  <c r="AG637" i="1" s="1"/>
  <c r="Z637" i="1"/>
  <c r="AA637" i="1"/>
  <c r="AB637" i="1"/>
  <c r="W638" i="1"/>
  <c r="AE638" i="1" s="1"/>
  <c r="X638" i="1"/>
  <c r="AF638" i="1" s="1"/>
  <c r="Y638" i="1"/>
  <c r="AG638" i="1" s="1"/>
  <c r="Z638" i="1"/>
  <c r="AA638" i="1"/>
  <c r="AB638" i="1"/>
  <c r="W639" i="1"/>
  <c r="AE639" i="1" s="1"/>
  <c r="X639" i="1"/>
  <c r="AF639" i="1" s="1"/>
  <c r="Y639" i="1"/>
  <c r="AG639" i="1" s="1"/>
  <c r="Z639" i="1"/>
  <c r="AA639" i="1"/>
  <c r="AB639" i="1"/>
  <c r="W640" i="1"/>
  <c r="AE640" i="1" s="1"/>
  <c r="X640" i="1"/>
  <c r="AF640" i="1" s="1"/>
  <c r="Y640" i="1"/>
  <c r="AG640" i="1" s="1"/>
  <c r="Z640" i="1"/>
  <c r="AA640" i="1"/>
  <c r="AB640" i="1"/>
  <c r="W641" i="1"/>
  <c r="AE641" i="1" s="1"/>
  <c r="X641" i="1"/>
  <c r="AF641" i="1" s="1"/>
  <c r="Y641" i="1"/>
  <c r="AG641" i="1" s="1"/>
  <c r="Z641" i="1"/>
  <c r="AA641" i="1"/>
  <c r="AB641" i="1"/>
  <c r="W642" i="1"/>
  <c r="AE642" i="1" s="1"/>
  <c r="X642" i="1"/>
  <c r="AF642" i="1" s="1"/>
  <c r="Y642" i="1"/>
  <c r="AG642" i="1" s="1"/>
  <c r="Z642" i="1"/>
  <c r="AA642" i="1"/>
  <c r="AB642" i="1"/>
  <c r="W765" i="1"/>
  <c r="AE765" i="1" s="1"/>
  <c r="X765" i="1"/>
  <c r="AF765" i="1" s="1"/>
  <c r="Y765" i="1"/>
  <c r="AG765" i="1" s="1"/>
  <c r="Z765" i="1"/>
  <c r="AA765" i="1"/>
  <c r="AB765" i="1"/>
  <c r="W643" i="1"/>
  <c r="AE643" i="1" s="1"/>
  <c r="X643" i="1"/>
  <c r="AF643" i="1" s="1"/>
  <c r="Y643" i="1"/>
  <c r="AG643" i="1" s="1"/>
  <c r="Z643" i="1"/>
  <c r="AA643" i="1"/>
  <c r="AB643" i="1"/>
  <c r="W644" i="1"/>
  <c r="AE644" i="1" s="1"/>
  <c r="X644" i="1"/>
  <c r="AF644" i="1" s="1"/>
  <c r="Y644" i="1"/>
  <c r="AG644" i="1" s="1"/>
  <c r="Z644" i="1"/>
  <c r="AA644" i="1"/>
  <c r="AB644" i="1"/>
  <c r="W645" i="1"/>
  <c r="AE645" i="1" s="1"/>
  <c r="X645" i="1"/>
  <c r="AF645" i="1" s="1"/>
  <c r="Y645" i="1"/>
  <c r="AG645" i="1" s="1"/>
  <c r="Z645" i="1"/>
  <c r="AA645" i="1"/>
  <c r="AB645" i="1"/>
  <c r="W766" i="1"/>
  <c r="AE766" i="1" s="1"/>
  <c r="X766" i="1"/>
  <c r="AF766" i="1" s="1"/>
  <c r="Y766" i="1"/>
  <c r="AG766" i="1" s="1"/>
  <c r="Z766" i="1"/>
  <c r="AA766" i="1"/>
  <c r="AB766" i="1"/>
  <c r="W767" i="1"/>
  <c r="AE767" i="1" s="1"/>
  <c r="X767" i="1"/>
  <c r="AF767" i="1" s="1"/>
  <c r="Y767" i="1"/>
  <c r="AG767" i="1" s="1"/>
  <c r="Z767" i="1"/>
  <c r="AA767" i="1"/>
  <c r="AB767" i="1"/>
  <c r="W768" i="1"/>
  <c r="AE768" i="1" s="1"/>
  <c r="X768" i="1"/>
  <c r="AF768" i="1" s="1"/>
  <c r="Y768" i="1"/>
  <c r="AG768" i="1" s="1"/>
  <c r="Z768" i="1"/>
  <c r="AA768" i="1"/>
  <c r="AB768" i="1"/>
  <c r="W769" i="1"/>
  <c r="AE769" i="1" s="1"/>
  <c r="X769" i="1"/>
  <c r="AF769" i="1" s="1"/>
  <c r="Y769" i="1"/>
  <c r="AG769" i="1" s="1"/>
  <c r="Z769" i="1"/>
  <c r="AA769" i="1"/>
  <c r="AB769" i="1"/>
  <c r="W646" i="1"/>
  <c r="AE646" i="1" s="1"/>
  <c r="X646" i="1"/>
  <c r="AF646" i="1" s="1"/>
  <c r="Y646" i="1"/>
  <c r="AG646" i="1" s="1"/>
  <c r="Z646" i="1"/>
  <c r="AA646" i="1"/>
  <c r="AB646" i="1"/>
  <c r="W770" i="1"/>
  <c r="AE770" i="1" s="1"/>
  <c r="X770" i="1"/>
  <c r="AF770" i="1" s="1"/>
  <c r="Y770" i="1"/>
  <c r="AG770" i="1" s="1"/>
  <c r="Z770" i="1"/>
  <c r="AA770" i="1"/>
  <c r="AB770" i="1"/>
  <c r="W647" i="1"/>
  <c r="AE647" i="1" s="1"/>
  <c r="X647" i="1"/>
  <c r="AF647" i="1" s="1"/>
  <c r="Y647" i="1"/>
  <c r="AG647" i="1" s="1"/>
  <c r="Z647" i="1"/>
  <c r="AA647" i="1"/>
  <c r="AB647" i="1"/>
  <c r="W771" i="1"/>
  <c r="AE771" i="1" s="1"/>
  <c r="X771" i="1"/>
  <c r="AF771" i="1" s="1"/>
  <c r="Y771" i="1"/>
  <c r="AG771" i="1" s="1"/>
  <c r="Z771" i="1"/>
  <c r="AA771" i="1"/>
  <c r="AB771" i="1"/>
  <c r="W772" i="1"/>
  <c r="AE772" i="1" s="1"/>
  <c r="X772" i="1"/>
  <c r="AF772" i="1" s="1"/>
  <c r="Y772" i="1"/>
  <c r="AG772" i="1" s="1"/>
  <c r="Z772" i="1"/>
  <c r="AA772" i="1"/>
  <c r="AB772" i="1"/>
  <c r="W648" i="1"/>
  <c r="AE648" i="1" s="1"/>
  <c r="X648" i="1"/>
  <c r="AF648" i="1" s="1"/>
  <c r="Y648" i="1"/>
  <c r="AG648" i="1" s="1"/>
  <c r="Z648" i="1"/>
  <c r="AA648" i="1"/>
  <c r="AB648" i="1"/>
  <c r="W649" i="1"/>
  <c r="AE649" i="1" s="1"/>
  <c r="X649" i="1"/>
  <c r="AF649" i="1" s="1"/>
  <c r="Y649" i="1"/>
  <c r="AG649" i="1" s="1"/>
  <c r="Z649" i="1"/>
  <c r="AA649" i="1"/>
  <c r="AB649" i="1"/>
  <c r="W773" i="1"/>
  <c r="AE773" i="1" s="1"/>
  <c r="X773" i="1"/>
  <c r="AF773" i="1" s="1"/>
  <c r="Y773" i="1"/>
  <c r="AG773" i="1" s="1"/>
  <c r="Z773" i="1"/>
  <c r="AA773" i="1"/>
  <c r="AB773" i="1"/>
  <c r="W774" i="1"/>
  <c r="AE774" i="1" s="1"/>
  <c r="X774" i="1"/>
  <c r="AF774" i="1" s="1"/>
  <c r="Y774" i="1"/>
  <c r="AG774" i="1" s="1"/>
  <c r="Z774" i="1"/>
  <c r="AA774" i="1"/>
  <c r="AB774" i="1"/>
  <c r="W650" i="1"/>
  <c r="AE650" i="1" s="1"/>
  <c r="X650" i="1"/>
  <c r="AF650" i="1" s="1"/>
  <c r="Y650" i="1"/>
  <c r="AG650" i="1" s="1"/>
  <c r="Z650" i="1"/>
  <c r="AA650" i="1"/>
  <c r="AB650" i="1"/>
  <c r="W651" i="1"/>
  <c r="AE651" i="1" s="1"/>
  <c r="X651" i="1"/>
  <c r="AF651" i="1" s="1"/>
  <c r="Y651" i="1"/>
  <c r="AG651" i="1" s="1"/>
  <c r="Z651" i="1"/>
  <c r="AA651" i="1"/>
  <c r="AB651" i="1"/>
  <c r="W652" i="1"/>
  <c r="AE652" i="1" s="1"/>
  <c r="X652" i="1"/>
  <c r="AF652" i="1" s="1"/>
  <c r="Y652" i="1"/>
  <c r="AG652" i="1" s="1"/>
  <c r="Z652" i="1"/>
  <c r="AA652" i="1"/>
  <c r="AB652" i="1"/>
  <c r="W775" i="1"/>
  <c r="AE775" i="1" s="1"/>
  <c r="X775" i="1"/>
  <c r="AF775" i="1" s="1"/>
  <c r="Y775" i="1"/>
  <c r="AG775" i="1" s="1"/>
  <c r="Z775" i="1"/>
  <c r="AA775" i="1"/>
  <c r="AB775" i="1"/>
  <c r="W653" i="1"/>
  <c r="AE653" i="1" s="1"/>
  <c r="X653" i="1"/>
  <c r="AF653" i="1" s="1"/>
  <c r="Y653" i="1"/>
  <c r="AG653" i="1" s="1"/>
  <c r="Z653" i="1"/>
  <c r="AA653" i="1"/>
  <c r="AB653" i="1"/>
  <c r="W776" i="1"/>
  <c r="AE776" i="1" s="1"/>
  <c r="X776" i="1"/>
  <c r="AF776" i="1" s="1"/>
  <c r="Y776" i="1"/>
  <c r="AG776" i="1" s="1"/>
  <c r="Z776" i="1"/>
  <c r="AA776" i="1"/>
  <c r="AB776" i="1"/>
  <c r="W777" i="1"/>
  <c r="AE777" i="1" s="1"/>
  <c r="X777" i="1"/>
  <c r="AF777" i="1" s="1"/>
  <c r="Y777" i="1"/>
  <c r="AG777" i="1" s="1"/>
  <c r="Z777" i="1"/>
  <c r="AA777" i="1"/>
  <c r="AB777" i="1"/>
  <c r="W654" i="1"/>
  <c r="AE654" i="1" s="1"/>
  <c r="X654" i="1"/>
  <c r="AF654" i="1" s="1"/>
  <c r="Y654" i="1"/>
  <c r="AG654" i="1" s="1"/>
  <c r="Z654" i="1"/>
  <c r="AA654" i="1"/>
  <c r="AB654" i="1"/>
  <c r="W655" i="1"/>
  <c r="AE655" i="1" s="1"/>
  <c r="X655" i="1"/>
  <c r="AF655" i="1" s="1"/>
  <c r="Y655" i="1"/>
  <c r="AG655" i="1" s="1"/>
  <c r="Z655" i="1"/>
  <c r="AA655" i="1"/>
  <c r="AB655" i="1"/>
  <c r="W778" i="1"/>
  <c r="AE778" i="1" s="1"/>
  <c r="X778" i="1"/>
  <c r="AF778" i="1" s="1"/>
  <c r="Y778" i="1"/>
  <c r="AG778" i="1" s="1"/>
  <c r="Z778" i="1"/>
  <c r="AA778" i="1"/>
  <c r="AB778" i="1"/>
  <c r="W779" i="1"/>
  <c r="AE779" i="1" s="1"/>
  <c r="X779" i="1"/>
  <c r="AF779" i="1" s="1"/>
  <c r="Y779" i="1"/>
  <c r="AG779" i="1" s="1"/>
  <c r="Z779" i="1"/>
  <c r="AA779" i="1"/>
  <c r="AB779" i="1"/>
  <c r="W656" i="1"/>
  <c r="AE656" i="1" s="1"/>
  <c r="X656" i="1"/>
  <c r="AF656" i="1" s="1"/>
  <c r="Y656" i="1"/>
  <c r="AG656" i="1" s="1"/>
  <c r="Z656" i="1"/>
  <c r="AA656" i="1"/>
  <c r="AB656" i="1"/>
  <c r="W657" i="1"/>
  <c r="AE657" i="1" s="1"/>
  <c r="X657" i="1"/>
  <c r="AF657" i="1" s="1"/>
  <c r="Y657" i="1"/>
  <c r="AG657" i="1" s="1"/>
  <c r="Z657" i="1"/>
  <c r="AA657" i="1"/>
  <c r="AB657" i="1"/>
  <c r="W780" i="1"/>
  <c r="AE780" i="1" s="1"/>
  <c r="X780" i="1"/>
  <c r="AF780" i="1" s="1"/>
  <c r="Y780" i="1"/>
  <c r="AG780" i="1" s="1"/>
  <c r="Z780" i="1"/>
  <c r="AA780" i="1"/>
  <c r="AB780" i="1"/>
  <c r="W781" i="1"/>
  <c r="AE781" i="1" s="1"/>
  <c r="X781" i="1"/>
  <c r="AF781" i="1" s="1"/>
  <c r="Y781" i="1"/>
  <c r="AG781" i="1" s="1"/>
  <c r="Z781" i="1"/>
  <c r="AA781" i="1"/>
  <c r="AB781" i="1"/>
  <c r="W658" i="1"/>
  <c r="AE658" i="1" s="1"/>
  <c r="X658" i="1"/>
  <c r="AF658" i="1" s="1"/>
  <c r="Y658" i="1"/>
  <c r="AG658" i="1" s="1"/>
  <c r="Z658" i="1"/>
  <c r="AA658" i="1"/>
  <c r="AB658" i="1"/>
  <c r="W782" i="1"/>
  <c r="AE782" i="1" s="1"/>
  <c r="X782" i="1"/>
  <c r="AF782" i="1" s="1"/>
  <c r="Y782" i="1"/>
  <c r="AG782" i="1" s="1"/>
  <c r="Z782" i="1"/>
  <c r="AA782" i="1"/>
  <c r="AB782" i="1"/>
  <c r="W659" i="1"/>
  <c r="AE659" i="1" s="1"/>
  <c r="X659" i="1"/>
  <c r="AF659" i="1" s="1"/>
  <c r="Y659" i="1"/>
  <c r="AG659" i="1" s="1"/>
  <c r="Z659" i="1"/>
  <c r="AA659" i="1"/>
  <c r="AB659" i="1"/>
  <c r="W783" i="1"/>
  <c r="AE783" i="1" s="1"/>
  <c r="X783" i="1"/>
  <c r="AF783" i="1" s="1"/>
  <c r="Y783" i="1"/>
  <c r="AG783" i="1" s="1"/>
  <c r="Z783" i="1"/>
  <c r="AA783" i="1"/>
  <c r="AB783" i="1"/>
  <c r="W660" i="1"/>
  <c r="AE660" i="1" s="1"/>
  <c r="X660" i="1"/>
  <c r="AF660" i="1" s="1"/>
  <c r="Y660" i="1"/>
  <c r="AG660" i="1" s="1"/>
  <c r="Z660" i="1"/>
  <c r="AA660" i="1"/>
  <c r="AB660" i="1"/>
  <c r="W784" i="1"/>
  <c r="AE784" i="1" s="1"/>
  <c r="X784" i="1"/>
  <c r="AF784" i="1" s="1"/>
  <c r="Y784" i="1"/>
  <c r="AG784" i="1" s="1"/>
  <c r="Z784" i="1"/>
  <c r="AA784" i="1"/>
  <c r="AB784" i="1"/>
  <c r="W785" i="1"/>
  <c r="AE785" i="1" s="1"/>
  <c r="X785" i="1"/>
  <c r="AF785" i="1" s="1"/>
  <c r="Y785" i="1"/>
  <c r="AG785" i="1" s="1"/>
  <c r="Z785" i="1"/>
  <c r="AA785" i="1"/>
  <c r="AB785" i="1"/>
  <c r="W786" i="1"/>
  <c r="AE786" i="1" s="1"/>
  <c r="X786" i="1"/>
  <c r="AF786" i="1" s="1"/>
  <c r="Y786" i="1"/>
  <c r="AG786" i="1" s="1"/>
  <c r="Z786" i="1"/>
  <c r="AA786" i="1"/>
  <c r="AB786" i="1"/>
  <c r="W787" i="1"/>
  <c r="AE787" i="1" s="1"/>
  <c r="X787" i="1"/>
  <c r="AF787" i="1" s="1"/>
  <c r="Y787" i="1"/>
  <c r="AG787" i="1" s="1"/>
  <c r="Z787" i="1"/>
  <c r="AA787" i="1"/>
  <c r="AB787" i="1"/>
  <c r="W788" i="1"/>
  <c r="AE788" i="1" s="1"/>
  <c r="X788" i="1"/>
  <c r="AF788" i="1" s="1"/>
  <c r="Y788" i="1"/>
  <c r="AG788" i="1" s="1"/>
  <c r="Z788" i="1"/>
  <c r="AA788" i="1"/>
  <c r="AB788" i="1"/>
  <c r="W789" i="1"/>
  <c r="AE789" i="1" s="1"/>
  <c r="X789" i="1"/>
  <c r="AF789" i="1" s="1"/>
  <c r="Y789" i="1"/>
  <c r="AG789" i="1" s="1"/>
  <c r="Z789" i="1"/>
  <c r="AA789" i="1"/>
  <c r="AB789" i="1"/>
  <c r="W790" i="1"/>
  <c r="AE790" i="1" s="1"/>
  <c r="X790" i="1"/>
  <c r="AF790" i="1" s="1"/>
  <c r="Y790" i="1"/>
  <c r="AG790" i="1" s="1"/>
  <c r="Z790" i="1"/>
  <c r="AA790" i="1"/>
  <c r="AB790" i="1"/>
  <c r="W791" i="1"/>
  <c r="AE791" i="1" s="1"/>
  <c r="X791" i="1"/>
  <c r="AF791" i="1" s="1"/>
  <c r="Y791" i="1"/>
  <c r="AG791" i="1" s="1"/>
  <c r="Z791" i="1"/>
  <c r="AA791" i="1"/>
  <c r="AB791" i="1"/>
  <c r="W792" i="1"/>
  <c r="AE792" i="1" s="1"/>
  <c r="X792" i="1"/>
  <c r="AF792" i="1" s="1"/>
  <c r="Y792" i="1"/>
  <c r="AG792" i="1" s="1"/>
  <c r="Z792" i="1"/>
  <c r="AA792" i="1"/>
  <c r="AB792" i="1"/>
  <c r="W793" i="1"/>
  <c r="AE793" i="1" s="1"/>
  <c r="X793" i="1"/>
  <c r="AF793" i="1" s="1"/>
  <c r="Y793" i="1"/>
  <c r="AG793" i="1" s="1"/>
  <c r="Z793" i="1"/>
  <c r="AA793" i="1"/>
  <c r="AB793" i="1"/>
  <c r="W794" i="1"/>
  <c r="AE794" i="1" s="1"/>
  <c r="X794" i="1"/>
  <c r="AF794" i="1" s="1"/>
  <c r="Y794" i="1"/>
  <c r="AG794" i="1" s="1"/>
  <c r="Z794" i="1"/>
  <c r="AA794" i="1"/>
  <c r="AB794" i="1"/>
  <c r="W795" i="1"/>
  <c r="AE795" i="1" s="1"/>
  <c r="X795" i="1"/>
  <c r="AF795" i="1" s="1"/>
  <c r="Y795" i="1"/>
  <c r="AG795" i="1" s="1"/>
  <c r="Z795" i="1"/>
  <c r="AA795" i="1"/>
  <c r="AB795" i="1"/>
  <c r="W796" i="1"/>
  <c r="AE796" i="1" s="1"/>
  <c r="X796" i="1"/>
  <c r="AF796" i="1" s="1"/>
  <c r="Y796" i="1"/>
  <c r="AG796" i="1" s="1"/>
  <c r="Z796" i="1"/>
  <c r="AA796" i="1"/>
  <c r="AB796" i="1"/>
  <c r="W797" i="1"/>
  <c r="AE797" i="1" s="1"/>
  <c r="X797" i="1"/>
  <c r="AF797" i="1" s="1"/>
  <c r="Y797" i="1"/>
  <c r="AG797" i="1" s="1"/>
  <c r="Z797" i="1"/>
  <c r="AA797" i="1"/>
  <c r="AB797" i="1"/>
  <c r="W798" i="1"/>
  <c r="AE798" i="1" s="1"/>
  <c r="X798" i="1"/>
  <c r="AF798" i="1" s="1"/>
  <c r="Y798" i="1"/>
  <c r="AG798" i="1" s="1"/>
  <c r="Z798" i="1"/>
  <c r="AA798" i="1"/>
  <c r="AB798" i="1"/>
  <c r="W799" i="1"/>
  <c r="AE799" i="1" s="1"/>
  <c r="X799" i="1"/>
  <c r="AF799" i="1" s="1"/>
  <c r="Y799" i="1"/>
  <c r="AG799" i="1" s="1"/>
  <c r="Z799" i="1"/>
  <c r="AA799" i="1"/>
  <c r="AB799" i="1"/>
  <c r="W800" i="1"/>
  <c r="AE800" i="1" s="1"/>
  <c r="X800" i="1"/>
  <c r="AF800" i="1" s="1"/>
  <c r="Y800" i="1"/>
  <c r="AG800" i="1" s="1"/>
  <c r="Z800" i="1"/>
  <c r="AA800" i="1"/>
  <c r="AB800" i="1"/>
  <c r="W801" i="1"/>
  <c r="AE801" i="1" s="1"/>
  <c r="X801" i="1"/>
  <c r="AF801" i="1" s="1"/>
  <c r="Y801" i="1"/>
  <c r="AG801" i="1" s="1"/>
  <c r="Z801" i="1"/>
  <c r="AA801" i="1"/>
  <c r="AB801" i="1"/>
  <c r="W802" i="1"/>
  <c r="AE802" i="1" s="1"/>
  <c r="X802" i="1"/>
  <c r="AF802" i="1" s="1"/>
  <c r="Y802" i="1"/>
  <c r="AG802" i="1" s="1"/>
  <c r="Z802" i="1"/>
  <c r="AA802" i="1"/>
  <c r="AB802" i="1"/>
  <c r="W803" i="1"/>
  <c r="AE803" i="1" s="1"/>
  <c r="X803" i="1"/>
  <c r="AF803" i="1" s="1"/>
  <c r="Y803" i="1"/>
  <c r="AG803" i="1" s="1"/>
  <c r="Z803" i="1"/>
  <c r="AA803" i="1"/>
  <c r="AB803" i="1"/>
  <c r="W804" i="1"/>
  <c r="AE804" i="1" s="1"/>
  <c r="X804" i="1"/>
  <c r="AF804" i="1" s="1"/>
  <c r="Y804" i="1"/>
  <c r="AG804" i="1" s="1"/>
  <c r="Z804" i="1"/>
  <c r="AA804" i="1"/>
  <c r="AB804" i="1"/>
  <c r="W805" i="1"/>
  <c r="AE805" i="1" s="1"/>
  <c r="X805" i="1"/>
  <c r="AF805" i="1" s="1"/>
  <c r="Y805" i="1"/>
  <c r="AG805" i="1" s="1"/>
  <c r="Z805" i="1"/>
  <c r="AA805" i="1"/>
  <c r="AB805" i="1"/>
  <c r="W806" i="1"/>
  <c r="AE806" i="1" s="1"/>
  <c r="X806" i="1"/>
  <c r="AF806" i="1" s="1"/>
  <c r="Y806" i="1"/>
  <c r="AG806" i="1" s="1"/>
  <c r="Z806" i="1"/>
  <c r="AA806" i="1"/>
  <c r="AB806" i="1"/>
  <c r="W807" i="1"/>
  <c r="AE807" i="1" s="1"/>
  <c r="X807" i="1"/>
  <c r="AF807" i="1" s="1"/>
  <c r="Y807" i="1"/>
  <c r="AG807" i="1" s="1"/>
  <c r="Z807" i="1"/>
  <c r="AA807" i="1"/>
  <c r="AB807" i="1"/>
  <c r="W808" i="1"/>
  <c r="AE808" i="1" s="1"/>
  <c r="X808" i="1"/>
  <c r="AF808" i="1" s="1"/>
  <c r="Y808" i="1"/>
  <c r="AG808" i="1" s="1"/>
  <c r="Z808" i="1"/>
  <c r="AA808" i="1"/>
  <c r="AB808" i="1"/>
  <c r="W809" i="1"/>
  <c r="AE809" i="1" s="1"/>
  <c r="X809" i="1"/>
  <c r="AF809" i="1" s="1"/>
  <c r="Y809" i="1"/>
  <c r="AG809" i="1" s="1"/>
  <c r="Z809" i="1"/>
  <c r="AA809" i="1"/>
  <c r="AB809" i="1"/>
  <c r="W810" i="1"/>
  <c r="AE810" i="1" s="1"/>
  <c r="X810" i="1"/>
  <c r="AF810" i="1" s="1"/>
  <c r="Y810" i="1"/>
  <c r="AG810" i="1" s="1"/>
  <c r="Z810" i="1"/>
  <c r="AA810" i="1"/>
  <c r="AB810" i="1"/>
  <c r="W811" i="1"/>
  <c r="AE811" i="1" s="1"/>
  <c r="X811" i="1"/>
  <c r="AF811" i="1" s="1"/>
  <c r="Y811" i="1"/>
  <c r="AG811" i="1" s="1"/>
  <c r="Z811" i="1"/>
  <c r="AA811" i="1"/>
  <c r="AB811" i="1"/>
  <c r="W812" i="1"/>
  <c r="AE812" i="1" s="1"/>
  <c r="X812" i="1"/>
  <c r="AF812" i="1" s="1"/>
  <c r="Y812" i="1"/>
  <c r="AG812" i="1" s="1"/>
  <c r="Z812" i="1"/>
  <c r="AA812" i="1"/>
  <c r="AB812" i="1"/>
  <c r="W813" i="1"/>
  <c r="AE813" i="1" s="1"/>
  <c r="X813" i="1"/>
  <c r="AF813" i="1" s="1"/>
  <c r="Y813" i="1"/>
  <c r="AG813" i="1" s="1"/>
  <c r="Z813" i="1"/>
  <c r="AA813" i="1"/>
  <c r="AB813" i="1"/>
  <c r="W814" i="1"/>
  <c r="AE814" i="1" s="1"/>
  <c r="X814" i="1"/>
  <c r="AF814" i="1" s="1"/>
  <c r="Y814" i="1"/>
  <c r="AG814" i="1" s="1"/>
  <c r="Z814" i="1"/>
  <c r="AA814" i="1"/>
  <c r="AB814" i="1"/>
  <c r="W815" i="1"/>
  <c r="AE815" i="1" s="1"/>
  <c r="X815" i="1"/>
  <c r="AF815" i="1" s="1"/>
  <c r="Y815" i="1"/>
  <c r="AG815" i="1" s="1"/>
  <c r="Z815" i="1"/>
  <c r="AA815" i="1"/>
  <c r="AB815" i="1"/>
  <c r="W816" i="1"/>
  <c r="AE816" i="1" s="1"/>
  <c r="X816" i="1"/>
  <c r="AF816" i="1" s="1"/>
  <c r="Y816" i="1"/>
  <c r="AG816" i="1" s="1"/>
  <c r="Z816" i="1"/>
  <c r="AA816" i="1"/>
  <c r="AB816" i="1"/>
  <c r="W817" i="1"/>
  <c r="AE817" i="1" s="1"/>
  <c r="X817" i="1"/>
  <c r="AF817" i="1" s="1"/>
  <c r="Y817" i="1"/>
  <c r="AG817" i="1" s="1"/>
  <c r="Z817" i="1"/>
  <c r="AA817" i="1"/>
  <c r="AB817" i="1"/>
  <c r="W818" i="1"/>
  <c r="AE818" i="1" s="1"/>
  <c r="X818" i="1"/>
  <c r="AF818" i="1" s="1"/>
  <c r="Y818" i="1"/>
  <c r="AG818" i="1" s="1"/>
  <c r="Z818" i="1"/>
  <c r="AA818" i="1"/>
  <c r="AB818" i="1"/>
  <c r="W819" i="1"/>
  <c r="AE819" i="1" s="1"/>
  <c r="X819" i="1"/>
  <c r="AF819" i="1" s="1"/>
  <c r="Y819" i="1"/>
  <c r="AG819" i="1" s="1"/>
  <c r="Z819" i="1"/>
  <c r="AA819" i="1"/>
  <c r="AB819" i="1"/>
  <c r="W820" i="1"/>
  <c r="AE820" i="1" s="1"/>
  <c r="X820" i="1"/>
  <c r="AF820" i="1" s="1"/>
  <c r="Y820" i="1"/>
  <c r="AG820" i="1" s="1"/>
  <c r="Z820" i="1"/>
  <c r="AA820" i="1"/>
  <c r="AB820" i="1"/>
  <c r="W821" i="1"/>
  <c r="AE821" i="1" s="1"/>
  <c r="X821" i="1"/>
  <c r="AF821" i="1" s="1"/>
  <c r="Y821" i="1"/>
  <c r="AG821" i="1" s="1"/>
  <c r="Z821" i="1"/>
  <c r="AA821" i="1"/>
  <c r="AB821" i="1"/>
  <c r="W822" i="1"/>
  <c r="AE822" i="1" s="1"/>
  <c r="X822" i="1"/>
  <c r="AF822" i="1" s="1"/>
  <c r="Y822" i="1"/>
  <c r="AG822" i="1" s="1"/>
  <c r="Z822" i="1"/>
  <c r="AA822" i="1"/>
  <c r="AB822" i="1"/>
  <c r="W823" i="1"/>
  <c r="AE823" i="1" s="1"/>
  <c r="X823" i="1"/>
  <c r="AF823" i="1" s="1"/>
  <c r="Y823" i="1"/>
  <c r="AG823" i="1" s="1"/>
  <c r="Z823" i="1"/>
  <c r="AA823" i="1"/>
  <c r="AB823" i="1"/>
  <c r="W824" i="1"/>
  <c r="AE824" i="1" s="1"/>
  <c r="X824" i="1"/>
  <c r="AF824" i="1" s="1"/>
  <c r="Y824" i="1"/>
  <c r="AG824" i="1" s="1"/>
  <c r="Z824" i="1"/>
  <c r="AA824" i="1"/>
  <c r="AB824" i="1"/>
  <c r="W825" i="1"/>
  <c r="AE825" i="1" s="1"/>
  <c r="X825" i="1"/>
  <c r="AF825" i="1" s="1"/>
  <c r="Y825" i="1"/>
  <c r="AG825" i="1" s="1"/>
  <c r="Z825" i="1"/>
  <c r="AA825" i="1"/>
  <c r="AB825" i="1"/>
  <c r="W826" i="1"/>
  <c r="AE826" i="1" s="1"/>
  <c r="X826" i="1"/>
  <c r="AF826" i="1" s="1"/>
  <c r="Y826" i="1"/>
  <c r="AG826" i="1" s="1"/>
  <c r="Z826" i="1"/>
  <c r="AA826" i="1"/>
  <c r="AB826" i="1"/>
  <c r="W827" i="1"/>
  <c r="AE827" i="1" s="1"/>
  <c r="X827" i="1"/>
  <c r="AF827" i="1" s="1"/>
  <c r="Y827" i="1"/>
  <c r="AG827" i="1" s="1"/>
  <c r="Z827" i="1"/>
  <c r="AA827" i="1"/>
  <c r="AB827" i="1"/>
  <c r="W828" i="1"/>
  <c r="AE828" i="1" s="1"/>
  <c r="X828" i="1"/>
  <c r="AF828" i="1" s="1"/>
  <c r="Y828" i="1"/>
  <c r="AG828" i="1" s="1"/>
  <c r="Z828" i="1"/>
  <c r="AA828" i="1"/>
  <c r="AB828" i="1"/>
  <c r="W829" i="1"/>
  <c r="AE829" i="1" s="1"/>
  <c r="X829" i="1"/>
  <c r="AF829" i="1" s="1"/>
  <c r="Y829" i="1"/>
  <c r="AG829" i="1" s="1"/>
  <c r="Z829" i="1"/>
  <c r="AA829" i="1"/>
  <c r="AB829" i="1"/>
  <c r="W830" i="1"/>
  <c r="AE830" i="1" s="1"/>
  <c r="X830" i="1"/>
  <c r="AF830" i="1" s="1"/>
  <c r="Y830" i="1"/>
  <c r="AG830" i="1" s="1"/>
  <c r="Z830" i="1"/>
  <c r="AA830" i="1"/>
  <c r="AB830" i="1"/>
  <c r="W831" i="1"/>
  <c r="AE831" i="1" s="1"/>
  <c r="X831" i="1"/>
  <c r="AF831" i="1" s="1"/>
  <c r="Y831" i="1"/>
  <c r="AG831" i="1" s="1"/>
  <c r="Z831" i="1"/>
  <c r="AA831" i="1"/>
  <c r="AB831" i="1"/>
  <c r="W832" i="1"/>
  <c r="AE832" i="1" s="1"/>
  <c r="X832" i="1"/>
  <c r="AF832" i="1" s="1"/>
  <c r="Y832" i="1"/>
  <c r="AG832" i="1" s="1"/>
  <c r="Z832" i="1"/>
  <c r="AA832" i="1"/>
  <c r="AB832" i="1"/>
  <c r="W833" i="1"/>
  <c r="AE833" i="1" s="1"/>
  <c r="X833" i="1"/>
  <c r="AF833" i="1" s="1"/>
  <c r="Y833" i="1"/>
  <c r="AG833" i="1" s="1"/>
  <c r="Z833" i="1"/>
  <c r="AA833" i="1"/>
  <c r="AB833" i="1"/>
  <c r="W834" i="1"/>
  <c r="AE834" i="1" s="1"/>
  <c r="X834" i="1"/>
  <c r="AF834" i="1" s="1"/>
  <c r="Y834" i="1"/>
  <c r="AG834" i="1" s="1"/>
  <c r="Z834" i="1"/>
  <c r="AA834" i="1"/>
  <c r="AB834" i="1"/>
  <c r="W835" i="1"/>
  <c r="AE835" i="1" s="1"/>
  <c r="X835" i="1"/>
  <c r="AF835" i="1" s="1"/>
  <c r="Y835" i="1"/>
  <c r="AG835" i="1" s="1"/>
  <c r="Z835" i="1"/>
  <c r="AA835" i="1"/>
  <c r="AB835" i="1"/>
  <c r="W661" i="1"/>
  <c r="AE661" i="1" s="1"/>
  <c r="X661" i="1"/>
  <c r="AF661" i="1" s="1"/>
  <c r="Y661" i="1"/>
  <c r="AG661" i="1" s="1"/>
  <c r="Z661" i="1"/>
  <c r="AA661" i="1"/>
  <c r="AB661" i="1"/>
  <c r="W836" i="1"/>
  <c r="AE836" i="1" s="1"/>
  <c r="X836" i="1"/>
  <c r="AF836" i="1" s="1"/>
  <c r="Y836" i="1"/>
  <c r="AG836" i="1" s="1"/>
  <c r="Z836" i="1"/>
  <c r="AA836" i="1"/>
  <c r="AB836" i="1"/>
  <c r="W837" i="1"/>
  <c r="AE837" i="1" s="1"/>
  <c r="X837" i="1"/>
  <c r="AF837" i="1" s="1"/>
  <c r="Y837" i="1"/>
  <c r="AG837" i="1" s="1"/>
  <c r="Z837" i="1"/>
  <c r="AA837" i="1"/>
  <c r="AB837" i="1"/>
  <c r="W838" i="1"/>
  <c r="AE838" i="1" s="1"/>
  <c r="X838" i="1"/>
  <c r="AF838" i="1" s="1"/>
  <c r="Y838" i="1"/>
  <c r="AG838" i="1" s="1"/>
  <c r="Z838" i="1"/>
  <c r="AA838" i="1"/>
  <c r="AB838" i="1"/>
  <c r="W839" i="1"/>
  <c r="AE839" i="1" s="1"/>
  <c r="X839" i="1"/>
  <c r="AF839" i="1" s="1"/>
  <c r="Y839" i="1"/>
  <c r="AG839" i="1" s="1"/>
  <c r="Z839" i="1"/>
  <c r="AA839" i="1"/>
  <c r="AB839" i="1"/>
  <c r="W840" i="1"/>
  <c r="AE840" i="1" s="1"/>
  <c r="X840" i="1"/>
  <c r="AF840" i="1" s="1"/>
  <c r="Y840" i="1"/>
  <c r="AG840" i="1" s="1"/>
  <c r="Z840" i="1"/>
  <c r="AA840" i="1"/>
  <c r="AB840" i="1"/>
  <c r="W841" i="1"/>
  <c r="AE841" i="1" s="1"/>
  <c r="X841" i="1"/>
  <c r="AF841" i="1" s="1"/>
  <c r="Y841" i="1"/>
  <c r="AG841" i="1" s="1"/>
  <c r="Z841" i="1"/>
  <c r="AA841" i="1"/>
  <c r="AB841" i="1"/>
  <c r="W842" i="1"/>
  <c r="AE842" i="1" s="1"/>
  <c r="X842" i="1"/>
  <c r="AF842" i="1" s="1"/>
  <c r="Y842" i="1"/>
  <c r="AG842" i="1" s="1"/>
  <c r="Z842" i="1"/>
  <c r="AA842" i="1"/>
  <c r="AB842" i="1"/>
  <c r="W843" i="1"/>
  <c r="AE843" i="1" s="1"/>
  <c r="X843" i="1"/>
  <c r="AF843" i="1" s="1"/>
  <c r="Y843" i="1"/>
  <c r="AG843" i="1" s="1"/>
  <c r="Z843" i="1"/>
  <c r="AA843" i="1"/>
  <c r="AB843" i="1"/>
  <c r="W844" i="1"/>
  <c r="AE844" i="1" s="1"/>
  <c r="X844" i="1"/>
  <c r="AF844" i="1" s="1"/>
  <c r="Y844" i="1"/>
  <c r="AG844" i="1" s="1"/>
  <c r="Z844" i="1"/>
  <c r="AA844" i="1"/>
  <c r="AB844" i="1"/>
  <c r="W845" i="1"/>
  <c r="AE845" i="1" s="1"/>
  <c r="X845" i="1"/>
  <c r="AF845" i="1" s="1"/>
  <c r="Y845" i="1"/>
  <c r="AG845" i="1" s="1"/>
  <c r="Z845" i="1"/>
  <c r="AA845" i="1"/>
  <c r="AB845" i="1"/>
  <c r="W846" i="1"/>
  <c r="AE846" i="1" s="1"/>
  <c r="X846" i="1"/>
  <c r="AF846" i="1" s="1"/>
  <c r="Y846" i="1"/>
  <c r="AG846" i="1" s="1"/>
  <c r="Z846" i="1"/>
  <c r="AA846" i="1"/>
  <c r="AB846" i="1"/>
  <c r="W847" i="1"/>
  <c r="AE847" i="1" s="1"/>
  <c r="X847" i="1"/>
  <c r="AF847" i="1" s="1"/>
  <c r="Y847" i="1"/>
  <c r="AG847" i="1" s="1"/>
  <c r="Z847" i="1"/>
  <c r="AA847" i="1"/>
  <c r="AB847" i="1"/>
  <c r="W848" i="1"/>
  <c r="AE848" i="1" s="1"/>
  <c r="X848" i="1"/>
  <c r="AF848" i="1" s="1"/>
  <c r="Y848" i="1"/>
  <c r="AG848" i="1" s="1"/>
  <c r="Z848" i="1"/>
  <c r="AA848" i="1"/>
  <c r="AB848" i="1"/>
  <c r="W849" i="1"/>
  <c r="AE849" i="1" s="1"/>
  <c r="X849" i="1"/>
  <c r="AF849" i="1" s="1"/>
  <c r="Y849" i="1"/>
  <c r="AG849" i="1" s="1"/>
  <c r="Z849" i="1"/>
  <c r="AA849" i="1"/>
  <c r="AB849" i="1"/>
  <c r="W850" i="1"/>
  <c r="AE850" i="1" s="1"/>
  <c r="X850" i="1"/>
  <c r="AF850" i="1" s="1"/>
  <c r="Y850" i="1"/>
  <c r="AG850" i="1" s="1"/>
  <c r="Z850" i="1"/>
  <c r="AA850" i="1"/>
  <c r="AB850" i="1"/>
  <c r="W851" i="1"/>
  <c r="AE851" i="1" s="1"/>
  <c r="X851" i="1"/>
  <c r="AF851" i="1" s="1"/>
  <c r="Y851" i="1"/>
  <c r="AG851" i="1" s="1"/>
  <c r="Z851" i="1"/>
  <c r="AA851" i="1"/>
  <c r="AB851" i="1"/>
  <c r="W852" i="1"/>
  <c r="AE852" i="1" s="1"/>
  <c r="X852" i="1"/>
  <c r="AF852" i="1" s="1"/>
  <c r="Y852" i="1"/>
  <c r="AG852" i="1" s="1"/>
  <c r="Z852" i="1"/>
  <c r="AA852" i="1"/>
  <c r="AB852" i="1"/>
  <c r="W853" i="1"/>
  <c r="AE853" i="1" s="1"/>
  <c r="X853" i="1"/>
  <c r="AF853" i="1" s="1"/>
  <c r="Y853" i="1"/>
  <c r="AG853" i="1" s="1"/>
  <c r="Z853" i="1"/>
  <c r="AA853" i="1"/>
  <c r="AB853" i="1"/>
  <c r="W854" i="1"/>
  <c r="AE854" i="1" s="1"/>
  <c r="X854" i="1"/>
  <c r="AF854" i="1" s="1"/>
  <c r="Y854" i="1"/>
  <c r="AG854" i="1" s="1"/>
  <c r="Z854" i="1"/>
  <c r="AA854" i="1"/>
  <c r="AB854" i="1"/>
  <c r="W855" i="1"/>
  <c r="AE855" i="1" s="1"/>
  <c r="X855" i="1"/>
  <c r="AF855" i="1" s="1"/>
  <c r="Y855" i="1"/>
  <c r="AG855" i="1" s="1"/>
  <c r="Z855" i="1"/>
  <c r="AA855" i="1"/>
  <c r="AB855" i="1"/>
  <c r="W856" i="1"/>
  <c r="AE856" i="1" s="1"/>
  <c r="X856" i="1"/>
  <c r="AF856" i="1" s="1"/>
  <c r="Y856" i="1"/>
  <c r="AG856" i="1" s="1"/>
  <c r="Z856" i="1"/>
  <c r="AA856" i="1"/>
  <c r="AB856" i="1"/>
  <c r="W857" i="1"/>
  <c r="AE857" i="1" s="1"/>
  <c r="X857" i="1"/>
  <c r="AF857" i="1" s="1"/>
  <c r="Y857" i="1"/>
  <c r="AG857" i="1" s="1"/>
  <c r="Z857" i="1"/>
  <c r="AA857" i="1"/>
  <c r="AB857" i="1"/>
  <c r="W858" i="1"/>
  <c r="AE858" i="1" s="1"/>
  <c r="X858" i="1"/>
  <c r="AF858" i="1" s="1"/>
  <c r="Y858" i="1"/>
  <c r="AG858" i="1" s="1"/>
  <c r="Z858" i="1"/>
  <c r="AA858" i="1"/>
  <c r="AB858" i="1"/>
  <c r="W859" i="1"/>
  <c r="AE859" i="1" s="1"/>
  <c r="X859" i="1"/>
  <c r="AF859" i="1" s="1"/>
  <c r="Y859" i="1"/>
  <c r="AG859" i="1" s="1"/>
  <c r="Z859" i="1"/>
  <c r="AA859" i="1"/>
  <c r="AB859" i="1"/>
  <c r="W860" i="1"/>
  <c r="AE860" i="1" s="1"/>
  <c r="X860" i="1"/>
  <c r="AF860" i="1" s="1"/>
  <c r="Y860" i="1"/>
  <c r="AG860" i="1" s="1"/>
  <c r="Z860" i="1"/>
  <c r="AA860" i="1"/>
  <c r="AB860" i="1"/>
  <c r="W861" i="1"/>
  <c r="AE861" i="1" s="1"/>
  <c r="X861" i="1"/>
  <c r="AF861" i="1" s="1"/>
  <c r="Y861" i="1"/>
  <c r="AG861" i="1" s="1"/>
  <c r="Z861" i="1"/>
  <c r="AA861" i="1"/>
  <c r="AB861" i="1"/>
  <c r="W862" i="1"/>
  <c r="AE862" i="1" s="1"/>
  <c r="X862" i="1"/>
  <c r="AF862" i="1" s="1"/>
  <c r="Y862" i="1"/>
  <c r="AG862" i="1" s="1"/>
  <c r="Z862" i="1"/>
  <c r="AA862" i="1"/>
  <c r="AB862" i="1"/>
  <c r="W863" i="1"/>
  <c r="AE863" i="1" s="1"/>
  <c r="X863" i="1"/>
  <c r="AF863" i="1" s="1"/>
  <c r="Y863" i="1"/>
  <c r="AG863" i="1" s="1"/>
  <c r="Z863" i="1"/>
  <c r="AA863" i="1"/>
  <c r="AB863" i="1"/>
  <c r="W864" i="1"/>
  <c r="AE864" i="1" s="1"/>
  <c r="X864" i="1"/>
  <c r="AF864" i="1" s="1"/>
  <c r="Y864" i="1"/>
  <c r="AG864" i="1" s="1"/>
  <c r="Z864" i="1"/>
  <c r="AA864" i="1"/>
  <c r="AB864" i="1"/>
  <c r="W865" i="1"/>
  <c r="AE865" i="1" s="1"/>
  <c r="X865" i="1"/>
  <c r="AF865" i="1" s="1"/>
  <c r="Y865" i="1"/>
  <c r="AG865" i="1" s="1"/>
  <c r="Z865" i="1"/>
  <c r="AA865" i="1"/>
  <c r="AB865" i="1"/>
  <c r="W866" i="1"/>
  <c r="AE866" i="1" s="1"/>
  <c r="X866" i="1"/>
  <c r="AF866" i="1" s="1"/>
  <c r="Y866" i="1"/>
  <c r="AG866" i="1" s="1"/>
  <c r="Z866" i="1"/>
  <c r="AA866" i="1"/>
  <c r="AB866" i="1"/>
  <c r="W867" i="1"/>
  <c r="AE867" i="1" s="1"/>
  <c r="X867" i="1"/>
  <c r="AF867" i="1" s="1"/>
  <c r="Y867" i="1"/>
  <c r="AG867" i="1" s="1"/>
  <c r="Z867" i="1"/>
  <c r="AA867" i="1"/>
  <c r="AB867" i="1"/>
  <c r="W868" i="1"/>
  <c r="AE868" i="1" s="1"/>
  <c r="X868" i="1"/>
  <c r="AF868" i="1" s="1"/>
  <c r="Y868" i="1"/>
  <c r="AG868" i="1" s="1"/>
  <c r="Z868" i="1"/>
  <c r="AA868" i="1"/>
  <c r="AB868" i="1"/>
  <c r="W869" i="1"/>
  <c r="AE869" i="1" s="1"/>
  <c r="X869" i="1"/>
  <c r="AF869" i="1" s="1"/>
  <c r="Y869" i="1"/>
  <c r="AG869" i="1" s="1"/>
  <c r="Z869" i="1"/>
  <c r="AA869" i="1"/>
  <c r="AB869" i="1"/>
  <c r="W870" i="1"/>
  <c r="AE870" i="1" s="1"/>
  <c r="X870" i="1"/>
  <c r="AF870" i="1" s="1"/>
  <c r="Y870" i="1"/>
  <c r="AG870" i="1" s="1"/>
  <c r="Z870" i="1"/>
  <c r="AA870" i="1"/>
  <c r="AB870" i="1"/>
  <c r="W871" i="1"/>
  <c r="AE871" i="1" s="1"/>
  <c r="X871" i="1"/>
  <c r="AF871" i="1" s="1"/>
  <c r="Y871" i="1"/>
  <c r="AG871" i="1" s="1"/>
  <c r="Z871" i="1"/>
  <c r="AA871" i="1"/>
  <c r="AB871" i="1"/>
  <c r="W872" i="1"/>
  <c r="AE872" i="1" s="1"/>
  <c r="X872" i="1"/>
  <c r="AF872" i="1" s="1"/>
  <c r="Y872" i="1"/>
  <c r="AG872" i="1" s="1"/>
  <c r="Z872" i="1"/>
  <c r="AA872" i="1"/>
  <c r="AB872" i="1"/>
  <c r="W873" i="1"/>
  <c r="AE873" i="1" s="1"/>
  <c r="X873" i="1"/>
  <c r="AF873" i="1" s="1"/>
  <c r="Y873" i="1"/>
  <c r="AG873" i="1" s="1"/>
  <c r="Z873" i="1"/>
  <c r="AA873" i="1"/>
  <c r="AB873" i="1"/>
  <c r="W874" i="1"/>
  <c r="AE874" i="1" s="1"/>
  <c r="X874" i="1"/>
  <c r="AF874" i="1" s="1"/>
  <c r="Y874" i="1"/>
  <c r="AG874" i="1" s="1"/>
  <c r="Z874" i="1"/>
  <c r="AA874" i="1"/>
  <c r="AB874" i="1"/>
  <c r="W875" i="1"/>
  <c r="AE875" i="1" s="1"/>
  <c r="X875" i="1"/>
  <c r="AF875" i="1" s="1"/>
  <c r="Y875" i="1"/>
  <c r="AG875" i="1" s="1"/>
  <c r="Z875" i="1"/>
  <c r="AA875" i="1"/>
  <c r="AB875" i="1"/>
  <c r="W876" i="1"/>
  <c r="AE876" i="1" s="1"/>
  <c r="X876" i="1"/>
  <c r="AF876" i="1" s="1"/>
  <c r="Y876" i="1"/>
  <c r="AG876" i="1" s="1"/>
  <c r="Z876" i="1"/>
  <c r="AA876" i="1"/>
  <c r="AB876" i="1"/>
  <c r="W877" i="1"/>
  <c r="AE877" i="1" s="1"/>
  <c r="X877" i="1"/>
  <c r="AF877" i="1" s="1"/>
  <c r="Y877" i="1"/>
  <c r="AG877" i="1" s="1"/>
  <c r="Z877" i="1"/>
  <c r="AA877" i="1"/>
  <c r="AB877" i="1"/>
  <c r="W878" i="1"/>
  <c r="AE878" i="1" s="1"/>
  <c r="X878" i="1"/>
  <c r="AF878" i="1" s="1"/>
  <c r="Y878" i="1"/>
  <c r="AG878" i="1" s="1"/>
  <c r="Z878" i="1"/>
  <c r="AA878" i="1"/>
  <c r="AB878" i="1"/>
  <c r="W879" i="1"/>
  <c r="AE879" i="1" s="1"/>
  <c r="X879" i="1"/>
  <c r="AF879" i="1" s="1"/>
  <c r="Y879" i="1"/>
  <c r="AG879" i="1" s="1"/>
  <c r="Z879" i="1"/>
  <c r="AA879" i="1"/>
  <c r="AB879" i="1"/>
  <c r="W880" i="1"/>
  <c r="AE880" i="1" s="1"/>
  <c r="X880" i="1"/>
  <c r="AF880" i="1" s="1"/>
  <c r="Y880" i="1"/>
  <c r="AG880" i="1" s="1"/>
  <c r="Z880" i="1"/>
  <c r="AA880" i="1"/>
  <c r="AB880" i="1"/>
  <c r="W881" i="1"/>
  <c r="AE881" i="1" s="1"/>
  <c r="X881" i="1"/>
  <c r="AF881" i="1" s="1"/>
  <c r="Y881" i="1"/>
  <c r="AG881" i="1" s="1"/>
  <c r="Z881" i="1"/>
  <c r="AA881" i="1"/>
  <c r="AB881" i="1"/>
  <c r="W882" i="1"/>
  <c r="AE882" i="1" s="1"/>
  <c r="X882" i="1"/>
  <c r="AF882" i="1" s="1"/>
  <c r="Y882" i="1"/>
  <c r="AG882" i="1" s="1"/>
  <c r="Z882" i="1"/>
  <c r="AA882" i="1"/>
  <c r="AB882" i="1"/>
  <c r="W883" i="1"/>
  <c r="AE883" i="1" s="1"/>
  <c r="X883" i="1"/>
  <c r="AF883" i="1" s="1"/>
  <c r="Y883" i="1"/>
  <c r="AG883" i="1" s="1"/>
  <c r="Z883" i="1"/>
  <c r="AA883" i="1"/>
  <c r="AB883" i="1"/>
  <c r="W884" i="1"/>
  <c r="AE884" i="1" s="1"/>
  <c r="X884" i="1"/>
  <c r="AF884" i="1" s="1"/>
  <c r="Y884" i="1"/>
  <c r="AG884" i="1" s="1"/>
  <c r="Z884" i="1"/>
  <c r="AA884" i="1"/>
  <c r="AB884" i="1"/>
  <c r="W885" i="1"/>
  <c r="AE885" i="1" s="1"/>
  <c r="X885" i="1"/>
  <c r="AF885" i="1" s="1"/>
  <c r="Y885" i="1"/>
  <c r="AG885" i="1" s="1"/>
  <c r="Z885" i="1"/>
  <c r="AA885" i="1"/>
  <c r="AB885" i="1"/>
  <c r="W886" i="1"/>
  <c r="AE886" i="1" s="1"/>
  <c r="X886" i="1"/>
  <c r="AF886" i="1" s="1"/>
  <c r="Y886" i="1"/>
  <c r="AG886" i="1" s="1"/>
  <c r="Z886" i="1"/>
  <c r="AA886" i="1"/>
  <c r="AB886" i="1"/>
  <c r="W887" i="1"/>
  <c r="AE887" i="1" s="1"/>
  <c r="X887" i="1"/>
  <c r="AF887" i="1" s="1"/>
  <c r="Y887" i="1"/>
  <c r="AG887" i="1" s="1"/>
  <c r="Z887" i="1"/>
  <c r="AA887" i="1"/>
  <c r="AB887" i="1"/>
  <c r="W888" i="1"/>
  <c r="AE888" i="1" s="1"/>
  <c r="X888" i="1"/>
  <c r="AF888" i="1" s="1"/>
  <c r="Y888" i="1"/>
  <c r="AG888" i="1" s="1"/>
  <c r="Z888" i="1"/>
  <c r="AA888" i="1"/>
  <c r="AB888" i="1"/>
  <c r="W889" i="1"/>
  <c r="AE889" i="1" s="1"/>
  <c r="X889" i="1"/>
  <c r="AF889" i="1" s="1"/>
  <c r="Y889" i="1"/>
  <c r="AG889" i="1" s="1"/>
  <c r="Z889" i="1"/>
  <c r="AA889" i="1"/>
  <c r="AB889" i="1"/>
  <c r="W662" i="1"/>
  <c r="AE662" i="1" s="1"/>
  <c r="X662" i="1"/>
  <c r="AF662" i="1" s="1"/>
  <c r="Y662" i="1"/>
  <c r="AG662" i="1" s="1"/>
  <c r="Z662" i="1"/>
  <c r="AA662" i="1"/>
  <c r="AB662" i="1"/>
  <c r="W890" i="1"/>
  <c r="AE890" i="1" s="1"/>
  <c r="X890" i="1"/>
  <c r="AF890" i="1" s="1"/>
  <c r="Y890" i="1"/>
  <c r="AG890" i="1" s="1"/>
  <c r="Z890" i="1"/>
  <c r="AA890" i="1"/>
  <c r="AB890" i="1"/>
  <c r="W891" i="1"/>
  <c r="AE891" i="1" s="1"/>
  <c r="X891" i="1"/>
  <c r="AF891" i="1" s="1"/>
  <c r="Y891" i="1"/>
  <c r="AG891" i="1" s="1"/>
  <c r="Z891" i="1"/>
  <c r="AA891" i="1"/>
  <c r="AB891" i="1"/>
  <c r="W892" i="1"/>
  <c r="AE892" i="1" s="1"/>
  <c r="X892" i="1"/>
  <c r="AF892" i="1" s="1"/>
  <c r="Y892" i="1"/>
  <c r="AG892" i="1" s="1"/>
  <c r="Z892" i="1"/>
  <c r="AA892" i="1"/>
  <c r="AB892" i="1"/>
  <c r="W893" i="1"/>
  <c r="AE893" i="1" s="1"/>
  <c r="X893" i="1"/>
  <c r="AF893" i="1" s="1"/>
  <c r="Y893" i="1"/>
  <c r="AG893" i="1" s="1"/>
  <c r="Z893" i="1"/>
  <c r="AA893" i="1"/>
  <c r="AB893" i="1"/>
  <c r="W894" i="1"/>
  <c r="AE894" i="1" s="1"/>
  <c r="X894" i="1"/>
  <c r="AF894" i="1" s="1"/>
  <c r="Y894" i="1"/>
  <c r="AG894" i="1" s="1"/>
  <c r="Z894" i="1"/>
  <c r="AA894" i="1"/>
  <c r="AB894" i="1"/>
  <c r="W895" i="1"/>
  <c r="AE895" i="1" s="1"/>
  <c r="X895" i="1"/>
  <c r="AF895" i="1" s="1"/>
  <c r="Y895" i="1"/>
  <c r="AG895" i="1" s="1"/>
  <c r="Z895" i="1"/>
  <c r="AA895" i="1"/>
  <c r="AB895" i="1"/>
  <c r="W896" i="1"/>
  <c r="AE896" i="1" s="1"/>
  <c r="X896" i="1"/>
  <c r="AF896" i="1" s="1"/>
  <c r="Y896" i="1"/>
  <c r="AG896" i="1" s="1"/>
  <c r="Z896" i="1"/>
  <c r="AA896" i="1"/>
  <c r="AB896" i="1"/>
  <c r="W897" i="1"/>
  <c r="AE897" i="1" s="1"/>
  <c r="X897" i="1"/>
  <c r="AF897" i="1" s="1"/>
  <c r="Y897" i="1"/>
  <c r="AG897" i="1" s="1"/>
  <c r="Z897" i="1"/>
  <c r="AA897" i="1"/>
  <c r="AB897" i="1"/>
  <c r="W898" i="1"/>
  <c r="AE898" i="1" s="1"/>
  <c r="X898" i="1"/>
  <c r="AF898" i="1" s="1"/>
  <c r="Y898" i="1"/>
  <c r="AG898" i="1" s="1"/>
  <c r="Z898" i="1"/>
  <c r="AA898" i="1"/>
  <c r="AB898" i="1"/>
  <c r="W899" i="1"/>
  <c r="AE899" i="1" s="1"/>
  <c r="X899" i="1"/>
  <c r="AF899" i="1" s="1"/>
  <c r="Y899" i="1"/>
  <c r="AG899" i="1" s="1"/>
  <c r="Z899" i="1"/>
  <c r="AA899" i="1"/>
  <c r="AB899" i="1"/>
  <c r="W900" i="1"/>
  <c r="AE900" i="1" s="1"/>
  <c r="X900" i="1"/>
  <c r="AF900" i="1" s="1"/>
  <c r="Y900" i="1"/>
  <c r="AG900" i="1" s="1"/>
  <c r="Z900" i="1"/>
  <c r="AA900" i="1"/>
  <c r="AB900" i="1"/>
  <c r="W901" i="1"/>
  <c r="AE901" i="1" s="1"/>
  <c r="X901" i="1"/>
  <c r="AF901" i="1" s="1"/>
  <c r="Y901" i="1"/>
  <c r="AG901" i="1" s="1"/>
  <c r="Z901" i="1"/>
  <c r="AA901" i="1"/>
  <c r="AB901" i="1"/>
  <c r="W902" i="1"/>
  <c r="AE902" i="1" s="1"/>
  <c r="X902" i="1"/>
  <c r="AF902" i="1" s="1"/>
  <c r="Y902" i="1"/>
  <c r="AG902" i="1" s="1"/>
  <c r="Z902" i="1"/>
  <c r="AA902" i="1"/>
  <c r="AB902" i="1"/>
  <c r="W903" i="1"/>
  <c r="AE903" i="1" s="1"/>
  <c r="X903" i="1"/>
  <c r="AF903" i="1" s="1"/>
  <c r="Y903" i="1"/>
  <c r="AG903" i="1" s="1"/>
  <c r="Z903" i="1"/>
  <c r="AA903" i="1"/>
  <c r="AB903" i="1"/>
  <c r="W904" i="1"/>
  <c r="AE904" i="1" s="1"/>
  <c r="X904" i="1"/>
  <c r="AF904" i="1" s="1"/>
  <c r="Y904" i="1"/>
  <c r="AG904" i="1" s="1"/>
  <c r="Z904" i="1"/>
  <c r="AA904" i="1"/>
  <c r="AB904" i="1"/>
  <c r="W905" i="1"/>
  <c r="AE905" i="1" s="1"/>
  <c r="X905" i="1"/>
  <c r="AF905" i="1" s="1"/>
  <c r="Y905" i="1"/>
  <c r="AG905" i="1" s="1"/>
  <c r="Z905" i="1"/>
  <c r="AA905" i="1"/>
  <c r="AB905" i="1"/>
  <c r="W906" i="1"/>
  <c r="AE906" i="1" s="1"/>
  <c r="X906" i="1"/>
  <c r="AF906" i="1" s="1"/>
  <c r="Y906" i="1"/>
  <c r="AG906" i="1" s="1"/>
  <c r="Z906" i="1"/>
  <c r="AA906" i="1"/>
  <c r="AB906" i="1"/>
  <c r="W907" i="1"/>
  <c r="AE907" i="1" s="1"/>
  <c r="X907" i="1"/>
  <c r="AF907" i="1" s="1"/>
  <c r="Y907" i="1"/>
  <c r="AG907" i="1" s="1"/>
  <c r="Z907" i="1"/>
  <c r="AA907" i="1"/>
  <c r="AB907" i="1"/>
  <c r="W908" i="1"/>
  <c r="AE908" i="1" s="1"/>
  <c r="X908" i="1"/>
  <c r="AF908" i="1" s="1"/>
  <c r="Y908" i="1"/>
  <c r="AG908" i="1" s="1"/>
  <c r="Z908" i="1"/>
  <c r="AA908" i="1"/>
  <c r="AB908" i="1"/>
  <c r="W909" i="1"/>
  <c r="AE909" i="1" s="1"/>
  <c r="X909" i="1"/>
  <c r="AF909" i="1" s="1"/>
  <c r="Y909" i="1"/>
  <c r="AG909" i="1" s="1"/>
  <c r="Z909" i="1"/>
  <c r="AA909" i="1"/>
  <c r="AB909" i="1"/>
  <c r="W910" i="1"/>
  <c r="AE910" i="1" s="1"/>
  <c r="X910" i="1"/>
  <c r="AF910" i="1" s="1"/>
  <c r="Y910" i="1"/>
  <c r="AG910" i="1" s="1"/>
  <c r="Z910" i="1"/>
  <c r="AA910" i="1"/>
  <c r="AB910" i="1"/>
  <c r="W911" i="1"/>
  <c r="AE911" i="1" s="1"/>
  <c r="X911" i="1"/>
  <c r="AF911" i="1" s="1"/>
  <c r="Y911" i="1"/>
  <c r="AG911" i="1" s="1"/>
  <c r="Z911" i="1"/>
  <c r="AA911" i="1"/>
  <c r="AB911" i="1"/>
  <c r="W912" i="1"/>
  <c r="AE912" i="1" s="1"/>
  <c r="X912" i="1"/>
  <c r="AF912" i="1" s="1"/>
  <c r="Y912" i="1"/>
  <c r="AG912" i="1" s="1"/>
  <c r="Z912" i="1"/>
  <c r="AA912" i="1"/>
  <c r="AB912" i="1"/>
  <c r="W913" i="1"/>
  <c r="AE913" i="1" s="1"/>
  <c r="X913" i="1"/>
  <c r="AF913" i="1" s="1"/>
  <c r="Y913" i="1"/>
  <c r="AG913" i="1" s="1"/>
  <c r="Z913" i="1"/>
  <c r="AA913" i="1"/>
  <c r="AB913" i="1"/>
  <c r="W914" i="1"/>
  <c r="AE914" i="1" s="1"/>
  <c r="X914" i="1"/>
  <c r="AF914" i="1" s="1"/>
  <c r="Y914" i="1"/>
  <c r="AG914" i="1" s="1"/>
  <c r="Z914" i="1"/>
  <c r="AA914" i="1"/>
  <c r="AB914" i="1"/>
  <c r="W915" i="1"/>
  <c r="AE915" i="1" s="1"/>
  <c r="X915" i="1"/>
  <c r="AF915" i="1" s="1"/>
  <c r="Y915" i="1"/>
  <c r="AG915" i="1" s="1"/>
  <c r="Z915" i="1"/>
  <c r="AA915" i="1"/>
  <c r="AB915" i="1"/>
  <c r="W916" i="1"/>
  <c r="AE916" i="1" s="1"/>
  <c r="X916" i="1"/>
  <c r="AF916" i="1" s="1"/>
  <c r="Y916" i="1"/>
  <c r="AG916" i="1" s="1"/>
  <c r="Z916" i="1"/>
  <c r="AA916" i="1"/>
  <c r="AB916" i="1"/>
  <c r="W917" i="1"/>
  <c r="AE917" i="1" s="1"/>
  <c r="X917" i="1"/>
  <c r="AF917" i="1" s="1"/>
  <c r="Y917" i="1"/>
  <c r="AG917" i="1" s="1"/>
  <c r="Z917" i="1"/>
  <c r="AA917" i="1"/>
  <c r="AB917" i="1"/>
  <c r="W918" i="1"/>
  <c r="AE918" i="1" s="1"/>
  <c r="X918" i="1"/>
  <c r="AF918" i="1" s="1"/>
  <c r="Y918" i="1"/>
  <c r="AG918" i="1" s="1"/>
  <c r="Z918" i="1"/>
  <c r="AA918" i="1"/>
  <c r="AB918" i="1"/>
  <c r="W919" i="1"/>
  <c r="AE919" i="1" s="1"/>
  <c r="X919" i="1"/>
  <c r="AF919" i="1" s="1"/>
  <c r="Y919" i="1"/>
  <c r="AG919" i="1" s="1"/>
  <c r="Z919" i="1"/>
  <c r="AA919" i="1"/>
  <c r="AB919" i="1"/>
  <c r="W920" i="1"/>
  <c r="AE920" i="1" s="1"/>
  <c r="X920" i="1"/>
  <c r="AF920" i="1" s="1"/>
  <c r="Y920" i="1"/>
  <c r="AG920" i="1" s="1"/>
  <c r="Z920" i="1"/>
  <c r="AA920" i="1"/>
  <c r="AB920" i="1"/>
  <c r="W921" i="1"/>
  <c r="AE921" i="1" s="1"/>
  <c r="X921" i="1"/>
  <c r="AF921" i="1" s="1"/>
  <c r="Y921" i="1"/>
  <c r="AG921" i="1" s="1"/>
  <c r="Z921" i="1"/>
  <c r="AA921" i="1"/>
  <c r="AB921" i="1"/>
  <c r="W922" i="1"/>
  <c r="AE922" i="1" s="1"/>
  <c r="X922" i="1"/>
  <c r="AF922" i="1" s="1"/>
  <c r="Y922" i="1"/>
  <c r="AG922" i="1" s="1"/>
  <c r="Z922" i="1"/>
  <c r="AA922" i="1"/>
  <c r="AB922" i="1"/>
  <c r="W923" i="1"/>
  <c r="AE923" i="1" s="1"/>
  <c r="X923" i="1"/>
  <c r="AF923" i="1" s="1"/>
  <c r="Y923" i="1"/>
  <c r="AG923" i="1" s="1"/>
  <c r="Z923" i="1"/>
  <c r="AA923" i="1"/>
  <c r="AB923" i="1"/>
  <c r="W924" i="1"/>
  <c r="AE924" i="1" s="1"/>
  <c r="X924" i="1"/>
  <c r="AF924" i="1" s="1"/>
  <c r="Y924" i="1"/>
  <c r="AG924" i="1" s="1"/>
  <c r="Z924" i="1"/>
  <c r="AA924" i="1"/>
  <c r="AB924" i="1"/>
  <c r="W925" i="1"/>
  <c r="AE925" i="1" s="1"/>
  <c r="X925" i="1"/>
  <c r="AF925" i="1" s="1"/>
  <c r="Y925" i="1"/>
  <c r="AG925" i="1" s="1"/>
  <c r="Z925" i="1"/>
  <c r="AA925" i="1"/>
  <c r="AB925" i="1"/>
  <c r="W926" i="1"/>
  <c r="AE926" i="1" s="1"/>
  <c r="X926" i="1"/>
  <c r="AF926" i="1" s="1"/>
  <c r="Y926" i="1"/>
  <c r="AG926" i="1" s="1"/>
  <c r="Z926" i="1"/>
  <c r="AA926" i="1"/>
  <c r="AB926" i="1"/>
  <c r="W927" i="1"/>
  <c r="AE927" i="1" s="1"/>
  <c r="X927" i="1"/>
  <c r="AF927" i="1" s="1"/>
  <c r="Y927" i="1"/>
  <c r="AG927" i="1" s="1"/>
  <c r="Z927" i="1"/>
  <c r="AA927" i="1"/>
  <c r="AB927" i="1"/>
  <c r="W928" i="1"/>
  <c r="AE928" i="1" s="1"/>
  <c r="X928" i="1"/>
  <c r="AF928" i="1" s="1"/>
  <c r="Y928" i="1"/>
  <c r="AG928" i="1" s="1"/>
  <c r="Z928" i="1"/>
  <c r="AA928" i="1"/>
  <c r="AB928" i="1"/>
  <c r="W929" i="1"/>
  <c r="AE929" i="1" s="1"/>
  <c r="X929" i="1"/>
  <c r="AF929" i="1" s="1"/>
  <c r="Y929" i="1"/>
  <c r="AG929" i="1" s="1"/>
  <c r="Z929" i="1"/>
  <c r="AA929" i="1"/>
  <c r="AB929" i="1"/>
  <c r="W930" i="1"/>
  <c r="AE930" i="1" s="1"/>
  <c r="X930" i="1"/>
  <c r="AF930" i="1" s="1"/>
  <c r="Y930" i="1"/>
  <c r="AG930" i="1" s="1"/>
  <c r="Z930" i="1"/>
  <c r="AA930" i="1"/>
  <c r="AB930" i="1"/>
  <c r="W931" i="1"/>
  <c r="AE931" i="1" s="1"/>
  <c r="X931" i="1"/>
  <c r="AF931" i="1" s="1"/>
  <c r="Y931" i="1"/>
  <c r="AG931" i="1" s="1"/>
  <c r="Z931" i="1"/>
  <c r="AA931" i="1"/>
  <c r="AB931" i="1"/>
  <c r="W932" i="1"/>
  <c r="AE932" i="1" s="1"/>
  <c r="X932" i="1"/>
  <c r="AF932" i="1" s="1"/>
  <c r="Y932" i="1"/>
  <c r="AG932" i="1" s="1"/>
  <c r="Z932" i="1"/>
  <c r="AA932" i="1"/>
  <c r="AB932" i="1"/>
  <c r="W933" i="1"/>
  <c r="AE933" i="1" s="1"/>
  <c r="X933" i="1"/>
  <c r="AF933" i="1" s="1"/>
  <c r="Y933" i="1"/>
  <c r="AG933" i="1" s="1"/>
  <c r="Z933" i="1"/>
  <c r="AA933" i="1"/>
  <c r="AB933" i="1"/>
  <c r="W934" i="1"/>
  <c r="AE934" i="1" s="1"/>
  <c r="X934" i="1"/>
  <c r="AF934" i="1" s="1"/>
  <c r="Y934" i="1"/>
  <c r="AG934" i="1" s="1"/>
  <c r="Z934" i="1"/>
  <c r="AA934" i="1"/>
  <c r="AB934" i="1"/>
  <c r="W935" i="1"/>
  <c r="AE935" i="1" s="1"/>
  <c r="X935" i="1"/>
  <c r="AF935" i="1" s="1"/>
  <c r="Y935" i="1"/>
  <c r="AG935" i="1" s="1"/>
  <c r="Z935" i="1"/>
  <c r="AA935" i="1"/>
  <c r="AB935" i="1"/>
  <c r="W936" i="1"/>
  <c r="AE936" i="1" s="1"/>
  <c r="X936" i="1"/>
  <c r="AF936" i="1" s="1"/>
  <c r="Y936" i="1"/>
  <c r="AG936" i="1" s="1"/>
  <c r="Z936" i="1"/>
  <c r="AA936" i="1"/>
  <c r="AB936" i="1"/>
  <c r="W937" i="1"/>
  <c r="AE937" i="1" s="1"/>
  <c r="X937" i="1"/>
  <c r="AF937" i="1" s="1"/>
  <c r="Y937" i="1"/>
  <c r="AG937" i="1" s="1"/>
  <c r="Z937" i="1"/>
  <c r="AA937" i="1"/>
  <c r="AB937" i="1"/>
  <c r="W938" i="1"/>
  <c r="AE938" i="1" s="1"/>
  <c r="X938" i="1"/>
  <c r="AF938" i="1" s="1"/>
  <c r="Y938" i="1"/>
  <c r="AG938" i="1" s="1"/>
  <c r="Z938" i="1"/>
  <c r="AA938" i="1"/>
  <c r="AB938" i="1"/>
  <c r="W939" i="1"/>
  <c r="AE939" i="1" s="1"/>
  <c r="X939" i="1"/>
  <c r="AF939" i="1" s="1"/>
  <c r="Y939" i="1"/>
  <c r="AG939" i="1" s="1"/>
  <c r="Z939" i="1"/>
  <c r="AA939" i="1"/>
  <c r="AB939" i="1"/>
  <c r="W940" i="1"/>
  <c r="AE940" i="1" s="1"/>
  <c r="X940" i="1"/>
  <c r="AF940" i="1" s="1"/>
  <c r="Y940" i="1"/>
  <c r="AG940" i="1" s="1"/>
  <c r="Z940" i="1"/>
  <c r="AA940" i="1"/>
  <c r="AB940" i="1"/>
  <c r="W941" i="1"/>
  <c r="AE941" i="1" s="1"/>
  <c r="X941" i="1"/>
  <c r="AF941" i="1" s="1"/>
  <c r="Y941" i="1"/>
  <c r="AG941" i="1" s="1"/>
  <c r="Z941" i="1"/>
  <c r="AA941" i="1"/>
  <c r="AB941" i="1"/>
  <c r="W942" i="1"/>
  <c r="AE942" i="1" s="1"/>
  <c r="X942" i="1"/>
  <c r="AF942" i="1" s="1"/>
  <c r="Y942" i="1"/>
  <c r="AG942" i="1" s="1"/>
  <c r="Z942" i="1"/>
  <c r="AA942" i="1"/>
  <c r="AB942" i="1"/>
  <c r="W943" i="1"/>
  <c r="AE943" i="1" s="1"/>
  <c r="X943" i="1"/>
  <c r="AF943" i="1" s="1"/>
  <c r="Y943" i="1"/>
  <c r="AG943" i="1" s="1"/>
  <c r="Z943" i="1"/>
  <c r="AA943" i="1"/>
  <c r="AB943" i="1"/>
  <c r="W944" i="1"/>
  <c r="AE944" i="1" s="1"/>
  <c r="X944" i="1"/>
  <c r="AF944" i="1" s="1"/>
  <c r="Y944" i="1"/>
  <c r="AG944" i="1" s="1"/>
  <c r="Z944" i="1"/>
  <c r="AA944" i="1"/>
  <c r="AB944" i="1"/>
  <c r="W945" i="1"/>
  <c r="AE945" i="1" s="1"/>
  <c r="X945" i="1"/>
  <c r="AF945" i="1" s="1"/>
  <c r="Y945" i="1"/>
  <c r="AG945" i="1" s="1"/>
  <c r="Z945" i="1"/>
  <c r="AA945" i="1"/>
  <c r="AB945" i="1"/>
  <c r="W946" i="1"/>
  <c r="AE946" i="1" s="1"/>
  <c r="X946" i="1"/>
  <c r="AF946" i="1" s="1"/>
  <c r="Y946" i="1"/>
  <c r="AG946" i="1" s="1"/>
  <c r="Z946" i="1"/>
  <c r="AA946" i="1"/>
  <c r="AB946" i="1"/>
  <c r="W947" i="1"/>
  <c r="AE947" i="1" s="1"/>
  <c r="X947" i="1"/>
  <c r="AF947" i="1" s="1"/>
  <c r="Y947" i="1"/>
  <c r="AG947" i="1" s="1"/>
  <c r="Z947" i="1"/>
  <c r="AA947" i="1"/>
  <c r="AB947" i="1"/>
  <c r="W948" i="1"/>
  <c r="AE948" i="1" s="1"/>
  <c r="X948" i="1"/>
  <c r="AF948" i="1" s="1"/>
  <c r="Y948" i="1"/>
  <c r="AG948" i="1" s="1"/>
  <c r="Z948" i="1"/>
  <c r="AA948" i="1"/>
  <c r="AB948" i="1"/>
  <c r="W949" i="1"/>
  <c r="AE949" i="1" s="1"/>
  <c r="X949" i="1"/>
  <c r="AF949" i="1" s="1"/>
  <c r="Y949" i="1"/>
  <c r="AG949" i="1" s="1"/>
  <c r="Z949" i="1"/>
  <c r="AA949" i="1"/>
  <c r="AB949" i="1"/>
  <c r="W950" i="1"/>
  <c r="AE950" i="1" s="1"/>
  <c r="X950" i="1"/>
  <c r="AF950" i="1" s="1"/>
  <c r="Y950" i="1"/>
  <c r="AG950" i="1" s="1"/>
  <c r="Z950" i="1"/>
  <c r="AA950" i="1"/>
  <c r="AB950" i="1"/>
  <c r="W951" i="1"/>
  <c r="AE951" i="1" s="1"/>
  <c r="X951" i="1"/>
  <c r="AF951" i="1" s="1"/>
  <c r="Y951" i="1"/>
  <c r="AG951" i="1" s="1"/>
  <c r="Z951" i="1"/>
  <c r="AA951" i="1"/>
  <c r="AB951" i="1"/>
  <c r="W952" i="1"/>
  <c r="AE952" i="1" s="1"/>
  <c r="X952" i="1"/>
  <c r="AF952" i="1" s="1"/>
  <c r="Y952" i="1"/>
  <c r="AG952" i="1" s="1"/>
  <c r="Z952" i="1"/>
  <c r="AA952" i="1"/>
  <c r="AB952" i="1"/>
  <c r="W953" i="1"/>
  <c r="AE953" i="1" s="1"/>
  <c r="X953" i="1"/>
  <c r="AF953" i="1" s="1"/>
  <c r="Y953" i="1"/>
  <c r="AG953" i="1" s="1"/>
  <c r="Z953" i="1"/>
  <c r="AA953" i="1"/>
  <c r="AB953" i="1"/>
  <c r="W954" i="1"/>
  <c r="AE954" i="1" s="1"/>
  <c r="X954" i="1"/>
  <c r="AF954" i="1" s="1"/>
  <c r="Y954" i="1"/>
  <c r="AG954" i="1" s="1"/>
  <c r="Z954" i="1"/>
  <c r="AA954" i="1"/>
  <c r="AB954" i="1"/>
  <c r="W955" i="1"/>
  <c r="AE955" i="1" s="1"/>
  <c r="X955" i="1"/>
  <c r="AF955" i="1" s="1"/>
  <c r="Y955" i="1"/>
  <c r="AG955" i="1" s="1"/>
  <c r="Z955" i="1"/>
  <c r="AA955" i="1"/>
  <c r="AB955" i="1"/>
  <c r="W956" i="1"/>
  <c r="AE956" i="1" s="1"/>
  <c r="X956" i="1"/>
  <c r="AF956" i="1" s="1"/>
  <c r="Y956" i="1"/>
  <c r="AG956" i="1" s="1"/>
  <c r="Z956" i="1"/>
  <c r="AA956" i="1"/>
  <c r="AB956" i="1"/>
  <c r="W957" i="1"/>
  <c r="AE957" i="1" s="1"/>
  <c r="X957" i="1"/>
  <c r="AF957" i="1" s="1"/>
  <c r="Y957" i="1"/>
  <c r="AG957" i="1" s="1"/>
  <c r="Z957" i="1"/>
  <c r="AA957" i="1"/>
  <c r="AB957" i="1"/>
  <c r="W958" i="1"/>
  <c r="AE958" i="1" s="1"/>
  <c r="X958" i="1"/>
  <c r="AF958" i="1" s="1"/>
  <c r="Y958" i="1"/>
  <c r="AG958" i="1" s="1"/>
  <c r="Z958" i="1"/>
  <c r="AA958" i="1"/>
  <c r="AB958" i="1"/>
  <c r="W959" i="1"/>
  <c r="AE959" i="1" s="1"/>
  <c r="X959" i="1"/>
  <c r="AF959" i="1" s="1"/>
  <c r="Y959" i="1"/>
  <c r="AG959" i="1" s="1"/>
  <c r="Z959" i="1"/>
  <c r="AA959" i="1"/>
  <c r="AB959" i="1"/>
  <c r="W960" i="1"/>
  <c r="AE960" i="1" s="1"/>
  <c r="X960" i="1"/>
  <c r="AF960" i="1" s="1"/>
  <c r="Y960" i="1"/>
  <c r="AG960" i="1" s="1"/>
  <c r="Z960" i="1"/>
  <c r="AA960" i="1"/>
  <c r="AB960" i="1"/>
  <c r="W961" i="1"/>
  <c r="AE961" i="1" s="1"/>
  <c r="X961" i="1"/>
  <c r="AF961" i="1" s="1"/>
  <c r="Y961" i="1"/>
  <c r="AG961" i="1" s="1"/>
  <c r="Z961" i="1"/>
  <c r="AA961" i="1"/>
  <c r="AB961" i="1"/>
  <c r="W962" i="1"/>
  <c r="AE962" i="1" s="1"/>
  <c r="X962" i="1"/>
  <c r="AF962" i="1" s="1"/>
  <c r="Y962" i="1"/>
  <c r="AG962" i="1" s="1"/>
  <c r="Z962" i="1"/>
  <c r="AA962" i="1"/>
  <c r="AB962" i="1"/>
  <c r="W963" i="1"/>
  <c r="AE963" i="1" s="1"/>
  <c r="X963" i="1"/>
  <c r="AF963" i="1" s="1"/>
  <c r="Y963" i="1"/>
  <c r="AG963" i="1" s="1"/>
  <c r="Z963" i="1"/>
  <c r="AA963" i="1"/>
  <c r="AB963" i="1"/>
  <c r="W964" i="1"/>
  <c r="AE964" i="1" s="1"/>
  <c r="X964" i="1"/>
  <c r="AF964" i="1" s="1"/>
  <c r="Y964" i="1"/>
  <c r="AG964" i="1" s="1"/>
  <c r="Z964" i="1"/>
  <c r="AA964" i="1"/>
  <c r="AB964" i="1"/>
  <c r="W965" i="1"/>
  <c r="AE965" i="1" s="1"/>
  <c r="X965" i="1"/>
  <c r="AF965" i="1" s="1"/>
  <c r="Y965" i="1"/>
  <c r="AG965" i="1" s="1"/>
  <c r="Z965" i="1"/>
  <c r="AA965" i="1"/>
  <c r="AB965" i="1"/>
  <c r="W966" i="1"/>
  <c r="AE966" i="1" s="1"/>
  <c r="X966" i="1"/>
  <c r="AF966" i="1" s="1"/>
  <c r="Y966" i="1"/>
  <c r="AG966" i="1" s="1"/>
  <c r="Z966" i="1"/>
  <c r="AA966" i="1"/>
  <c r="AB966" i="1"/>
  <c r="W967" i="1"/>
  <c r="AE967" i="1" s="1"/>
  <c r="X967" i="1"/>
  <c r="AF967" i="1" s="1"/>
  <c r="Y967" i="1"/>
  <c r="AG967" i="1" s="1"/>
  <c r="Z967" i="1"/>
  <c r="AA967" i="1"/>
  <c r="AB967" i="1"/>
  <c r="W968" i="1"/>
  <c r="AE968" i="1" s="1"/>
  <c r="X968" i="1"/>
  <c r="AF968" i="1" s="1"/>
  <c r="Y968" i="1"/>
  <c r="AG968" i="1" s="1"/>
  <c r="Z968" i="1"/>
  <c r="AA968" i="1"/>
  <c r="AB968" i="1"/>
  <c r="W969" i="1"/>
  <c r="AE969" i="1" s="1"/>
  <c r="X969" i="1"/>
  <c r="AF969" i="1" s="1"/>
  <c r="Y969" i="1"/>
  <c r="AG969" i="1" s="1"/>
  <c r="Z969" i="1"/>
  <c r="AA969" i="1"/>
  <c r="AB969" i="1"/>
  <c r="W970" i="1"/>
  <c r="AE970" i="1" s="1"/>
  <c r="X970" i="1"/>
  <c r="AF970" i="1" s="1"/>
  <c r="Y970" i="1"/>
  <c r="AG970" i="1" s="1"/>
  <c r="Z970" i="1"/>
  <c r="AA970" i="1"/>
  <c r="AB970" i="1"/>
  <c r="W971" i="1"/>
  <c r="AE971" i="1" s="1"/>
  <c r="X971" i="1"/>
  <c r="AF971" i="1" s="1"/>
  <c r="Y971" i="1"/>
  <c r="AG971" i="1" s="1"/>
  <c r="Z971" i="1"/>
  <c r="AA971" i="1"/>
  <c r="AB971" i="1"/>
  <c r="W972" i="1"/>
  <c r="AE972" i="1" s="1"/>
  <c r="X972" i="1"/>
  <c r="AF972" i="1" s="1"/>
  <c r="Y972" i="1"/>
  <c r="AG972" i="1" s="1"/>
  <c r="Z972" i="1"/>
  <c r="AA972" i="1"/>
  <c r="AB972" i="1"/>
  <c r="W973" i="1"/>
  <c r="AE973" i="1" s="1"/>
  <c r="X973" i="1"/>
  <c r="AF973" i="1" s="1"/>
  <c r="Y973" i="1"/>
  <c r="AG973" i="1" s="1"/>
  <c r="Z973" i="1"/>
  <c r="AA973" i="1"/>
  <c r="AB973" i="1"/>
  <c r="W974" i="1"/>
  <c r="AE974" i="1" s="1"/>
  <c r="X974" i="1"/>
  <c r="AF974" i="1" s="1"/>
  <c r="Y974" i="1"/>
  <c r="AG974" i="1" s="1"/>
  <c r="Z974" i="1"/>
  <c r="AA974" i="1"/>
  <c r="AB974" i="1"/>
  <c r="W975" i="1"/>
  <c r="AE975" i="1" s="1"/>
  <c r="X975" i="1"/>
  <c r="AF975" i="1" s="1"/>
  <c r="Y975" i="1"/>
  <c r="AG975" i="1" s="1"/>
  <c r="Z975" i="1"/>
  <c r="AA975" i="1"/>
  <c r="AB975" i="1"/>
  <c r="W976" i="1"/>
  <c r="AE976" i="1" s="1"/>
  <c r="X976" i="1"/>
  <c r="AF976" i="1" s="1"/>
  <c r="Y976" i="1"/>
  <c r="AG976" i="1" s="1"/>
  <c r="Z976" i="1"/>
  <c r="AA976" i="1"/>
  <c r="AB976" i="1"/>
  <c r="W977" i="1"/>
  <c r="AE977" i="1" s="1"/>
  <c r="X977" i="1"/>
  <c r="AF977" i="1" s="1"/>
  <c r="Y977" i="1"/>
  <c r="AG977" i="1" s="1"/>
  <c r="Z977" i="1"/>
  <c r="AA977" i="1"/>
  <c r="AB977" i="1"/>
  <c r="W978" i="1"/>
  <c r="AE978" i="1" s="1"/>
  <c r="X978" i="1"/>
  <c r="AF978" i="1" s="1"/>
  <c r="Y978" i="1"/>
  <c r="AG978" i="1" s="1"/>
  <c r="Z978" i="1"/>
  <c r="AA978" i="1"/>
  <c r="AB978" i="1"/>
  <c r="W979" i="1"/>
  <c r="AE979" i="1" s="1"/>
  <c r="X979" i="1"/>
  <c r="AF979" i="1" s="1"/>
  <c r="Y979" i="1"/>
  <c r="AG979" i="1" s="1"/>
  <c r="Z979" i="1"/>
  <c r="AA979" i="1"/>
  <c r="AB979" i="1"/>
  <c r="W980" i="1"/>
  <c r="AE980" i="1" s="1"/>
  <c r="X980" i="1"/>
  <c r="AF980" i="1" s="1"/>
  <c r="Y980" i="1"/>
  <c r="AG980" i="1" s="1"/>
  <c r="Z980" i="1"/>
  <c r="AA980" i="1"/>
  <c r="AB980" i="1"/>
  <c r="W981" i="1"/>
  <c r="AE981" i="1" s="1"/>
  <c r="X981" i="1"/>
  <c r="AF981" i="1" s="1"/>
  <c r="Y981" i="1"/>
  <c r="AG981" i="1" s="1"/>
  <c r="Z981" i="1"/>
  <c r="AA981" i="1"/>
  <c r="AB981" i="1"/>
  <c r="W982" i="1"/>
  <c r="AE982" i="1" s="1"/>
  <c r="X982" i="1"/>
  <c r="AF982" i="1" s="1"/>
  <c r="Y982" i="1"/>
  <c r="AG982" i="1" s="1"/>
  <c r="Z982" i="1"/>
  <c r="AA982" i="1"/>
  <c r="AB982" i="1"/>
  <c r="W983" i="1"/>
  <c r="AE983" i="1" s="1"/>
  <c r="X983" i="1"/>
  <c r="AF983" i="1" s="1"/>
  <c r="Y983" i="1"/>
  <c r="AG983" i="1" s="1"/>
  <c r="Z983" i="1"/>
  <c r="AA983" i="1"/>
  <c r="AB983" i="1"/>
  <c r="W984" i="1"/>
  <c r="AE984" i="1" s="1"/>
  <c r="X984" i="1"/>
  <c r="AF984" i="1" s="1"/>
  <c r="Y984" i="1"/>
  <c r="AG984" i="1" s="1"/>
  <c r="Z984" i="1"/>
  <c r="AA984" i="1"/>
  <c r="AB984" i="1"/>
  <c r="W985" i="1"/>
  <c r="AE985" i="1" s="1"/>
  <c r="X985" i="1"/>
  <c r="AF985" i="1" s="1"/>
  <c r="Y985" i="1"/>
  <c r="AG985" i="1" s="1"/>
  <c r="Z985" i="1"/>
  <c r="AA985" i="1"/>
  <c r="AB985" i="1"/>
  <c r="W986" i="1"/>
  <c r="AE986" i="1" s="1"/>
  <c r="X986" i="1"/>
  <c r="AF986" i="1" s="1"/>
  <c r="Y986" i="1"/>
  <c r="AG986" i="1" s="1"/>
  <c r="Z986" i="1"/>
  <c r="AA986" i="1"/>
  <c r="AB986" i="1"/>
  <c r="W987" i="1"/>
  <c r="AE987" i="1" s="1"/>
  <c r="X987" i="1"/>
  <c r="AF987" i="1" s="1"/>
  <c r="Y987" i="1"/>
  <c r="AG987" i="1" s="1"/>
  <c r="Z987" i="1"/>
  <c r="AA987" i="1"/>
  <c r="AB987" i="1"/>
  <c r="W988" i="1"/>
  <c r="AE988" i="1" s="1"/>
  <c r="X988" i="1"/>
  <c r="AF988" i="1" s="1"/>
  <c r="Y988" i="1"/>
  <c r="AG988" i="1" s="1"/>
  <c r="Z988" i="1"/>
  <c r="AA988" i="1"/>
  <c r="AB988" i="1"/>
  <c r="W989" i="1"/>
  <c r="AE989" i="1" s="1"/>
  <c r="X989" i="1"/>
  <c r="AF989" i="1" s="1"/>
  <c r="Y989" i="1"/>
  <c r="AG989" i="1" s="1"/>
  <c r="Z989" i="1"/>
  <c r="AA989" i="1"/>
  <c r="AB989" i="1"/>
  <c r="W990" i="1"/>
  <c r="AE990" i="1" s="1"/>
  <c r="X990" i="1"/>
  <c r="AF990" i="1" s="1"/>
  <c r="Y990" i="1"/>
  <c r="AG990" i="1" s="1"/>
  <c r="Z990" i="1"/>
  <c r="AA990" i="1"/>
  <c r="AB990" i="1"/>
  <c r="W991" i="1"/>
  <c r="AE991" i="1" s="1"/>
  <c r="X991" i="1"/>
  <c r="AF991" i="1" s="1"/>
  <c r="Y991" i="1"/>
  <c r="AG991" i="1" s="1"/>
  <c r="Z991" i="1"/>
  <c r="AA991" i="1"/>
  <c r="AB991" i="1"/>
  <c r="W992" i="1"/>
  <c r="AE992" i="1" s="1"/>
  <c r="X992" i="1"/>
  <c r="AF992" i="1" s="1"/>
  <c r="Y992" i="1"/>
  <c r="AG992" i="1" s="1"/>
  <c r="Z992" i="1"/>
  <c r="AA992" i="1"/>
  <c r="AB992" i="1"/>
  <c r="W993" i="1"/>
  <c r="AE993" i="1" s="1"/>
  <c r="X993" i="1"/>
  <c r="AF993" i="1" s="1"/>
  <c r="Y993" i="1"/>
  <c r="AG993" i="1" s="1"/>
  <c r="Z993" i="1"/>
  <c r="AA993" i="1"/>
  <c r="AB993" i="1"/>
  <c r="W994" i="1"/>
  <c r="AE994" i="1" s="1"/>
  <c r="X994" i="1"/>
  <c r="AF994" i="1" s="1"/>
  <c r="Y994" i="1"/>
  <c r="AG994" i="1" s="1"/>
  <c r="Z994" i="1"/>
  <c r="AA994" i="1"/>
  <c r="AB994" i="1"/>
  <c r="W995" i="1"/>
  <c r="AE995" i="1" s="1"/>
  <c r="X995" i="1"/>
  <c r="AF995" i="1" s="1"/>
  <c r="Y995" i="1"/>
  <c r="AG995" i="1" s="1"/>
  <c r="Z995" i="1"/>
  <c r="AA995" i="1"/>
  <c r="AB995" i="1"/>
  <c r="W996" i="1"/>
  <c r="AE996" i="1" s="1"/>
  <c r="X996" i="1"/>
  <c r="AF996" i="1" s="1"/>
  <c r="Y996" i="1"/>
  <c r="AG996" i="1" s="1"/>
  <c r="Z996" i="1"/>
  <c r="AA996" i="1"/>
  <c r="AB996" i="1"/>
  <c r="W997" i="1"/>
  <c r="AE997" i="1" s="1"/>
  <c r="X997" i="1"/>
  <c r="AF997" i="1" s="1"/>
  <c r="Y997" i="1"/>
  <c r="AG997" i="1" s="1"/>
  <c r="Z997" i="1"/>
  <c r="AA997" i="1"/>
  <c r="AB997" i="1"/>
  <c r="W998" i="1"/>
  <c r="AE998" i="1" s="1"/>
  <c r="X998" i="1"/>
  <c r="AF998" i="1" s="1"/>
  <c r="Y998" i="1"/>
  <c r="AG998" i="1" s="1"/>
  <c r="Z998" i="1"/>
  <c r="AA998" i="1"/>
  <c r="AB998" i="1"/>
  <c r="W999" i="1"/>
  <c r="AE999" i="1" s="1"/>
  <c r="X999" i="1"/>
  <c r="AF999" i="1" s="1"/>
  <c r="Y999" i="1"/>
  <c r="AG999" i="1" s="1"/>
  <c r="Z999" i="1"/>
  <c r="AA999" i="1"/>
  <c r="AB999" i="1"/>
  <c r="W1000" i="1"/>
  <c r="AE1000" i="1" s="1"/>
  <c r="X1000" i="1"/>
  <c r="AF1000" i="1" s="1"/>
  <c r="Y1000" i="1"/>
  <c r="AG1000" i="1" s="1"/>
  <c r="Z1000" i="1"/>
  <c r="AA1000" i="1"/>
  <c r="AB1000" i="1"/>
  <c r="W1001" i="1"/>
  <c r="AE1001" i="1" s="1"/>
  <c r="X1001" i="1"/>
  <c r="AF1001" i="1" s="1"/>
  <c r="Y1001" i="1"/>
  <c r="AG1001" i="1" s="1"/>
  <c r="Z1001" i="1"/>
  <c r="AA1001" i="1"/>
  <c r="AB1001" i="1"/>
  <c r="W1002" i="1"/>
  <c r="AE1002" i="1" s="1"/>
  <c r="X1002" i="1"/>
  <c r="AF1002" i="1" s="1"/>
  <c r="Y1002" i="1"/>
  <c r="AG1002" i="1" s="1"/>
  <c r="Z1002" i="1"/>
  <c r="AA1002" i="1"/>
  <c r="AB1002" i="1"/>
  <c r="W1003" i="1"/>
  <c r="AE1003" i="1" s="1"/>
  <c r="X1003" i="1"/>
  <c r="AF1003" i="1" s="1"/>
  <c r="Y1003" i="1"/>
  <c r="AG1003" i="1" s="1"/>
  <c r="Z1003" i="1"/>
  <c r="AA1003" i="1"/>
  <c r="AB1003" i="1"/>
  <c r="W1004" i="1"/>
  <c r="AE1004" i="1" s="1"/>
  <c r="X1004" i="1"/>
  <c r="AF1004" i="1" s="1"/>
  <c r="Y1004" i="1"/>
  <c r="AG1004" i="1" s="1"/>
  <c r="Z1004" i="1"/>
  <c r="AA1004" i="1"/>
  <c r="AB1004" i="1"/>
  <c r="W1005" i="1"/>
  <c r="AE1005" i="1" s="1"/>
  <c r="X1005" i="1"/>
  <c r="AF1005" i="1" s="1"/>
  <c r="Y1005" i="1"/>
  <c r="AG1005" i="1" s="1"/>
  <c r="Z1005" i="1"/>
  <c r="AA1005" i="1"/>
  <c r="AB1005" i="1"/>
  <c r="W1006" i="1"/>
  <c r="AE1006" i="1" s="1"/>
  <c r="X1006" i="1"/>
  <c r="AF1006" i="1" s="1"/>
  <c r="Y1006" i="1"/>
  <c r="AG1006" i="1" s="1"/>
  <c r="Z1006" i="1"/>
  <c r="AA1006" i="1"/>
  <c r="AB1006" i="1"/>
  <c r="W1007" i="1"/>
  <c r="AE1007" i="1" s="1"/>
  <c r="X1007" i="1"/>
  <c r="AF1007" i="1" s="1"/>
  <c r="Y1007" i="1"/>
  <c r="AG1007" i="1" s="1"/>
  <c r="Z1007" i="1"/>
  <c r="AA1007" i="1"/>
  <c r="AB1007" i="1"/>
  <c r="W1008" i="1"/>
  <c r="AE1008" i="1" s="1"/>
  <c r="X1008" i="1"/>
  <c r="AF1008" i="1" s="1"/>
  <c r="Y1008" i="1"/>
  <c r="AG1008" i="1" s="1"/>
  <c r="Z1008" i="1"/>
  <c r="AA1008" i="1"/>
  <c r="AB1008" i="1"/>
  <c r="W1009" i="1"/>
  <c r="AE1009" i="1" s="1"/>
  <c r="X1009" i="1"/>
  <c r="AF1009" i="1" s="1"/>
  <c r="Y1009" i="1"/>
  <c r="AG1009" i="1" s="1"/>
  <c r="Z1009" i="1"/>
  <c r="AA1009" i="1"/>
  <c r="AB1009" i="1"/>
  <c r="W1010" i="1"/>
  <c r="AE1010" i="1" s="1"/>
  <c r="X1010" i="1"/>
  <c r="AF1010" i="1" s="1"/>
  <c r="Y1010" i="1"/>
  <c r="AG1010" i="1" s="1"/>
  <c r="Z1010" i="1"/>
  <c r="AA1010" i="1"/>
  <c r="AB1010" i="1"/>
  <c r="W1011" i="1"/>
  <c r="AE1011" i="1" s="1"/>
  <c r="X1011" i="1"/>
  <c r="AF1011" i="1" s="1"/>
  <c r="Y1011" i="1"/>
  <c r="AG1011" i="1" s="1"/>
  <c r="Z1011" i="1"/>
  <c r="AA1011" i="1"/>
  <c r="AB1011" i="1"/>
  <c r="W1012" i="1"/>
  <c r="AE1012" i="1" s="1"/>
  <c r="X1012" i="1"/>
  <c r="AF1012" i="1" s="1"/>
  <c r="Y1012" i="1"/>
  <c r="AG1012" i="1" s="1"/>
  <c r="Z1012" i="1"/>
  <c r="AA1012" i="1"/>
  <c r="AB1012" i="1"/>
  <c r="W1013" i="1"/>
  <c r="AE1013" i="1" s="1"/>
  <c r="X1013" i="1"/>
  <c r="AF1013" i="1" s="1"/>
  <c r="Y1013" i="1"/>
  <c r="AG1013" i="1" s="1"/>
  <c r="Z1013" i="1"/>
  <c r="AA1013" i="1"/>
  <c r="AB1013" i="1"/>
  <c r="W1014" i="1"/>
  <c r="AE1014" i="1" s="1"/>
  <c r="X1014" i="1"/>
  <c r="AF1014" i="1" s="1"/>
  <c r="Y1014" i="1"/>
  <c r="AG1014" i="1" s="1"/>
  <c r="Z1014" i="1"/>
  <c r="AA1014" i="1"/>
  <c r="AB1014" i="1"/>
  <c r="W1015" i="1"/>
  <c r="AE1015" i="1" s="1"/>
  <c r="X1015" i="1"/>
  <c r="AF1015" i="1" s="1"/>
  <c r="Y1015" i="1"/>
  <c r="AG1015" i="1" s="1"/>
  <c r="Z1015" i="1"/>
  <c r="AA1015" i="1"/>
  <c r="AB1015" i="1"/>
  <c r="W1016" i="1"/>
  <c r="AE1016" i="1" s="1"/>
  <c r="X1016" i="1"/>
  <c r="AF1016" i="1" s="1"/>
  <c r="Y1016" i="1"/>
  <c r="AG1016" i="1" s="1"/>
  <c r="Z1016" i="1"/>
  <c r="AA1016" i="1"/>
  <c r="AB1016" i="1"/>
  <c r="W1017" i="1"/>
  <c r="AE1017" i="1" s="1"/>
  <c r="X1017" i="1"/>
  <c r="AF1017" i="1" s="1"/>
  <c r="Y1017" i="1"/>
  <c r="AG1017" i="1" s="1"/>
  <c r="Z1017" i="1"/>
  <c r="AA1017" i="1"/>
  <c r="AB1017" i="1"/>
  <c r="W1018" i="1"/>
  <c r="AE1018" i="1" s="1"/>
  <c r="X1018" i="1"/>
  <c r="AF1018" i="1" s="1"/>
  <c r="Y1018" i="1"/>
  <c r="AG1018" i="1" s="1"/>
  <c r="Z1018" i="1"/>
  <c r="AA1018" i="1"/>
  <c r="AB1018" i="1"/>
  <c r="W1019" i="1"/>
  <c r="AE1019" i="1" s="1"/>
  <c r="X1019" i="1"/>
  <c r="AF1019" i="1" s="1"/>
  <c r="Y1019" i="1"/>
  <c r="AG1019" i="1" s="1"/>
  <c r="Z1019" i="1"/>
  <c r="AA1019" i="1"/>
  <c r="AB1019" i="1"/>
  <c r="W1020" i="1"/>
  <c r="AE1020" i="1" s="1"/>
  <c r="X1020" i="1"/>
  <c r="AF1020" i="1" s="1"/>
  <c r="Y1020" i="1"/>
  <c r="AG1020" i="1" s="1"/>
  <c r="Z1020" i="1"/>
  <c r="AA1020" i="1"/>
  <c r="AB1020" i="1"/>
  <c r="W1021" i="1"/>
  <c r="AE1021" i="1" s="1"/>
  <c r="X1021" i="1"/>
  <c r="AF1021" i="1" s="1"/>
  <c r="Y1021" i="1"/>
  <c r="AG1021" i="1" s="1"/>
  <c r="Z1021" i="1"/>
  <c r="AA1021" i="1"/>
  <c r="AB1021" i="1"/>
  <c r="W1022" i="1"/>
  <c r="AE1022" i="1" s="1"/>
  <c r="X1022" i="1"/>
  <c r="AF1022" i="1" s="1"/>
  <c r="Y1022" i="1"/>
  <c r="AG1022" i="1" s="1"/>
  <c r="Z1022" i="1"/>
  <c r="AA1022" i="1"/>
  <c r="AB1022" i="1"/>
  <c r="W1023" i="1"/>
  <c r="AE1023" i="1" s="1"/>
  <c r="X1023" i="1"/>
  <c r="AF1023" i="1" s="1"/>
  <c r="Y1023" i="1"/>
  <c r="AG1023" i="1" s="1"/>
  <c r="Z1023" i="1"/>
  <c r="AA1023" i="1"/>
  <c r="AB1023" i="1"/>
  <c r="W1024" i="1"/>
  <c r="AE1024" i="1" s="1"/>
  <c r="X1024" i="1"/>
  <c r="AF1024" i="1" s="1"/>
  <c r="Y1024" i="1"/>
  <c r="AG1024" i="1" s="1"/>
  <c r="Z1024" i="1"/>
  <c r="AA1024" i="1"/>
  <c r="AB1024" i="1"/>
  <c r="W1025" i="1"/>
  <c r="AE1025" i="1" s="1"/>
  <c r="X1025" i="1"/>
  <c r="AF1025" i="1" s="1"/>
  <c r="Y1025" i="1"/>
  <c r="AG1025" i="1" s="1"/>
  <c r="Z1025" i="1"/>
  <c r="AA1025" i="1"/>
  <c r="AB1025" i="1"/>
  <c r="W1026" i="1"/>
  <c r="AE1026" i="1" s="1"/>
  <c r="X1026" i="1"/>
  <c r="AF1026" i="1" s="1"/>
  <c r="Y1026" i="1"/>
  <c r="AG1026" i="1" s="1"/>
  <c r="Z1026" i="1"/>
  <c r="AA1026" i="1"/>
  <c r="AB1026" i="1"/>
  <c r="W1027" i="1"/>
  <c r="AE1027" i="1" s="1"/>
  <c r="X1027" i="1"/>
  <c r="AF1027" i="1" s="1"/>
  <c r="Y1027" i="1"/>
  <c r="AG1027" i="1" s="1"/>
  <c r="Z1027" i="1"/>
  <c r="AA1027" i="1"/>
  <c r="AB1027" i="1"/>
  <c r="W1028" i="1"/>
  <c r="AE1028" i="1" s="1"/>
  <c r="X1028" i="1"/>
  <c r="AF1028" i="1" s="1"/>
  <c r="Y1028" i="1"/>
  <c r="AG1028" i="1" s="1"/>
  <c r="Z1028" i="1"/>
  <c r="AA1028" i="1"/>
  <c r="AB1028" i="1"/>
  <c r="W1029" i="1"/>
  <c r="AE1029" i="1" s="1"/>
  <c r="X1029" i="1"/>
  <c r="AF1029" i="1" s="1"/>
  <c r="Y1029" i="1"/>
  <c r="AG1029" i="1" s="1"/>
  <c r="Z1029" i="1"/>
  <c r="AA1029" i="1"/>
  <c r="AB1029" i="1"/>
  <c r="W1030" i="1"/>
  <c r="AE1030" i="1" s="1"/>
  <c r="X1030" i="1"/>
  <c r="AF1030" i="1" s="1"/>
  <c r="Y1030" i="1"/>
  <c r="AG1030" i="1" s="1"/>
  <c r="Z1030" i="1"/>
  <c r="AA1030" i="1"/>
  <c r="AB1030" i="1"/>
  <c r="W1031" i="1"/>
  <c r="AE1031" i="1" s="1"/>
  <c r="X1031" i="1"/>
  <c r="AF1031" i="1" s="1"/>
  <c r="Y1031" i="1"/>
  <c r="AG1031" i="1" s="1"/>
  <c r="Z1031" i="1"/>
  <c r="AA1031" i="1"/>
  <c r="AB1031" i="1"/>
  <c r="W1032" i="1"/>
  <c r="AE1032" i="1" s="1"/>
  <c r="X1032" i="1"/>
  <c r="AF1032" i="1" s="1"/>
  <c r="Y1032" i="1"/>
  <c r="AG1032" i="1" s="1"/>
  <c r="Z1032" i="1"/>
  <c r="AA1032" i="1"/>
  <c r="AB1032" i="1"/>
  <c r="W1033" i="1"/>
  <c r="AE1033" i="1" s="1"/>
  <c r="X1033" i="1"/>
  <c r="AF1033" i="1" s="1"/>
  <c r="Y1033" i="1"/>
  <c r="AG1033" i="1" s="1"/>
  <c r="Z1033" i="1"/>
  <c r="AA1033" i="1"/>
  <c r="AB1033" i="1"/>
  <c r="W1034" i="1"/>
  <c r="AE1034" i="1" s="1"/>
  <c r="X1034" i="1"/>
  <c r="AF1034" i="1" s="1"/>
  <c r="Y1034" i="1"/>
  <c r="AG1034" i="1" s="1"/>
  <c r="Z1034" i="1"/>
  <c r="AA1034" i="1"/>
  <c r="AB1034" i="1"/>
  <c r="W1035" i="1"/>
  <c r="AE1035" i="1" s="1"/>
  <c r="X1035" i="1"/>
  <c r="AF1035" i="1" s="1"/>
  <c r="Y1035" i="1"/>
  <c r="AG1035" i="1" s="1"/>
  <c r="Z1035" i="1"/>
  <c r="AA1035" i="1"/>
  <c r="AB1035" i="1"/>
  <c r="W1036" i="1"/>
  <c r="AE1036" i="1" s="1"/>
  <c r="X1036" i="1"/>
  <c r="AF1036" i="1" s="1"/>
  <c r="Y1036" i="1"/>
  <c r="AG1036" i="1" s="1"/>
  <c r="Z1036" i="1"/>
  <c r="AA1036" i="1"/>
  <c r="AB1036" i="1"/>
  <c r="W1037" i="1"/>
  <c r="AE1037" i="1" s="1"/>
  <c r="X1037" i="1"/>
  <c r="AF1037" i="1" s="1"/>
  <c r="Y1037" i="1"/>
  <c r="AG1037" i="1" s="1"/>
  <c r="Z1037" i="1"/>
  <c r="AA1037" i="1"/>
  <c r="AB1037" i="1"/>
  <c r="W1038" i="1"/>
  <c r="AE1038" i="1" s="1"/>
  <c r="X1038" i="1"/>
  <c r="AF1038" i="1" s="1"/>
  <c r="Y1038" i="1"/>
  <c r="AG1038" i="1" s="1"/>
  <c r="Z1038" i="1"/>
  <c r="AA1038" i="1"/>
  <c r="AB1038" i="1"/>
  <c r="W1039" i="1"/>
  <c r="AE1039" i="1" s="1"/>
  <c r="X1039" i="1"/>
  <c r="AF1039" i="1" s="1"/>
  <c r="Y1039" i="1"/>
  <c r="AG1039" i="1" s="1"/>
  <c r="Z1039" i="1"/>
  <c r="AA1039" i="1"/>
  <c r="AB1039" i="1"/>
  <c r="W1040" i="1"/>
  <c r="AE1040" i="1" s="1"/>
  <c r="X1040" i="1"/>
  <c r="AF1040" i="1" s="1"/>
  <c r="Y1040" i="1"/>
  <c r="AG1040" i="1" s="1"/>
  <c r="Z1040" i="1"/>
  <c r="AA1040" i="1"/>
  <c r="AB1040" i="1"/>
  <c r="W1041" i="1"/>
  <c r="AE1041" i="1" s="1"/>
  <c r="X1041" i="1"/>
  <c r="AF1041" i="1" s="1"/>
  <c r="Y1041" i="1"/>
  <c r="AG1041" i="1" s="1"/>
  <c r="Z1041" i="1"/>
  <c r="AA1041" i="1"/>
  <c r="AB1041" i="1"/>
  <c r="W1042" i="1"/>
  <c r="AE1042" i="1" s="1"/>
  <c r="X1042" i="1"/>
  <c r="AF1042" i="1" s="1"/>
  <c r="Y1042" i="1"/>
  <c r="AG1042" i="1" s="1"/>
  <c r="Z1042" i="1"/>
  <c r="AA1042" i="1"/>
  <c r="AB1042" i="1"/>
  <c r="W1043" i="1"/>
  <c r="AE1043" i="1" s="1"/>
  <c r="X1043" i="1"/>
  <c r="AF1043" i="1" s="1"/>
  <c r="Y1043" i="1"/>
  <c r="AG1043" i="1" s="1"/>
  <c r="Z1043" i="1"/>
  <c r="AA1043" i="1"/>
  <c r="AB1043" i="1"/>
  <c r="W1044" i="1"/>
  <c r="AE1044" i="1" s="1"/>
  <c r="X1044" i="1"/>
  <c r="AF1044" i="1" s="1"/>
  <c r="Y1044" i="1"/>
  <c r="AG1044" i="1" s="1"/>
  <c r="Z1044" i="1"/>
  <c r="AA1044" i="1"/>
  <c r="AB1044" i="1"/>
  <c r="W1045" i="1"/>
  <c r="AE1045" i="1" s="1"/>
  <c r="X1045" i="1"/>
  <c r="AF1045" i="1" s="1"/>
  <c r="Y1045" i="1"/>
  <c r="AG1045" i="1" s="1"/>
  <c r="Z1045" i="1"/>
  <c r="AA1045" i="1"/>
  <c r="AB1045" i="1"/>
  <c r="W1046" i="1"/>
  <c r="AE1046" i="1" s="1"/>
  <c r="X1046" i="1"/>
  <c r="AF1046" i="1" s="1"/>
  <c r="Y1046" i="1"/>
  <c r="AG1046" i="1" s="1"/>
  <c r="Z1046" i="1"/>
  <c r="AA1046" i="1"/>
  <c r="AB1046" i="1"/>
  <c r="W1047" i="1"/>
  <c r="AE1047" i="1" s="1"/>
  <c r="X1047" i="1"/>
  <c r="AF1047" i="1" s="1"/>
  <c r="Y1047" i="1"/>
  <c r="AG1047" i="1" s="1"/>
  <c r="Z1047" i="1"/>
  <c r="AA1047" i="1"/>
  <c r="AB1047" i="1"/>
  <c r="W1048" i="1"/>
  <c r="AE1048" i="1" s="1"/>
  <c r="X1048" i="1"/>
  <c r="AF1048" i="1" s="1"/>
  <c r="Y1048" i="1"/>
  <c r="AG1048" i="1" s="1"/>
  <c r="Z1048" i="1"/>
  <c r="AA1048" i="1"/>
  <c r="AB1048" i="1"/>
  <c r="W1049" i="1"/>
  <c r="AE1049" i="1" s="1"/>
  <c r="X1049" i="1"/>
  <c r="AF1049" i="1" s="1"/>
  <c r="Y1049" i="1"/>
  <c r="AG1049" i="1" s="1"/>
  <c r="Z1049" i="1"/>
  <c r="AA1049" i="1"/>
  <c r="AB1049" i="1"/>
  <c r="W1050" i="1"/>
  <c r="AE1050" i="1" s="1"/>
  <c r="X1050" i="1"/>
  <c r="AF1050" i="1" s="1"/>
  <c r="Y1050" i="1"/>
  <c r="AG1050" i="1" s="1"/>
  <c r="Z1050" i="1"/>
  <c r="AA1050" i="1"/>
  <c r="AB1050" i="1"/>
  <c r="W1051" i="1"/>
  <c r="AE1051" i="1" s="1"/>
  <c r="X1051" i="1"/>
  <c r="AF1051" i="1" s="1"/>
  <c r="Y1051" i="1"/>
  <c r="AG1051" i="1" s="1"/>
  <c r="Z1051" i="1"/>
  <c r="AA1051" i="1"/>
  <c r="AB1051" i="1"/>
  <c r="W1052" i="1"/>
  <c r="AE1052" i="1" s="1"/>
  <c r="X1052" i="1"/>
  <c r="AF1052" i="1" s="1"/>
  <c r="Y1052" i="1"/>
  <c r="AG1052" i="1" s="1"/>
  <c r="Z1052" i="1"/>
  <c r="AA1052" i="1"/>
  <c r="AB1052" i="1"/>
  <c r="W1053" i="1"/>
  <c r="AE1053" i="1" s="1"/>
  <c r="X1053" i="1"/>
  <c r="AF1053" i="1" s="1"/>
  <c r="Y1053" i="1"/>
  <c r="AG1053" i="1" s="1"/>
  <c r="Z1053" i="1"/>
  <c r="AA1053" i="1"/>
  <c r="AB1053" i="1"/>
  <c r="W1054" i="1"/>
  <c r="AE1054" i="1" s="1"/>
  <c r="X1054" i="1"/>
  <c r="AF1054" i="1" s="1"/>
  <c r="Y1054" i="1"/>
  <c r="AG1054" i="1" s="1"/>
  <c r="Z1054" i="1"/>
  <c r="AA1054" i="1"/>
  <c r="AB1054" i="1"/>
  <c r="W1055" i="1"/>
  <c r="AE1055" i="1" s="1"/>
  <c r="X1055" i="1"/>
  <c r="AF1055" i="1" s="1"/>
  <c r="Y1055" i="1"/>
  <c r="AG1055" i="1" s="1"/>
  <c r="Z1055" i="1"/>
  <c r="AA1055" i="1"/>
  <c r="AB1055" i="1"/>
  <c r="W1056" i="1"/>
  <c r="AE1056" i="1" s="1"/>
  <c r="X1056" i="1"/>
  <c r="AF1056" i="1" s="1"/>
  <c r="Y1056" i="1"/>
  <c r="AG1056" i="1" s="1"/>
  <c r="Z1056" i="1"/>
  <c r="AA1056" i="1"/>
  <c r="AB1056" i="1"/>
  <c r="W1057" i="1"/>
  <c r="AE1057" i="1" s="1"/>
  <c r="X1057" i="1"/>
  <c r="AF1057" i="1" s="1"/>
  <c r="Y1057" i="1"/>
  <c r="AG1057" i="1" s="1"/>
  <c r="Z1057" i="1"/>
  <c r="AA1057" i="1"/>
  <c r="AB1057" i="1"/>
  <c r="W1058" i="1"/>
  <c r="AE1058" i="1" s="1"/>
  <c r="X1058" i="1"/>
  <c r="AF1058" i="1" s="1"/>
  <c r="Y1058" i="1"/>
  <c r="AG1058" i="1" s="1"/>
  <c r="Z1058" i="1"/>
  <c r="AA1058" i="1"/>
  <c r="AB1058" i="1"/>
  <c r="W1059" i="1"/>
  <c r="AE1059" i="1" s="1"/>
  <c r="X1059" i="1"/>
  <c r="AF1059" i="1" s="1"/>
  <c r="Y1059" i="1"/>
  <c r="AG1059" i="1" s="1"/>
  <c r="Z1059" i="1"/>
  <c r="AA1059" i="1"/>
  <c r="AB1059" i="1"/>
  <c r="W1060" i="1"/>
  <c r="AE1060" i="1" s="1"/>
  <c r="X1060" i="1"/>
  <c r="AF1060" i="1" s="1"/>
  <c r="Y1060" i="1"/>
  <c r="AG1060" i="1" s="1"/>
  <c r="Z1060" i="1"/>
  <c r="AA1060" i="1"/>
  <c r="AB1060" i="1"/>
  <c r="W1061" i="1"/>
  <c r="AE1061" i="1" s="1"/>
  <c r="X1061" i="1"/>
  <c r="AF1061" i="1" s="1"/>
  <c r="Y1061" i="1"/>
  <c r="AG1061" i="1" s="1"/>
  <c r="Z1061" i="1"/>
  <c r="AA1061" i="1"/>
  <c r="AB1061" i="1"/>
  <c r="W1062" i="1"/>
  <c r="AE1062" i="1" s="1"/>
  <c r="X1062" i="1"/>
  <c r="AF1062" i="1" s="1"/>
  <c r="Y1062" i="1"/>
  <c r="AG1062" i="1" s="1"/>
  <c r="Z1062" i="1"/>
  <c r="AA1062" i="1"/>
  <c r="AB1062" i="1"/>
  <c r="W1063" i="1"/>
  <c r="AE1063" i="1" s="1"/>
  <c r="X1063" i="1"/>
  <c r="AF1063" i="1" s="1"/>
  <c r="Y1063" i="1"/>
  <c r="AG1063" i="1" s="1"/>
  <c r="Z1063" i="1"/>
  <c r="AA1063" i="1"/>
  <c r="AB1063" i="1"/>
  <c r="W1064" i="1"/>
  <c r="AE1064" i="1" s="1"/>
  <c r="X1064" i="1"/>
  <c r="AF1064" i="1" s="1"/>
  <c r="Y1064" i="1"/>
  <c r="AG1064" i="1" s="1"/>
  <c r="Z1064" i="1"/>
  <c r="AA1064" i="1"/>
  <c r="AB1064" i="1"/>
  <c r="W1065" i="1"/>
  <c r="AE1065" i="1" s="1"/>
  <c r="X1065" i="1"/>
  <c r="AF1065" i="1" s="1"/>
  <c r="Y1065" i="1"/>
  <c r="AG1065" i="1" s="1"/>
  <c r="Z1065" i="1"/>
  <c r="AA1065" i="1"/>
  <c r="AB1065" i="1"/>
  <c r="W1066" i="1"/>
  <c r="AE1066" i="1" s="1"/>
  <c r="X1066" i="1"/>
  <c r="AF1066" i="1" s="1"/>
  <c r="Y1066" i="1"/>
  <c r="AG1066" i="1" s="1"/>
  <c r="Z1066" i="1"/>
  <c r="AA1066" i="1"/>
  <c r="AB1066" i="1"/>
  <c r="W1067" i="1"/>
  <c r="AE1067" i="1" s="1"/>
  <c r="X1067" i="1"/>
  <c r="AF1067" i="1" s="1"/>
  <c r="Y1067" i="1"/>
  <c r="AG1067" i="1" s="1"/>
  <c r="Z1067" i="1"/>
  <c r="AA1067" i="1"/>
  <c r="AB1067" i="1"/>
  <c r="W1068" i="1"/>
  <c r="AE1068" i="1" s="1"/>
  <c r="X1068" i="1"/>
  <c r="AF1068" i="1" s="1"/>
  <c r="Y1068" i="1"/>
  <c r="AG1068" i="1" s="1"/>
  <c r="Z1068" i="1"/>
  <c r="AA1068" i="1"/>
  <c r="AB1068" i="1"/>
  <c r="W1069" i="1"/>
  <c r="AE1069" i="1" s="1"/>
  <c r="X1069" i="1"/>
  <c r="AF1069" i="1" s="1"/>
  <c r="Y1069" i="1"/>
  <c r="AG1069" i="1" s="1"/>
  <c r="Z1069" i="1"/>
  <c r="AA1069" i="1"/>
  <c r="AB1069" i="1"/>
  <c r="W1070" i="1"/>
  <c r="AE1070" i="1" s="1"/>
  <c r="X1070" i="1"/>
  <c r="AF1070" i="1" s="1"/>
  <c r="Y1070" i="1"/>
  <c r="AG1070" i="1" s="1"/>
  <c r="Z1070" i="1"/>
  <c r="AA1070" i="1"/>
  <c r="AB1070" i="1"/>
  <c r="W1071" i="1"/>
  <c r="AE1071" i="1" s="1"/>
  <c r="X1071" i="1"/>
  <c r="AF1071" i="1" s="1"/>
  <c r="Y1071" i="1"/>
  <c r="AG1071" i="1" s="1"/>
  <c r="Z1071" i="1"/>
  <c r="AA1071" i="1"/>
  <c r="AB1071" i="1"/>
  <c r="W1072" i="1"/>
  <c r="AE1072" i="1" s="1"/>
  <c r="X1072" i="1"/>
  <c r="AF1072" i="1" s="1"/>
  <c r="Y1072" i="1"/>
  <c r="AG1072" i="1" s="1"/>
  <c r="Z1072" i="1"/>
  <c r="AA1072" i="1"/>
  <c r="AB1072" i="1"/>
  <c r="W1073" i="1"/>
  <c r="AE1073" i="1" s="1"/>
  <c r="X1073" i="1"/>
  <c r="AF1073" i="1" s="1"/>
  <c r="Y1073" i="1"/>
  <c r="AG1073" i="1" s="1"/>
  <c r="Z1073" i="1"/>
  <c r="AA1073" i="1"/>
  <c r="AB1073" i="1"/>
  <c r="W1074" i="1"/>
  <c r="AE1074" i="1" s="1"/>
  <c r="X1074" i="1"/>
  <c r="AF1074" i="1" s="1"/>
  <c r="Y1074" i="1"/>
  <c r="AG1074" i="1" s="1"/>
  <c r="Z1074" i="1"/>
  <c r="AA1074" i="1"/>
  <c r="AB1074" i="1"/>
  <c r="W1075" i="1"/>
  <c r="AE1075" i="1" s="1"/>
  <c r="X1075" i="1"/>
  <c r="AF1075" i="1" s="1"/>
  <c r="Y1075" i="1"/>
  <c r="AG1075" i="1" s="1"/>
  <c r="Z1075" i="1"/>
  <c r="AA1075" i="1"/>
  <c r="AB1075" i="1"/>
  <c r="W1076" i="1"/>
  <c r="AE1076" i="1" s="1"/>
  <c r="X1076" i="1"/>
  <c r="AF1076" i="1" s="1"/>
  <c r="Y1076" i="1"/>
  <c r="AG1076" i="1" s="1"/>
  <c r="Z1076" i="1"/>
  <c r="AA1076" i="1"/>
  <c r="AB1076" i="1"/>
  <c r="W1077" i="1"/>
  <c r="AE1077" i="1" s="1"/>
  <c r="X1077" i="1"/>
  <c r="AF1077" i="1" s="1"/>
  <c r="Y1077" i="1"/>
  <c r="AG1077" i="1" s="1"/>
  <c r="Z1077" i="1"/>
  <c r="AA1077" i="1"/>
  <c r="AB1077" i="1"/>
  <c r="W1078" i="1"/>
  <c r="AE1078" i="1" s="1"/>
  <c r="X1078" i="1"/>
  <c r="AF1078" i="1" s="1"/>
  <c r="Y1078" i="1"/>
  <c r="AG1078" i="1" s="1"/>
  <c r="Z1078" i="1"/>
  <c r="AA1078" i="1"/>
  <c r="AB1078" i="1"/>
  <c r="W1079" i="1"/>
  <c r="AE1079" i="1" s="1"/>
  <c r="X1079" i="1"/>
  <c r="AF1079" i="1" s="1"/>
  <c r="Y1079" i="1"/>
  <c r="AG1079" i="1" s="1"/>
  <c r="Z1079" i="1"/>
  <c r="AA1079" i="1"/>
  <c r="AB1079" i="1"/>
  <c r="W1080" i="1"/>
  <c r="AE1080" i="1" s="1"/>
  <c r="X1080" i="1"/>
  <c r="AF1080" i="1" s="1"/>
  <c r="Y1080" i="1"/>
  <c r="AG1080" i="1" s="1"/>
  <c r="Z1080" i="1"/>
  <c r="AA1080" i="1"/>
  <c r="AB1080" i="1"/>
  <c r="W1081" i="1"/>
  <c r="AE1081" i="1" s="1"/>
  <c r="X1081" i="1"/>
  <c r="AF1081" i="1" s="1"/>
  <c r="Y1081" i="1"/>
  <c r="AG1081" i="1" s="1"/>
  <c r="Z1081" i="1"/>
  <c r="AA1081" i="1"/>
  <c r="AB1081" i="1"/>
  <c r="W1082" i="1"/>
  <c r="AE1082" i="1" s="1"/>
  <c r="X1082" i="1"/>
  <c r="AF1082" i="1" s="1"/>
  <c r="Y1082" i="1"/>
  <c r="AG1082" i="1" s="1"/>
  <c r="Z1082" i="1"/>
  <c r="AA1082" i="1"/>
  <c r="AB1082" i="1"/>
  <c r="AB11" i="1"/>
  <c r="AA11" i="1"/>
  <c r="Z11" i="1"/>
  <c r="Y11" i="1"/>
  <c r="AG11" i="1" s="1"/>
  <c r="X11" i="1"/>
  <c r="AF11" i="1" s="1"/>
  <c r="W11" i="1"/>
  <c r="AE11" i="1" s="1"/>
</calcChain>
</file>

<file path=xl/sharedStrings.xml><?xml version="1.0" encoding="utf-8"?>
<sst xmlns="http://schemas.openxmlformats.org/spreadsheetml/2006/main" count="12717" uniqueCount="1192">
  <si>
    <t>DOT_NUMBER</t>
  </si>
  <si>
    <t>LEGAL_NAME</t>
  </si>
  <si>
    <t>PHY_STATE</t>
  </si>
  <si>
    <t>CARRIER_OPERATION</t>
  </si>
  <si>
    <t>POWER_UNITS</t>
  </si>
  <si>
    <t>MCS150_MILEAGE</t>
  </si>
  <si>
    <t>SAFETY_RATING</t>
  </si>
  <si>
    <t>total_inspections</t>
  </si>
  <si>
    <t>total_violations</t>
  </si>
  <si>
    <t>total_oos_violations</t>
  </si>
  <si>
    <t>oos_inspection_rate</t>
  </si>
  <si>
    <t>oos_rate_of_violations</t>
  </si>
  <si>
    <t>driver_oos_rate</t>
  </si>
  <si>
    <t>vehicle_oos_rate</t>
  </si>
  <si>
    <t>hazmat_oos_rate</t>
  </si>
  <si>
    <t>total_crashes</t>
  </si>
  <si>
    <t>fatal_crashes</t>
  </si>
  <si>
    <t>injury_crashes</t>
  </si>
  <si>
    <t>tow_away_crashes</t>
  </si>
  <si>
    <t>crashes_per_million_miles</t>
  </si>
  <si>
    <t>crashes_per_power_unit</t>
  </si>
  <si>
    <t>high_risk</t>
  </si>
  <si>
    <t>BAKERSTOWN CONTAINER CORP</t>
  </si>
  <si>
    <t>PA</t>
  </si>
  <si>
    <t>A</t>
  </si>
  <si>
    <t>S</t>
  </si>
  <si>
    <t>NULL</t>
  </si>
  <si>
    <t>AC COACH OPERATIONS INC</t>
  </si>
  <si>
    <t>MCCARTER TRANSIT INC</t>
  </si>
  <si>
    <t>HARTLEY TRUCKING COMPANY INC</t>
  </si>
  <si>
    <t>WV</t>
  </si>
  <si>
    <t>JBS SOUDERTON INC</t>
  </si>
  <si>
    <t>HATFIELD QUALITY MEATS INC</t>
  </si>
  <si>
    <t>C</t>
  </si>
  <si>
    <t>LANCASTER COUNTY CREAMERY</t>
  </si>
  <si>
    <t>HOWARD E GROFF COMPANY</t>
  </si>
  <si>
    <t>YAUN COMPANY INC</t>
  </si>
  <si>
    <t>NY</t>
  </si>
  <si>
    <t>THE PHILADELPHIA INQUIRER LLC</t>
  </si>
  <si>
    <t>DAWSON BUS SERVICE INC</t>
  </si>
  <si>
    <t>DE</t>
  </si>
  <si>
    <t>JOHN W RITTER TRUCKING INC</t>
  </si>
  <si>
    <t>MD</t>
  </si>
  <si>
    <t>PARKER BLOCK CO INC</t>
  </si>
  <si>
    <t>PALMER MOBILE HOMES INC</t>
  </si>
  <si>
    <t>TRANS-BRIDGE LINES INC</t>
  </si>
  <si>
    <t>BISSON TRANSPORTATION INC</t>
  </si>
  <si>
    <t>ME</t>
  </si>
  <si>
    <t>THE PHILADELPHIA COCA-COLA BOTTLING COMPANY</t>
  </si>
  <si>
    <t>MUSHROOM EXPRESS COMPANY</t>
  </si>
  <si>
    <t>KAOLIN MUSHROOM FARMS INC</t>
  </si>
  <si>
    <t>E SCHNEIDER &amp; SONS INC</t>
  </si>
  <si>
    <t>BEVERAGE TRANSPORTATION INC</t>
  </si>
  <si>
    <t>H F CAMPBELL &amp; SON INC</t>
  </si>
  <si>
    <t>R H CRAWFORD INC</t>
  </si>
  <si>
    <t>CRESSLER TRUCKING INC</t>
  </si>
  <si>
    <t>TROTTING FOX LLC</t>
  </si>
  <si>
    <t>GENSIMORE TRUCKING INC</t>
  </si>
  <si>
    <t>CHARLES W KARPER INC</t>
  </si>
  <si>
    <t>LESTER M PRANGE INC</t>
  </si>
  <si>
    <t>H E ROHRER INC</t>
  </si>
  <si>
    <t>LESTER R SUMMERS INC</t>
  </si>
  <si>
    <t>ECKERT TRUCKING INC</t>
  </si>
  <si>
    <t>MCCLEARY OIL CO INC</t>
  </si>
  <si>
    <t>MOTOR TRUCK EQUIPMENT CO</t>
  </si>
  <si>
    <t>MOUNT JOY FARMERS CO-OPERATIVE ASSOCIATION CORP</t>
  </si>
  <si>
    <t>TH TRANSPORT LLC</t>
  </si>
  <si>
    <t>V F TRANSPORTATION L L C</t>
  </si>
  <si>
    <t>RUTTER BROS DAIRY INC</t>
  </si>
  <si>
    <t>JAMES LEE NEWSWANGER</t>
  </si>
  <si>
    <t>PENNFIELD TRANSPORT COMPANY</t>
  </si>
  <si>
    <t>PENNSY SUPPLY INC</t>
  </si>
  <si>
    <t>J J POWELL INC</t>
  </si>
  <si>
    <t>JOHNSON'S BUS INC</t>
  </si>
  <si>
    <t>KNOUSE FOODS COOPERATIVE INC</t>
  </si>
  <si>
    <t>INDEPENDENT COACH CORP</t>
  </si>
  <si>
    <t>ROOD TRUCKING CO INC</t>
  </si>
  <si>
    <t>OH</t>
  </si>
  <si>
    <t>SOUTHERN TIER STAGES INC</t>
  </si>
  <si>
    <t>TRIPIFOODS INC</t>
  </si>
  <si>
    <t>INGREDIENTS PLUS LOGISTICS LLC</t>
  </si>
  <si>
    <t>HILLMAN'S BUS SERVICE INC</t>
  </si>
  <si>
    <t>NJ</t>
  </si>
  <si>
    <t>SHETUCKET IRON &amp; METAL CO INC</t>
  </si>
  <si>
    <t>CT</t>
  </si>
  <si>
    <t>FISHER BROTHERS STEEL CORPORATION</t>
  </si>
  <si>
    <t>KRAJACK TANK LINES INC</t>
  </si>
  <si>
    <t>POWDER RIVER TRANSPORTATION SERVICES INC</t>
  </si>
  <si>
    <t>CIACCIA TRUCKING CO INC</t>
  </si>
  <si>
    <t>OLEAN WHOLESALE GROCERY COOP INC</t>
  </si>
  <si>
    <t>OTIS MINNESOTA SERVICES LLC</t>
  </si>
  <si>
    <t>NOCO ENERGY CORP</t>
  </si>
  <si>
    <t>SAVAGE FARMS INC</t>
  </si>
  <si>
    <t>MA</t>
  </si>
  <si>
    <t>HY-POINT DAIRY FARMS INC</t>
  </si>
  <si>
    <t>RELCO SYSTEMS INC</t>
  </si>
  <si>
    <t>PASSAIC METAL &amp; BUILDING SUPPLIES CO</t>
  </si>
  <si>
    <t>MYLES TRANSPORTATION INC</t>
  </si>
  <si>
    <t>NIAGARA FALLS COACH LINES INC</t>
  </si>
  <si>
    <t>HILLS TRUCKING INC</t>
  </si>
  <si>
    <t>HONEY TRANSPORT INC</t>
  </si>
  <si>
    <t>FL</t>
  </si>
  <si>
    <t>CENTRAL FLORIDA COACH LINES INC</t>
  </si>
  <si>
    <t>COIA BROTHERS INC</t>
  </si>
  <si>
    <t>CROSBY TRUCKING SERVICE INC</t>
  </si>
  <si>
    <t>VA</t>
  </si>
  <si>
    <t>THALHEIMER BROTHERS INC</t>
  </si>
  <si>
    <t>VENCO TRUCKING INC</t>
  </si>
  <si>
    <t>F M BROWN'S SONS INC</t>
  </si>
  <si>
    <t>CANADA DRY DELAWARE VALLEY</t>
  </si>
  <si>
    <t>ARTESIAN WATER CO INC</t>
  </si>
  <si>
    <t>DELMARVA POWER AND LIGHT COMPANY</t>
  </si>
  <si>
    <t>GRANNAS BROS STONE &amp; ASPHALT CO INC</t>
  </si>
  <si>
    <t>GREENSBURG CONCRETE BLOCK CO</t>
  </si>
  <si>
    <t>IRVIN RAPHAEL INC</t>
  </si>
  <si>
    <t>CONNECTICUT STONE SUPPLIES INC</t>
  </si>
  <si>
    <t>JOHN P SORICE</t>
  </si>
  <si>
    <t>WEIR COVE MOVING &amp; STORAGE CO</t>
  </si>
  <si>
    <t>CENTRAL AIR FREIGHT SERVICES INC</t>
  </si>
  <si>
    <t>EAST PENN TRUCKING COMPANY</t>
  </si>
  <si>
    <t>FANELLI BROTHERS TRUCKING COMPANY</t>
  </si>
  <si>
    <t>FRANK MARTZ COACH COMPANY</t>
  </si>
  <si>
    <t>NORTH BRANCH TRANSFER INC</t>
  </si>
  <si>
    <t>TRENCO INC</t>
  </si>
  <si>
    <t>BBG LOGISTICS INC</t>
  </si>
  <si>
    <t>TN</t>
  </si>
  <si>
    <t>MECCA &amp; SON TRUCKING CORP</t>
  </si>
  <si>
    <t>HOWARD'S EXPRESS INC</t>
  </si>
  <si>
    <t>BROWN COACH INC</t>
  </si>
  <si>
    <t>P E KRAMME INC</t>
  </si>
  <si>
    <t>SCRANTON COOPERAGE INC</t>
  </si>
  <si>
    <t>WILLIAMS OIL CO INC</t>
  </si>
  <si>
    <t>CAVANAUGH TRUCKING INC</t>
  </si>
  <si>
    <t>LIEDTKA LOGISTICS LLC</t>
  </si>
  <si>
    <t>NORTON COMPANY</t>
  </si>
  <si>
    <t>TX</t>
  </si>
  <si>
    <t>SYSCO BOSTON LLC</t>
  </si>
  <si>
    <t>HARVEY INDUSTRIES LLC</t>
  </si>
  <si>
    <t>RAILROAD CONSTRUCTION CO OF SOUTH JERSEY INC</t>
  </si>
  <si>
    <t>C-LINE INC</t>
  </si>
  <si>
    <t>RI</t>
  </si>
  <si>
    <t>BROWN CHEMICAL CO INC</t>
  </si>
  <si>
    <t>TJMT BRENNAN TRANSPORTATION SVCS</t>
  </si>
  <si>
    <t>ERICH RENTAL INCORPORATED</t>
  </si>
  <si>
    <t>BELL'S WHOLESALE GROCERIES INC</t>
  </si>
  <si>
    <t>PLYMOUTH ROCK TRANSPORTATION CORPORATION</t>
  </si>
  <si>
    <t>AGWAY INC</t>
  </si>
  <si>
    <t>AGWAY ENERGY PRODUCTS LLC</t>
  </si>
  <si>
    <t>SWEENEY TRANSPORTATION INC</t>
  </si>
  <si>
    <t>CENTRAL CONNECTICUT COOP FARMER'S ASSOCIATION INC</t>
  </si>
  <si>
    <t>BASS TRANSPORTATION COMPANY INC</t>
  </si>
  <si>
    <t>SINGER TRANSPORT INC</t>
  </si>
  <si>
    <t>COORDINATORS INC</t>
  </si>
  <si>
    <t>STOREWIDE DELIVERY CO INC</t>
  </si>
  <si>
    <t>GUIDA-SEIBERT DAIRY CO</t>
  </si>
  <si>
    <t>FI HOFF CONCRETE PRODUCTS INC</t>
  </si>
  <si>
    <t>INTERSTATE BRANDS CORPORATION</t>
  </si>
  <si>
    <t>MO</t>
  </si>
  <si>
    <t>BUSKE LINES INC</t>
  </si>
  <si>
    <t>IL</t>
  </si>
  <si>
    <t>OTIS WRIGHT &amp; SONS INC</t>
  </si>
  <si>
    <t>LEACH TRUCKING COMPANY</t>
  </si>
  <si>
    <t>MI</t>
  </si>
  <si>
    <t>DODGE MOVING AND STORAGE COMPANY INC</t>
  </si>
  <si>
    <t>TUSCAN LEHIGH DAIRIES INC</t>
  </si>
  <si>
    <t>RIVERENCE PROVISIONS LLC</t>
  </si>
  <si>
    <t>ID</t>
  </si>
  <si>
    <t>TF DUNLAP TRUCKING CO INC</t>
  </si>
  <si>
    <t>GREYLAWN FOODS INC</t>
  </si>
  <si>
    <t>PLECKER INC</t>
  </si>
  <si>
    <t>THE BLUE DIAMOND COMPANY</t>
  </si>
  <si>
    <t>R W BOZEL TRANSFER INC</t>
  </si>
  <si>
    <t>QUALITY MOVERS EAST INC</t>
  </si>
  <si>
    <t>NUTRA MANUFACTURING LLC</t>
  </si>
  <si>
    <t>SC</t>
  </si>
  <si>
    <t>CLAY TRANSPORT INC</t>
  </si>
  <si>
    <t>NATIONAL FREIGHT INC</t>
  </si>
  <si>
    <t>KLAPEC TRUCKING COMPANY</t>
  </si>
  <si>
    <t>NATIONAL INDUSTRIES INC</t>
  </si>
  <si>
    <t>KESSEL MULCH INC</t>
  </si>
  <si>
    <t>MARK P VALENTA</t>
  </si>
  <si>
    <t>WI</t>
  </si>
  <si>
    <t>WALKER SHOE COMPANY</t>
  </si>
  <si>
    <t>NC</t>
  </si>
  <si>
    <t>CROWLEY FOODS LLC</t>
  </si>
  <si>
    <t>CAROLINA FREIGHT SERVICE CORPORATION</t>
  </si>
  <si>
    <t>PYNE FREIGHT LINES INC</t>
  </si>
  <si>
    <t>DAVID TESONE TRUCKING INCORPORATED</t>
  </si>
  <si>
    <t>YOURGA TRUCKING INC</t>
  </si>
  <si>
    <t>COACHMEN RECREATIONAL VEHICLE COMPANY LLC</t>
  </si>
  <si>
    <t>IN</t>
  </si>
  <si>
    <t>ASPHALT INDUSTRIES INC</t>
  </si>
  <si>
    <t>CHALLENGER FREIGHTWAYS LLC</t>
  </si>
  <si>
    <t>AMERICAN LUMBER CO INC</t>
  </si>
  <si>
    <t>EASTERN WHOLESALE FENCE LLC</t>
  </si>
  <si>
    <t>EASTERN ALLOYS INC</t>
  </si>
  <si>
    <t>GALASSO TRUCKING INC</t>
  </si>
  <si>
    <t>HANCOR INC</t>
  </si>
  <si>
    <t>TRANS-SERVICE INC</t>
  </si>
  <si>
    <t>RUSS'S MOTOR SERVICEINC</t>
  </si>
  <si>
    <t>THE NEW BRITAIN TRANSPORTATION COMPANY</t>
  </si>
  <si>
    <t>ARLEY WHOLESALE INC</t>
  </si>
  <si>
    <t>CATAWISSA LUMBER &amp; SPECIALTY CO INC</t>
  </si>
  <si>
    <t>HEIDELBERG MATERIALS NORTHEAST LLC</t>
  </si>
  <si>
    <t>DELUXE BUILDING SYSTEMS INC</t>
  </si>
  <si>
    <t>GEPPERT BROS INC</t>
  </si>
  <si>
    <t>THE DANELLA COMPANIES INC</t>
  </si>
  <si>
    <t>INDIAN VALLEY BULK CARRIERS INC</t>
  </si>
  <si>
    <t>B R SCHOLL &amp; SONS INC</t>
  </si>
  <si>
    <t>WERNER BUS LINES INC</t>
  </si>
  <si>
    <t>FORD MOTOR COMPANY</t>
  </si>
  <si>
    <t>MARVIN LUMBER &amp; CEDAR COMPANY</t>
  </si>
  <si>
    <t>MN</t>
  </si>
  <si>
    <t>DISTTECH LLC</t>
  </si>
  <si>
    <t>MILLER TRANSFER AND RIGGING COMPANY</t>
  </si>
  <si>
    <t>BROCIOUS TRUCKING INC</t>
  </si>
  <si>
    <t>BUTLER TRUCKING COMPANY</t>
  </si>
  <si>
    <t>CITY TRANSFER INC</t>
  </si>
  <si>
    <t>LAFFERTY TRUCKING COMPANY</t>
  </si>
  <si>
    <t>B &amp; G SUPPLY COMPANY INC</t>
  </si>
  <si>
    <t>AL</t>
  </si>
  <si>
    <t>TRI-STATE DRILLING LLC</t>
  </si>
  <si>
    <t>JACK GRAY TRANSPORT INC</t>
  </si>
  <si>
    <t>NEW YORK TRUCK LEASING CORP</t>
  </si>
  <si>
    <t>RICHARD C PUTMAN</t>
  </si>
  <si>
    <t>ALTO'S EXPRESS INC</t>
  </si>
  <si>
    <t>ATLANTIC TESTING LABORATORIES LIMITED</t>
  </si>
  <si>
    <t>CASCO FREIGHT INC</t>
  </si>
  <si>
    <t>CALLANAN INDUSTRIES INC</t>
  </si>
  <si>
    <t>AFFILIATED TRANSPORT SERVICES INC</t>
  </si>
  <si>
    <t>HEMPT BROS INC</t>
  </si>
  <si>
    <t>EHB LOGISTICS INC</t>
  </si>
  <si>
    <t>BONDED CARRIERS INC</t>
  </si>
  <si>
    <t>JOHN GROSS &amp; CO INC</t>
  </si>
  <si>
    <t>C HARRELL INC</t>
  </si>
  <si>
    <t>S O S GASES INC</t>
  </si>
  <si>
    <t>CRESSONA KNIT PRODUCTS INC</t>
  </si>
  <si>
    <t>TRIANGLE GASOLINE COMPANY OF BUTLER</t>
  </si>
  <si>
    <t>HENDRIX TRANSPORT INC</t>
  </si>
  <si>
    <t>HALE INTERMODAL TRUCKING CO</t>
  </si>
  <si>
    <t>LEISURE TIME TOURS INC</t>
  </si>
  <si>
    <t>TRINITY LOGISTICS GROUP INC</t>
  </si>
  <si>
    <t>LEONE PIZZINI &amp; SON INC</t>
  </si>
  <si>
    <t>J SUPOR &amp; SON TRUCKING &amp; RIGGING CO INC</t>
  </si>
  <si>
    <t>LINDEN MOTOR FREIGHT CO INC</t>
  </si>
  <si>
    <t>ZEISLOFT TRUCKING LLC</t>
  </si>
  <si>
    <t>TOCE BROTHERS INC</t>
  </si>
  <si>
    <t>MONTOUR OIL SERVICE COMPANY</t>
  </si>
  <si>
    <t>JEFFERSON POULTRY INC</t>
  </si>
  <si>
    <t>C L FEATHER INC</t>
  </si>
  <si>
    <t>FOREWAY TRANSPORTATION INC</t>
  </si>
  <si>
    <t>MULLEN TRUCKING CORP</t>
  </si>
  <si>
    <t>AB</t>
  </si>
  <si>
    <t>MS CARRIERS LLC</t>
  </si>
  <si>
    <t>AZ</t>
  </si>
  <si>
    <t>KENNETH SCHUCK TRUCKING INC</t>
  </si>
  <si>
    <t>JOSEPH'S EXPRESS INC</t>
  </si>
  <si>
    <t>UPSTATE TRANSIT INC</t>
  </si>
  <si>
    <t>BINGHAMTON-ITHACA EXPRESS INC</t>
  </si>
  <si>
    <t>GENIE TRUCKING LINE INC</t>
  </si>
  <si>
    <t>THE KEYBOARD CORPORATION</t>
  </si>
  <si>
    <t>KY</t>
  </si>
  <si>
    <t>HILLMAN CONCRETE INC</t>
  </si>
  <si>
    <t>CHEMICAL INTERCHANGE CO</t>
  </si>
  <si>
    <t>NEW YORK POST HOLDINGS INC</t>
  </si>
  <si>
    <t>WINEBRENNER TRANSFER INC</t>
  </si>
  <si>
    <t>DUCAT TRUCKING INC</t>
  </si>
  <si>
    <t>VENEZIA TRANSPORT SERVICE INC</t>
  </si>
  <si>
    <t>LEROY DEDICATED LOGISTICS INC</t>
  </si>
  <si>
    <t>DAT TRADING &amp; SALES CO INC</t>
  </si>
  <si>
    <t>BILLY LOVE</t>
  </si>
  <si>
    <t>RIDDELL BROTHERS INC</t>
  </si>
  <si>
    <t>BK LEASING CO INC</t>
  </si>
  <si>
    <t>REGIONAL TRANSPORTATION COMPANY INC</t>
  </si>
  <si>
    <t>OLIVER RUBBER COOPER TIRE COMPANY FLEET</t>
  </si>
  <si>
    <t>ANCHOR CONCRETE PRODUCTS INC</t>
  </si>
  <si>
    <t>DEPENDABLE TRANSPORTATION INC</t>
  </si>
  <si>
    <t>DOUBLE OO TRANSPORT INC</t>
  </si>
  <si>
    <t>KEVIN STUBBS TRUCKING INC</t>
  </si>
  <si>
    <t>GRINNELL HAULERS INC</t>
  </si>
  <si>
    <t>SERCOMBE TRUCKING INC</t>
  </si>
  <si>
    <t>DANDY SERVICE CORPORATION</t>
  </si>
  <si>
    <t>SLA TRANSPORT INC</t>
  </si>
  <si>
    <t>TRANSCORPS ENTERPRISES INC</t>
  </si>
  <si>
    <t>DUPLAINVILLE TRANSPORT INC</t>
  </si>
  <si>
    <t>ROUSE MOTOR EXPRESS INC</t>
  </si>
  <si>
    <t>DINO'S TRUCKING INC</t>
  </si>
  <si>
    <t>QUALITY SUPPLIER TRUCKING INC</t>
  </si>
  <si>
    <t>LADD TRANSPORTATION INC</t>
  </si>
  <si>
    <t>DWIGHT LEWIS LUMBER CO INC</t>
  </si>
  <si>
    <t>CAPE COD EXPRESS LLC</t>
  </si>
  <si>
    <t>CAPE TRANSIT CORP</t>
  </si>
  <si>
    <t>CHRISTIANA MOTOR FREIGHT INC</t>
  </si>
  <si>
    <t>DOUG BRADLEY TRUCKING INC</t>
  </si>
  <si>
    <t>KS</t>
  </si>
  <si>
    <t>D B FISHER CHARTER BUS CO INC</t>
  </si>
  <si>
    <t>GERALD WHITE</t>
  </si>
  <si>
    <t>CASSARINO TRUCKING INC</t>
  </si>
  <si>
    <t>ALLIED TRUCKING LLC</t>
  </si>
  <si>
    <t>EXCLUSIVE TRANSPORTATION FOR INDUSTRY INC</t>
  </si>
  <si>
    <t>TUZZE TRUCKING INC</t>
  </si>
  <si>
    <t>CASELLA WASTE MANAGEMENT INC</t>
  </si>
  <si>
    <t>VT</t>
  </si>
  <si>
    <t>HOBBS TRUCKING INC</t>
  </si>
  <si>
    <t>L G WEAVER TRUCKING LLC</t>
  </si>
  <si>
    <t>MOOVE NA TRANSPORT INC</t>
  </si>
  <si>
    <t>MCLANE EASTERN INC</t>
  </si>
  <si>
    <t>MCCARTHY TIRE SERVICE CO INC</t>
  </si>
  <si>
    <t>DUNKIN DONUTS NORTHEAST DISTRIBUTION CENTER INC</t>
  </si>
  <si>
    <t>VOYAGER TRUCK LINE INC</t>
  </si>
  <si>
    <t>ABCO REFRIGERATION SUPPLY CORP</t>
  </si>
  <si>
    <t>E MAC TRANSPORT COMPANY INC</t>
  </si>
  <si>
    <t>TOWNSEND FARMS INC</t>
  </si>
  <si>
    <t>D &amp; W FORWARDERS INC</t>
  </si>
  <si>
    <t>ON</t>
  </si>
  <si>
    <t>WASTE MANAGEMENT OF NY LLC</t>
  </si>
  <si>
    <t>SCP DISTRIBUTORS LLC</t>
  </si>
  <si>
    <t>LA</t>
  </si>
  <si>
    <t>CONTEMPRI HOMES INC</t>
  </si>
  <si>
    <t>MUNCY HOMES INC</t>
  </si>
  <si>
    <t>DON NELSON TRUCKING INC</t>
  </si>
  <si>
    <t>ROLLIN JOHNSON TRUCKING INC</t>
  </si>
  <si>
    <t>GENE HOENIG INC</t>
  </si>
  <si>
    <t>G E RICHARDS GRAPHIC SUPPLIES CO INC</t>
  </si>
  <si>
    <t>KLEINS BUS SERVICE INC</t>
  </si>
  <si>
    <t>HENRY L TAYLOR TRUCKING LLC</t>
  </si>
  <si>
    <t>LONG'S TRANSFER &amp; STORAGE INC</t>
  </si>
  <si>
    <t>MS</t>
  </si>
  <si>
    <t>ERIE ENTERPRISES INC</t>
  </si>
  <si>
    <t>MID SOUTH TRANSPORTATION CO INC</t>
  </si>
  <si>
    <t>AR</t>
  </si>
  <si>
    <t>VIP EXPRESS INC</t>
  </si>
  <si>
    <t>KBS INC</t>
  </si>
  <si>
    <t>ZIMMERMAN TRUCK LINES INC</t>
  </si>
  <si>
    <t>WILLIS TRUCKING CO</t>
  </si>
  <si>
    <t>COMBINED TRANSPORT SYSTEMS INC</t>
  </si>
  <si>
    <t>CARBON EXPRESS INC</t>
  </si>
  <si>
    <t>B &amp; H DIRECT DELIVERY SERVICE INC</t>
  </si>
  <si>
    <t>GA</t>
  </si>
  <si>
    <t>MINNESOTA VALLEY TRANSPORT INC</t>
  </si>
  <si>
    <t>STOLTZ TRUCKING INC</t>
  </si>
  <si>
    <t>SHOCKEY TOURS INC</t>
  </si>
  <si>
    <t>PRAY TRUCKING INC</t>
  </si>
  <si>
    <t>R F TRUCKING INC</t>
  </si>
  <si>
    <t>CARRIER EXPRESS INC</t>
  </si>
  <si>
    <t>PERRY'S ICE CREAM</t>
  </si>
  <si>
    <t>RESPONSIVE TRUCKING INC</t>
  </si>
  <si>
    <t>CAMPBELL TRUCKING INC</t>
  </si>
  <si>
    <t>AIR-GROUND XPRESS INC</t>
  </si>
  <si>
    <t>TERLECKEY BROS TRUCKING INC</t>
  </si>
  <si>
    <t>ALLEN FAMILY FOODS INC</t>
  </si>
  <si>
    <t>ARSENBERGER TRUCKING COMPANY</t>
  </si>
  <si>
    <t>WOODY EVERLY AND SON INC</t>
  </si>
  <si>
    <t>S &amp; M TRUCKING INC</t>
  </si>
  <si>
    <t>R T MERRYMAN TRUCKING INC</t>
  </si>
  <si>
    <t>AMERICAN LIQUID ASPHALTS</t>
  </si>
  <si>
    <t>DW TRANSPORT &amp; LEASING INC</t>
  </si>
  <si>
    <t>FAST BROKERS INTERNATIONAL INCORPORATED</t>
  </si>
  <si>
    <t>DECRESCENTE DISTRIBUTING CO INC</t>
  </si>
  <si>
    <t>EDGE TRANSPORTATION COMPANY INCORPORATED</t>
  </si>
  <si>
    <t>WHITE OAK TRANSPORT LIMITED</t>
  </si>
  <si>
    <t>REPUBLIC ENVIRONMENTAL SYSTEMS TRANSPORTATION GROUP LLC</t>
  </si>
  <si>
    <t>ALLAN MYERS LP</t>
  </si>
  <si>
    <t>WILLIAM B ALTMAN INC</t>
  </si>
  <si>
    <t>E &amp; J TRUCKING INC</t>
  </si>
  <si>
    <t>MYSTIC ISLAND TRANSPORT INC</t>
  </si>
  <si>
    <t>VENEZIA HAULING INC</t>
  </si>
  <si>
    <t>S &amp; J TRANSPORTATION SERVICES INC</t>
  </si>
  <si>
    <t>NH</t>
  </si>
  <si>
    <t>AMYCEL LLC</t>
  </si>
  <si>
    <t>CA</t>
  </si>
  <si>
    <t>RUSINIAK'S SERVICE INC</t>
  </si>
  <si>
    <t>EARTHMOVERS EQUIPMENT COMPANY</t>
  </si>
  <si>
    <t>LESTER F MARTIN</t>
  </si>
  <si>
    <t>PLEASANT TRUCKING INC</t>
  </si>
  <si>
    <t>LA ROCHE INDUSTRIES INC</t>
  </si>
  <si>
    <t>SARGENT TRANSPORTATION LINES INC</t>
  </si>
  <si>
    <t>BUCKMAN'S INC</t>
  </si>
  <si>
    <t>TRI-BORO MATERIALS INC</t>
  </si>
  <si>
    <t>HERMAN-MILES TRUCKING INC</t>
  </si>
  <si>
    <t>SUGARCREEK CARTAGE COMPANY INC</t>
  </si>
  <si>
    <t>SUIT-KOTE CORPORATION</t>
  </si>
  <si>
    <t>SPECIALTY PRODUCTS INC</t>
  </si>
  <si>
    <t>ALL COUNTY RESOURCE MANAGEMENT CORP</t>
  </si>
  <si>
    <t>ELLWOOD CITY TRANSIT INC</t>
  </si>
  <si>
    <t>A B C TRANSPORT INC</t>
  </si>
  <si>
    <t>MOBILE SPACE TRANSPORT INC</t>
  </si>
  <si>
    <t>D &amp; J TRANSFER INC</t>
  </si>
  <si>
    <t>BROOKS PROVISIONS LLC</t>
  </si>
  <si>
    <t>ALVIN L LECRONE</t>
  </si>
  <si>
    <t>ALLEGHENY IRON &amp; METAL CO</t>
  </si>
  <si>
    <t>BENEDICT'S BUS SERVICE LLC</t>
  </si>
  <si>
    <t>PELTON TRUCKING COMPANY INC</t>
  </si>
  <si>
    <t>CLEVELAND EXPRESS TRUCKING COMPANY INC</t>
  </si>
  <si>
    <t>BALLARD INC</t>
  </si>
  <si>
    <t>RIST TRANSPORT LTD</t>
  </si>
  <si>
    <t>GLOUCESTER IRON &amp; METAL INC</t>
  </si>
  <si>
    <t>M H BRENNER RECYCLING INC</t>
  </si>
  <si>
    <t>FIRST FREIGHT TRANSPORT INC</t>
  </si>
  <si>
    <t>SYSCO PITTSBURGH LLC</t>
  </si>
  <si>
    <t>HUBER'S STONE HAULING LLC</t>
  </si>
  <si>
    <t>MW MANUFACTURERS INC</t>
  </si>
  <si>
    <t>FYOCK MOTOR LINES INC</t>
  </si>
  <si>
    <t>ABC BUS INC</t>
  </si>
  <si>
    <t>TONY AREY</t>
  </si>
  <si>
    <t>DYKEMA TRUCKING INC</t>
  </si>
  <si>
    <t>BUCKS INC</t>
  </si>
  <si>
    <t>LEASE LINE INC</t>
  </si>
  <si>
    <t>BENEDICT ENTERPRISES INC</t>
  </si>
  <si>
    <t>COURTESY BUS CO INC</t>
  </si>
  <si>
    <t>ALBERT TIRE LLC</t>
  </si>
  <si>
    <t>DESTINY TRANSPORTATION INC</t>
  </si>
  <si>
    <t>BETT-A-WAY BEVERAGE DISTRIBUTORS INC</t>
  </si>
  <si>
    <t>RESNICK SUPERMARKET EQUIPMENT CORP</t>
  </si>
  <si>
    <t>DIAMOND TRUCK LEASING CORP</t>
  </si>
  <si>
    <t>FARMERS PRIDE INC</t>
  </si>
  <si>
    <t>CHICK WHITESALL &amp; DAUGHTERS INC</t>
  </si>
  <si>
    <t>BLUEOX CORPORATION</t>
  </si>
  <si>
    <t>J D C ENTERPRISES INC</t>
  </si>
  <si>
    <t>U</t>
  </si>
  <si>
    <t>WELLS BROTHERS INC</t>
  </si>
  <si>
    <t>TREVDAN INC</t>
  </si>
  <si>
    <t>WILLIAM E BENNETT</t>
  </si>
  <si>
    <t>JOSEPH FAZZIO INC</t>
  </si>
  <si>
    <t>C R A TRUCKING COMPANY INC</t>
  </si>
  <si>
    <t>W D F INC</t>
  </si>
  <si>
    <t>NORTHWEST DAIRY FORWARDING CO</t>
  </si>
  <si>
    <t>RALPH CLAYTON &amp; SONS</t>
  </si>
  <si>
    <t>A &amp; D EXPRESS INC</t>
  </si>
  <si>
    <t>WEAVER BROS LIVESTOCK HAULING</t>
  </si>
  <si>
    <t>NEW TAYLOR TRANSPORTATION LLC</t>
  </si>
  <si>
    <t>R &amp; W TRUCKING &amp; EXCAVATING INC</t>
  </si>
  <si>
    <t>JAMES J HALEY TRUCKING CORP</t>
  </si>
  <si>
    <t>DOLAN TRANSPORTATION SERVICES INC</t>
  </si>
  <si>
    <t>B &amp; L TRUCKING INC</t>
  </si>
  <si>
    <t>ALNYE LLC</t>
  </si>
  <si>
    <t>EXACT DELIVERY INC</t>
  </si>
  <si>
    <t>AKRON EXPRESS INC</t>
  </si>
  <si>
    <t>HARVEY &amp; CO INC</t>
  </si>
  <si>
    <t>LANCASTER FOODS LLC</t>
  </si>
  <si>
    <t>NORBERT E MITCHELL CO INC</t>
  </si>
  <si>
    <t>ELIAS WILF CORPORATION</t>
  </si>
  <si>
    <t>SILVER SPRINGS FARM INC</t>
  </si>
  <si>
    <t>LILY TRANSPORTATION CORP</t>
  </si>
  <si>
    <t>KIRK NATIONALEASE COMPANY</t>
  </si>
  <si>
    <t>PAUL K FETTER TRUCKING INC</t>
  </si>
  <si>
    <t>PEPSI COLA BOTTLING CO OF NEW YORK INC</t>
  </si>
  <si>
    <t>HALL FARMS TRUCKING INC</t>
  </si>
  <si>
    <t>UPSTATE NIAGARA COOPERATIVE INC</t>
  </si>
  <si>
    <t>HAHN AUTOMOTIVE WAREHOUSE INC</t>
  </si>
  <si>
    <t>NEW CARGO FURNITURE INC</t>
  </si>
  <si>
    <t>EMPACO EQUIPMENT CORPORATION</t>
  </si>
  <si>
    <t>SUNBURY MOTOR COMPANY</t>
  </si>
  <si>
    <t>A GABRIEL INC</t>
  </si>
  <si>
    <t>RD TRUCKING OF NEWBURGH INC</t>
  </si>
  <si>
    <t>GARY JUNKINS CORPORATION</t>
  </si>
  <si>
    <t>IA</t>
  </si>
  <si>
    <t>FLORAL PLANT GROWERS LLC</t>
  </si>
  <si>
    <t>ANDREUCCI TRUCKING INC</t>
  </si>
  <si>
    <t>ABLE RECYCLING INC</t>
  </si>
  <si>
    <t>NEW ENGLAND OIL COMPANY INC</t>
  </si>
  <si>
    <t>D &amp; D COLLISION SERVICE INC</t>
  </si>
  <si>
    <t>BMC EAST LLC</t>
  </si>
  <si>
    <t>SHELLER PROPANE LLC</t>
  </si>
  <si>
    <t>K L HARRING TRANSPORTATION LLC</t>
  </si>
  <si>
    <t>IDEAL TRUCKING INC</t>
  </si>
  <si>
    <t>PENNWAY EXPRESS INC</t>
  </si>
  <si>
    <t>BETTER STONES LLC</t>
  </si>
  <si>
    <t>ACV ENVIRONMENTAL SERVICES INC</t>
  </si>
  <si>
    <t>ALBERT HENDERSON JR</t>
  </si>
  <si>
    <t>WMP MCGOVERN INC</t>
  </si>
  <si>
    <t>REPUBLIC SERVICES OF PENNSYLVANIA LLC</t>
  </si>
  <si>
    <t>A VENIERO &amp; SONS INC</t>
  </si>
  <si>
    <t>ATKINSON FREIGHT LINES CORP OF PA</t>
  </si>
  <si>
    <t>EAGLE-WOLFINGTON LEASING CORPORATION</t>
  </si>
  <si>
    <t>TRANSPORTATION SERVICES INC</t>
  </si>
  <si>
    <t>STANDARD OIL OF CONNECTICUT INC</t>
  </si>
  <si>
    <t>CALL PETER INC</t>
  </si>
  <si>
    <t>BOWSER-REGAL INC</t>
  </si>
  <si>
    <t>FMI TRUCKING INC</t>
  </si>
  <si>
    <t>HAR-LAND TRUCKING CO</t>
  </si>
  <si>
    <t>SKYHOOK INC</t>
  </si>
  <si>
    <t>DENNIS K DUM</t>
  </si>
  <si>
    <t>SKY OXYGEN</t>
  </si>
  <si>
    <t>WILLIAM DICKSON INDUSTRIES INC</t>
  </si>
  <si>
    <t>ACE TRUCKING COMPANY INC</t>
  </si>
  <si>
    <t>STARLITE CARGO EXPRESS INC</t>
  </si>
  <si>
    <t>SONNY PETERSON TRUCKING INC</t>
  </si>
  <si>
    <t>SMITH BUS COMPANY INC</t>
  </si>
  <si>
    <t>MAYES TRUCKING INC</t>
  </si>
  <si>
    <t>GEORGE FRANCIOTTI TRUCKING COMPANY</t>
  </si>
  <si>
    <t>REGIONAL IDEALEASE INC</t>
  </si>
  <si>
    <t>GE IONICS</t>
  </si>
  <si>
    <t>SERVICE TRUCKING INC</t>
  </si>
  <si>
    <t>JAY F BEERS INC</t>
  </si>
  <si>
    <t>METALWEST LLC</t>
  </si>
  <si>
    <t>NE</t>
  </si>
  <si>
    <t>PLYLER ENTERPRISES INC</t>
  </si>
  <si>
    <t>M GRIEMSMANN TRUCKING INC</t>
  </si>
  <si>
    <t>DONALD J VITE</t>
  </si>
  <si>
    <t>BRUCE TRENT TRUCKING INC</t>
  </si>
  <si>
    <t>DESTINY TRANSPORT INC</t>
  </si>
  <si>
    <t>BUDGET RENT A CAR SYSTEM INC</t>
  </si>
  <si>
    <t>CLASS 1 TRANSPORT INC</t>
  </si>
  <si>
    <t>DANTONE INC</t>
  </si>
  <si>
    <t>COMBINED EXPRESS INC</t>
  </si>
  <si>
    <t>SUMMIT TRANSPORT CORP</t>
  </si>
  <si>
    <t>TINARI CONTAINER SERVICE INC</t>
  </si>
  <si>
    <t>MICHAEL CARSON</t>
  </si>
  <si>
    <t>WM STOTHOFF CO INC</t>
  </si>
  <si>
    <t>ARAMSCO INC</t>
  </si>
  <si>
    <t>CRAIG A STINE TRUCKING LLC</t>
  </si>
  <si>
    <t>ROMANO PAVING &amp; EXCAVATING INC</t>
  </si>
  <si>
    <t>DEALERS SERVICE</t>
  </si>
  <si>
    <t>JOHN H BOGER &amp; SON INC</t>
  </si>
  <si>
    <t>A R OLIASTRO INC</t>
  </si>
  <si>
    <t>RHINEHART SAND &amp; GRAVEL</t>
  </si>
  <si>
    <t>TASH SALES CO INC</t>
  </si>
  <si>
    <t>THIRD GENERATION ENTERPRISES INC</t>
  </si>
  <si>
    <t>RPM COURIER SYSTEMS LLC</t>
  </si>
  <si>
    <t>ORCHARD EARTH &amp; PIPE CORP</t>
  </si>
  <si>
    <t>MICHAEL N PARDO SR TRUCKING INC</t>
  </si>
  <si>
    <t>AA TRUCK RENTING CORP</t>
  </si>
  <si>
    <t>WALLACE HYDE JR</t>
  </si>
  <si>
    <t>TCI LOGISTICS INC</t>
  </si>
  <si>
    <t>HOBBS CONTRACTORS INC</t>
  </si>
  <si>
    <t>GLASGOW INC</t>
  </si>
  <si>
    <t>WESTFIELD DISPOSAL SERVICES INC</t>
  </si>
  <si>
    <t>HVAC DISTRIBUTORS INC</t>
  </si>
  <si>
    <t>SANTINI FARMS LLC</t>
  </si>
  <si>
    <t>KLINGSHIRN &amp; SONS TRUCKING INC</t>
  </si>
  <si>
    <t>INTERSTATE COURIER EXPRESS INC</t>
  </si>
  <si>
    <t>SERV-RITE CORP A FINE HOST COMPANY</t>
  </si>
  <si>
    <t>SKYLINE SERVICES LLC</t>
  </si>
  <si>
    <t>SALEM TRUCK LEASING INC</t>
  </si>
  <si>
    <t>FIVE STAR TRUCK SERVICES &amp; LEASING INC</t>
  </si>
  <si>
    <t>AIR SERVICE SYSTEMS INC</t>
  </si>
  <si>
    <t>BARRETT ASPHALT CORP</t>
  </si>
  <si>
    <t>GEORGE A KINT INC</t>
  </si>
  <si>
    <t>PHILIP D PFAFFENBACH JR</t>
  </si>
  <si>
    <t>PALA WOOD SERVICES CO INC</t>
  </si>
  <si>
    <t>WATKINS &amp; SON INC</t>
  </si>
  <si>
    <t>OEHLERT BROS INC</t>
  </si>
  <si>
    <t>R W BIRD TRUCKING INC</t>
  </si>
  <si>
    <t>ROBERT M NEFF INC</t>
  </si>
  <si>
    <t>MHART EXPRESS INC</t>
  </si>
  <si>
    <t>MARINIS BROS INC</t>
  </si>
  <si>
    <t>HUNTINGTON COACH CORP</t>
  </si>
  <si>
    <t>SYSCO SYRACUSE LLC</t>
  </si>
  <si>
    <t>JERRY PRESTON HAULING INCORPORATED</t>
  </si>
  <si>
    <t>BOUNDARY WHOLESALE FENCE DISTRIBUTORS INC</t>
  </si>
  <si>
    <t>AL THOMPSON TRUCKING</t>
  </si>
  <si>
    <t>SERVICE WHOLESALE INC</t>
  </si>
  <si>
    <t>NICK'S TOWING SERVICE INC</t>
  </si>
  <si>
    <t>J &amp; M OF DELAWARE INC</t>
  </si>
  <si>
    <t>TRI-COUNTY BUILDING SUPPLIES INC</t>
  </si>
  <si>
    <t>PAMARCO INC</t>
  </si>
  <si>
    <t>BRAZIL TRUCKING INC</t>
  </si>
  <si>
    <t>BRANDYWINE PAVING &amp; EXCAVATION INC</t>
  </si>
  <si>
    <t>EASTERN LIFT TRUCK CO INC</t>
  </si>
  <si>
    <t>JACK'S AUTO INC</t>
  </si>
  <si>
    <t>HOUSTON-STARR COMPANY</t>
  </si>
  <si>
    <t>WENTZEL TRANSPORTATION LLC</t>
  </si>
  <si>
    <t>CEDAR FARMS CO INC</t>
  </si>
  <si>
    <t>CALHOUN DISTRIBUTION INC</t>
  </si>
  <si>
    <t>YANNUZZI OVERLAND UNLIMITED INC</t>
  </si>
  <si>
    <t>R G F INDUSTRIES INC</t>
  </si>
  <si>
    <t>INTERSTATE LOGISTICS INC</t>
  </si>
  <si>
    <t>CIERRA TRANSPORTATION INC</t>
  </si>
  <si>
    <t>ROCKY TOP BUILDING PRODUCTS INC</t>
  </si>
  <si>
    <t>J E CORCORAN CO INC</t>
  </si>
  <si>
    <t>809298 ONTARIO INC</t>
  </si>
  <si>
    <t>GRACE INDUSTRIES INC</t>
  </si>
  <si>
    <t>JAMB INC</t>
  </si>
  <si>
    <t>GOLD COAST EXPRESS INCORPORATED</t>
  </si>
  <si>
    <t>ST ANTHONY INC</t>
  </si>
  <si>
    <t>GLORY TRANSPORTATION INC</t>
  </si>
  <si>
    <t>MAF OF MARYLAND INC</t>
  </si>
  <si>
    <t>MAL'S AUTO &amp; TRUCK REPAIR INC</t>
  </si>
  <si>
    <t>CONTINENTAL CONCESSION SUPPLIES INC</t>
  </si>
  <si>
    <t>MOLLENBERG-BETZ INC</t>
  </si>
  <si>
    <t>D L GEORGE &amp; SONS CONSTRUCTION COMPANY</t>
  </si>
  <si>
    <t>PARK &amp; PULL LEASING INC</t>
  </si>
  <si>
    <t>PALMER TRUCKS INC</t>
  </si>
  <si>
    <t>PROFESSIONAL TRUCK LEASING SYSTEMS INC</t>
  </si>
  <si>
    <t>MOYER-MITCHELL CO INC</t>
  </si>
  <si>
    <t>BINGHAMTON HARDWARE CO INC</t>
  </si>
  <si>
    <t>JRP WASTE OIL SERVICE INC</t>
  </si>
  <si>
    <t>THOR TRANSPORTATION INC</t>
  </si>
  <si>
    <t>WORLD TRANSPORT INC</t>
  </si>
  <si>
    <t>ACME TRANSPORTATION INC</t>
  </si>
  <si>
    <t>KUNTZ &amp; SON INC</t>
  </si>
  <si>
    <t>HALL ENTERPRISES INC</t>
  </si>
  <si>
    <t>WASTE MANAGEMENT OF ARKANSAS</t>
  </si>
  <si>
    <t>HACKMAN PAVING INC</t>
  </si>
  <si>
    <t>CUBEX INC</t>
  </si>
  <si>
    <t>STATELINE BUILDING SUPPLY INC</t>
  </si>
  <si>
    <t>BRUBACHER EXCAVATING INC</t>
  </si>
  <si>
    <t>MELVIN BAKER</t>
  </si>
  <si>
    <t>WHITMER FUELS INC</t>
  </si>
  <si>
    <t>DAVID ERB CONTRACTORS INC</t>
  </si>
  <si>
    <t>ADAWN EXPRESS INC</t>
  </si>
  <si>
    <t>TROPICAL CHEESE INDUSTRIES LLC</t>
  </si>
  <si>
    <t>CASELLA CONSTRUCTION INC</t>
  </si>
  <si>
    <t>POLOWY STONE SUPPLIERS INC</t>
  </si>
  <si>
    <t>TRICO EQUIPMENT INC</t>
  </si>
  <si>
    <t>BERNARD WORKS JR &amp; LEONA RUTH WORKS</t>
  </si>
  <si>
    <t>BUCKLER TRANSPORT INC</t>
  </si>
  <si>
    <t>N E PENN SALVAGE CO INC</t>
  </si>
  <si>
    <t>S TINNERELLO &amp; SON INC</t>
  </si>
  <si>
    <t>LJF INC</t>
  </si>
  <si>
    <t>DALE OLD WRECKER SERVICE INC</t>
  </si>
  <si>
    <t>TWIN INC</t>
  </si>
  <si>
    <t>GILBERT EXPRESS</t>
  </si>
  <si>
    <t>GLENN O HAWBAKER INC</t>
  </si>
  <si>
    <t>BOONIE &amp; SON INC</t>
  </si>
  <si>
    <t>DITOMASO DESIGN INC</t>
  </si>
  <si>
    <t>RODRIGUE BROTHERS TRUCKING INC</t>
  </si>
  <si>
    <t>CAVAN CONSTRUCTION COMPANY INC</t>
  </si>
  <si>
    <t>SILVI CONCRETE OF BRICK INC</t>
  </si>
  <si>
    <t>ROSLYN SUPPLY CO</t>
  </si>
  <si>
    <t>ARMOUR &amp; SONS ELECTRIC INC</t>
  </si>
  <si>
    <t>INTERNATIONAL PETROLEUM CORP OF DELAWARE</t>
  </si>
  <si>
    <t>J A MYERS BUILDING &amp; DEVELOPMENT INC</t>
  </si>
  <si>
    <t>PRO OIL INC</t>
  </si>
  <si>
    <t>J ANTHONY EXPRESS INC</t>
  </si>
  <si>
    <t>AFFORDABLE BUS CHARTERS INC</t>
  </si>
  <si>
    <t>PALMERI TRANSPORTATION INC</t>
  </si>
  <si>
    <t>DA VINCI FOODS INC</t>
  </si>
  <si>
    <t>ARROW LEASING CORP</t>
  </si>
  <si>
    <t>RIEHL'S TOWING &amp; MAINTENANCE INC</t>
  </si>
  <si>
    <t>CURRY &amp; KEPPLE INC</t>
  </si>
  <si>
    <t>PLAINFIELD FRUIT &amp; PRODUCE CO INC</t>
  </si>
  <si>
    <t>A G ALLEBACH INC</t>
  </si>
  <si>
    <t>SAFEWAY DRIVE AWAY INC</t>
  </si>
  <si>
    <t>PENNSYLVANIA DELIVERY SYSTEMS INC</t>
  </si>
  <si>
    <t>MCSHANE TRUCKING</t>
  </si>
  <si>
    <t>TRI COUNTY TRANSPORTATION INC</t>
  </si>
  <si>
    <t>ACHIEVA SUPPORTS</t>
  </si>
  <si>
    <t>JACK PETERS</t>
  </si>
  <si>
    <t>MAROCCHI TRUCKING CO INC</t>
  </si>
  <si>
    <t>GREAT NORTHERN TRANSFER INC</t>
  </si>
  <si>
    <t>R A M TRUCKING INC</t>
  </si>
  <si>
    <t>ROD HORNING TRUCKING INC</t>
  </si>
  <si>
    <t>ROBERT &amp; KARIN BEAN</t>
  </si>
  <si>
    <t>TRANSPORT LOGISTICS INC</t>
  </si>
  <si>
    <t>TANDEM TRUCKING CO INC</t>
  </si>
  <si>
    <t>CDS LOGISTICS MANAGEMENT INC</t>
  </si>
  <si>
    <t>PROLINKS SERVICES INC</t>
  </si>
  <si>
    <t>D &amp; D TRANSPORTATION INC</t>
  </si>
  <si>
    <t>JOBE TRUCKING LTD</t>
  </si>
  <si>
    <t>RICHARD OBREZA TRUCKING INC</t>
  </si>
  <si>
    <t>HALY OIL &amp; ACQUISITION CO INC</t>
  </si>
  <si>
    <t>ACE ENDICO CORP</t>
  </si>
  <si>
    <t>SWEETWATER SEAFOOD CARRIERS INC</t>
  </si>
  <si>
    <t>ARKANSAS EQUIPMENT CO</t>
  </si>
  <si>
    <t>FERCHO TRANSPORT INC</t>
  </si>
  <si>
    <t>TRESTLE PARK CARTING INC</t>
  </si>
  <si>
    <t>SUPERIOR TRUCK LINES INC</t>
  </si>
  <si>
    <t>CLINTON W GREEN INC</t>
  </si>
  <si>
    <t>SUNESIS INC</t>
  </si>
  <si>
    <t>BATH TRANSPORT</t>
  </si>
  <si>
    <t>CAMDEN BAG &amp; PAPER</t>
  </si>
  <si>
    <t>OWL WIRE LOGISTICS INC</t>
  </si>
  <si>
    <t>CRYSTAL WINDOW &amp; DOOR SYSTEMS LTD</t>
  </si>
  <si>
    <t>L U TRANSPORT INC</t>
  </si>
  <si>
    <t>JUST FOUR WHEELS INC</t>
  </si>
  <si>
    <t>LDS LEASING CORP</t>
  </si>
  <si>
    <t>DEN MAR ASSOCIATES LLC</t>
  </si>
  <si>
    <t>DEBRA L ROSS</t>
  </si>
  <si>
    <t>PETRILLO TRUCKING INC</t>
  </si>
  <si>
    <t>DRB INC</t>
  </si>
  <si>
    <t>ATLANTIS ENERGY LLC</t>
  </si>
  <si>
    <t>LITTLE B'S TRUCKING LLC</t>
  </si>
  <si>
    <t>COLONY HOUSE FURNITURE INC</t>
  </si>
  <si>
    <t>WERNER TRANSPORTATION INC</t>
  </si>
  <si>
    <t>YUSEN LOGISTICS AMERICAS INC</t>
  </si>
  <si>
    <t>HIRSCHBACH TRANSPORTATION SERVICES LLC</t>
  </si>
  <si>
    <t>SANDAIR SYSTEM CORPORATION</t>
  </si>
  <si>
    <t>DMS EXPRESS INC</t>
  </si>
  <si>
    <t>UNITED WINDOW &amp; DOOR MANUFACTURING INC</t>
  </si>
  <si>
    <t>WARDS ICE CREAM CO INC</t>
  </si>
  <si>
    <t>CARL L SMITH</t>
  </si>
  <si>
    <t>COAST TO COAST EXPRESS INC</t>
  </si>
  <si>
    <t>RAMON FRED</t>
  </si>
  <si>
    <t>H&amp;M INTERNATIONAL TRANSPORTATION INC</t>
  </si>
  <si>
    <t>C PYSKATY &amp; SONS</t>
  </si>
  <si>
    <t>TRIPLE D EXPRESS INC</t>
  </si>
  <si>
    <t>WILLIAM L BASSILL</t>
  </si>
  <si>
    <t>NASS INC</t>
  </si>
  <si>
    <t>THAYER DISTRIBUTION</t>
  </si>
  <si>
    <t>REMODELING CONSULTANTS INC</t>
  </si>
  <si>
    <t>CAPITAL MUSHROOM CO INC</t>
  </si>
  <si>
    <t>CHICK'S TOWING SERVICE INC</t>
  </si>
  <si>
    <t>LESTER L HARVEY</t>
  </si>
  <si>
    <t>MARK D MANCUSO</t>
  </si>
  <si>
    <t>D'IMPERIO BROS LANDSCAPING INC</t>
  </si>
  <si>
    <t>VTC BOUSUM BUYER LLC</t>
  </si>
  <si>
    <t>SAM TELL AND SONS INC</t>
  </si>
  <si>
    <t>DUTCHESS TERMINALS INC</t>
  </si>
  <si>
    <t>A J BLOSENSKI INC</t>
  </si>
  <si>
    <t>PRODUCERS SUPPLY CO INC</t>
  </si>
  <si>
    <t>PROGRESSIVE TRANSPORTATION LLC</t>
  </si>
  <si>
    <t>KRAFT FOOD SERVICE</t>
  </si>
  <si>
    <t>URRA COMPANY INC</t>
  </si>
  <si>
    <t>CYRUS R FOX INC</t>
  </si>
  <si>
    <t>CHEMGRO FERTILIZER COMPANY INC</t>
  </si>
  <si>
    <t>SLC TRANSPORT INC</t>
  </si>
  <si>
    <t>CTX FREIGHT SERVICES INC</t>
  </si>
  <si>
    <t>MAIN LINE FUEL SERVICE INC</t>
  </si>
  <si>
    <t>SPADER FREIGHT SERVICES INC</t>
  </si>
  <si>
    <t>USA HAULING &amp; RECYCLING INC</t>
  </si>
  <si>
    <t>MID ATLANTIC XPRESS INC</t>
  </si>
  <si>
    <t>DANIEL MAHEDY JR TRUCKING INC</t>
  </si>
  <si>
    <t>ROOFERS SUPPLIES INC</t>
  </si>
  <si>
    <t>I N E CORP</t>
  </si>
  <si>
    <t>RAMS &amp; SON EXCAVATING LLC</t>
  </si>
  <si>
    <t>DIESEL DIRECT LLC</t>
  </si>
  <si>
    <t>MEDLIN TRUCKING SERVICES GROUP</t>
  </si>
  <si>
    <t>AMERICAN PUMPING INC</t>
  </si>
  <si>
    <t>THP TRANSPORTATION LOGISTICS LLC</t>
  </si>
  <si>
    <t>KRATZ TRUCKING INC</t>
  </si>
  <si>
    <t>VALLEY SUPPLY INC</t>
  </si>
  <si>
    <t>LEIBY'S DAIRY LLC</t>
  </si>
  <si>
    <t>DEDICATED LOGISTICS SERVICES INC</t>
  </si>
  <si>
    <t>MERCER MILLING PRE-MIX COMPANY</t>
  </si>
  <si>
    <t>POORBOY EXPRESS INC</t>
  </si>
  <si>
    <t>LC TRUCKING LLC</t>
  </si>
  <si>
    <t>AM SOUTH TRANSPORT INC</t>
  </si>
  <si>
    <t>SCHOONOVER ELECTRIC COMPANY INC</t>
  </si>
  <si>
    <t>NORTHEAST INTERIOR SYSTEMS INC</t>
  </si>
  <si>
    <t>VANDERVEEN TRUCKING INC</t>
  </si>
  <si>
    <t>DANA TRANSPORT SYSTEM INC</t>
  </si>
  <si>
    <t>LASER TRANSIT LTD</t>
  </si>
  <si>
    <t>JEFFORDS STEEL &amp; SPECIALTY CO INC</t>
  </si>
  <si>
    <t>HOMETOWN WASTE LLC</t>
  </si>
  <si>
    <t>RON ENGLISH TRUCKING INC</t>
  </si>
  <si>
    <t>GMC EXPRESS INC</t>
  </si>
  <si>
    <t>BRIAN HOLLAND</t>
  </si>
  <si>
    <t>GARVEY CORPORATION</t>
  </si>
  <si>
    <t>KEVIN R ANDERSON</t>
  </si>
  <si>
    <t>DPR &amp; R ENTERPRISES INC</t>
  </si>
  <si>
    <t>TARGET ENTERPRISES INC</t>
  </si>
  <si>
    <t>EBERLY TRANSPORTATION LLC</t>
  </si>
  <si>
    <t>IVYLAND CONSTRUCTION INC</t>
  </si>
  <si>
    <t>DATIN BROTHERS INC</t>
  </si>
  <si>
    <t>THE L SUZIO CONSTRUCTION COMPANY</t>
  </si>
  <si>
    <t>INDIAN VALLEY TRUCKING INC</t>
  </si>
  <si>
    <t>CLARK TRUCKING LLC</t>
  </si>
  <si>
    <t>TUMINO'S TOWING INC</t>
  </si>
  <si>
    <t>KEY ENERGY SERVICES LLC</t>
  </si>
  <si>
    <t>GENE &amp; GEORGE SMITH SANITATION</t>
  </si>
  <si>
    <t>REGIONAL LOGISTICS GROUP LLC</t>
  </si>
  <si>
    <t>ROUDIE H HARRISON</t>
  </si>
  <si>
    <t>M &amp; S MATERIALS LLC</t>
  </si>
  <si>
    <t>N ABBONIZIO CONTRACTORS INC</t>
  </si>
  <si>
    <t>PIG-TAINER INC</t>
  </si>
  <si>
    <t>DUBLIN SCRAP METAL INC</t>
  </si>
  <si>
    <t>CLOVERLEAF TRANSPORTATION INC</t>
  </si>
  <si>
    <t>S &amp; S LEASING AND TRANSPORT INC</t>
  </si>
  <si>
    <t>K MONCK INC</t>
  </si>
  <si>
    <t>DISTEFANO LANDSCAPE SERVICES INC</t>
  </si>
  <si>
    <t>OEHME CARRIER CORPORATION</t>
  </si>
  <si>
    <t>DEACON TRANSPORTATION CORP</t>
  </si>
  <si>
    <t>B R I M RECYCLERS INC</t>
  </si>
  <si>
    <t>KEPLER BROTHERS INC</t>
  </si>
  <si>
    <t>STANDARD DEMOLITION SERVICES INC</t>
  </si>
  <si>
    <t>ELMER MOSER &amp; SONS LLC</t>
  </si>
  <si>
    <t>NEMY NUMAT</t>
  </si>
  <si>
    <t>HEPLER TRANSPORT INC</t>
  </si>
  <si>
    <t>RUSTON PAVING CO INC</t>
  </si>
  <si>
    <t>ASTRO MACHINE WORKS INC</t>
  </si>
  <si>
    <t>WEINSTOCK INC</t>
  </si>
  <si>
    <t>RJR TRANSPORTATION COMPANY</t>
  </si>
  <si>
    <t>NORTH SUBURBAN TREE SERVICE INC</t>
  </si>
  <si>
    <t>PATRICIO R PAREDES</t>
  </si>
  <si>
    <t>K-LINE EXPRESS INC</t>
  </si>
  <si>
    <t>D A M TRUCKING INC</t>
  </si>
  <si>
    <t>4G'S TRUCK RENTING CO INC</t>
  </si>
  <si>
    <t>PLANET EARTH RECYCLING INC</t>
  </si>
  <si>
    <t>BIR TRANSPORT COMPANY INC</t>
  </si>
  <si>
    <t>HUFFMAN TRUCKING LLC</t>
  </si>
  <si>
    <t>HIPSKY CONSTRUCTION LLC</t>
  </si>
  <si>
    <t>CUSTER DUMP TRUCKING AND EXCAVATING INC</t>
  </si>
  <si>
    <t>KONINK LOGISTICS INC</t>
  </si>
  <si>
    <t>HOLLAND PATENT LEASING CO INC</t>
  </si>
  <si>
    <t>COOKSON TRUCKING CO INC</t>
  </si>
  <si>
    <t>OK</t>
  </si>
  <si>
    <t>JOHN MINI DISTINCTIVE LANDSCAPES LTD</t>
  </si>
  <si>
    <t>LENNY'S AUTO TRANSPORT SERVICES INC</t>
  </si>
  <si>
    <t>PIONEER POLE BUILDINGS INC</t>
  </si>
  <si>
    <t>HARRY WILS &amp; CO INC</t>
  </si>
  <si>
    <t>PALLETTE TRUCKING LLC</t>
  </si>
  <si>
    <t>HOENIG TRANSPORTATION INC</t>
  </si>
  <si>
    <t>FRED BEANS PARTS INC</t>
  </si>
  <si>
    <t>TECH LOGISTICS CORPORATION</t>
  </si>
  <si>
    <t>TEAM LEASING INC</t>
  </si>
  <si>
    <t>HTI - HALL TRUCKING EXPRESS INC</t>
  </si>
  <si>
    <t>R SWEATT &amp; SONS INC</t>
  </si>
  <si>
    <t>GM TRUCKING ASSOCIATES INC</t>
  </si>
  <si>
    <t>ENTERPRISE EXPRESS LLC</t>
  </si>
  <si>
    <t>J &amp; J LOGISTICS INC</t>
  </si>
  <si>
    <t>MATRO FAMILY FARMS LLC</t>
  </si>
  <si>
    <t>CENTRAL JERSEY WASTE &amp; RECYCLING INC</t>
  </si>
  <si>
    <t>GULF STATES PAPER CORP</t>
  </si>
  <si>
    <t>ORANGE COUNTY LIMOUSINE SERVICE INC</t>
  </si>
  <si>
    <t>SERV ALL FUEL INC</t>
  </si>
  <si>
    <t>NAVA TRUCKING CORP</t>
  </si>
  <si>
    <t>STUDENT TRANSPORTATION OF AMERICA INC</t>
  </si>
  <si>
    <t>CHESAPEAKE TOWING INC</t>
  </si>
  <si>
    <t>WORLD LOGISTICS USA INC</t>
  </si>
  <si>
    <t>LEGEND TRANSPORTATION AND LOGISTICS INC</t>
  </si>
  <si>
    <t>NICHOLAS BLANK</t>
  </si>
  <si>
    <t>SEYMORE'S AUTO REPAIR INC</t>
  </si>
  <si>
    <t>133678 CANADA INC</t>
  </si>
  <si>
    <t>QC</t>
  </si>
  <si>
    <t>SHRIVER CONTRACT SERVICES INC</t>
  </si>
  <si>
    <t>CHARLES V BROWN</t>
  </si>
  <si>
    <t>IRON HORSE TRANSPORT INC</t>
  </si>
  <si>
    <t>MARINE CONTAINER SERVICES LLC</t>
  </si>
  <si>
    <t>SKYWORKS LLC</t>
  </si>
  <si>
    <t>J SOUDERS &amp; SON EXCAVATING INC</t>
  </si>
  <si>
    <t>STEIGHNER CRANE SERVICES INC</t>
  </si>
  <si>
    <t>MENTO PRODUCE CO INC</t>
  </si>
  <si>
    <t>JOHN P GUENTHER</t>
  </si>
  <si>
    <t>TOTAL OFFICE PLANNING SERVICES INC</t>
  </si>
  <si>
    <t>DENUCCI &amp; SONS TRUCK RENTAL INC</t>
  </si>
  <si>
    <t>DENALI WATER SOLUTIONS LLC</t>
  </si>
  <si>
    <t>NOR'EASTER MATERIAL TRANSPORT INC</t>
  </si>
  <si>
    <t>BRS ROLL-OFF SERVICE LLC</t>
  </si>
  <si>
    <t>B &amp; N TRUCKING CORP</t>
  </si>
  <si>
    <t>TREE MONSTERS LANDCLEARING LLC</t>
  </si>
  <si>
    <t>MARK E HEISEY</t>
  </si>
  <si>
    <t>MAGEE TRANSPORTATION SERVICES INC</t>
  </si>
  <si>
    <t>VALLEY LINES INC</t>
  </si>
  <si>
    <t>NATIONAL FENCE SYSTEMS INC</t>
  </si>
  <si>
    <t>F MAURO BUILDERS INC</t>
  </si>
  <si>
    <t>IB ABEL INC</t>
  </si>
  <si>
    <t>R &amp; R EXPRESS INC</t>
  </si>
  <si>
    <t>CR CAMPBELL TRUCKING INC</t>
  </si>
  <si>
    <t>HOTMANO TRUCKING LLC</t>
  </si>
  <si>
    <t>RACEY AUTO SALES INC</t>
  </si>
  <si>
    <t>GEORGE TRUCKING INC</t>
  </si>
  <si>
    <t>H T SERVICE CENTER INC</t>
  </si>
  <si>
    <t>SAMMY J DUNN</t>
  </si>
  <si>
    <t>JEFF A CAFFREY</t>
  </si>
  <si>
    <t>AFC LOGISTICS INC</t>
  </si>
  <si>
    <t>OK PETROLEUM DISTRIBUTION CORP</t>
  </si>
  <si>
    <t>LOBAR ASSOCIATES INC</t>
  </si>
  <si>
    <t>PAVXPRESS INC</t>
  </si>
  <si>
    <t>JES CONSTRUCTION LLC</t>
  </si>
  <si>
    <t>3769739 CANADA INC</t>
  </si>
  <si>
    <t>HIGH COUNTRY MOTORS LLC</t>
  </si>
  <si>
    <t>S M CONCRETE INC</t>
  </si>
  <si>
    <t>ADVANCED TURF TRUCKING LLC</t>
  </si>
  <si>
    <t>HAROLD WILSON &amp; SONS INC</t>
  </si>
  <si>
    <t>ALLAN MYERS TRANSPORT COMPANY</t>
  </si>
  <si>
    <t>DIMARE FRESH INC</t>
  </si>
  <si>
    <t>BLACKTOP MAINTENANCE CORP</t>
  </si>
  <si>
    <t>DANIEL S SMUCKER</t>
  </si>
  <si>
    <t>MERRITT CONSTRUCTION INC</t>
  </si>
  <si>
    <t>DISTRIBUTION SOLUTIONS OF OHIO INC</t>
  </si>
  <si>
    <t>POPPAS TRANSPORT LLC</t>
  </si>
  <si>
    <t>JTK TRUCKING INC</t>
  </si>
  <si>
    <t>PESCE BAKERY CO LTD</t>
  </si>
  <si>
    <t>CARRIER MANAGEMENT CORPORATION</t>
  </si>
  <si>
    <t>BAL CARRIER INC</t>
  </si>
  <si>
    <t>TCB LLC</t>
  </si>
  <si>
    <t>INTERCITY EXPRESS LLC</t>
  </si>
  <si>
    <t>TOP ENERGY LTD</t>
  </si>
  <si>
    <t>KIRTON &amp; SULLIVAN LLC</t>
  </si>
  <si>
    <t>TMG EXPRESS CORP</t>
  </si>
  <si>
    <t>BLISS ENVIRONMENTAL SERVICES INCORPORATED</t>
  </si>
  <si>
    <t>FIVE RIVERS TRUCKINGLLC</t>
  </si>
  <si>
    <t>C AND E CONTAINERS INC</t>
  </si>
  <si>
    <t>GARRETY GLASS INC</t>
  </si>
  <si>
    <t>AMC TRANSPORT INC</t>
  </si>
  <si>
    <t>AL GEORGE LLC</t>
  </si>
  <si>
    <t>IVACO ROLLING MILLS 2004 LP</t>
  </si>
  <si>
    <t>THE HILLIS GROUP LLC</t>
  </si>
  <si>
    <t>A FOLINO CONSTRUCTION INC</t>
  </si>
  <si>
    <t>N&amp;D TRUCKING LLC</t>
  </si>
  <si>
    <t>DOREN INC</t>
  </si>
  <si>
    <t>PRECISE TRUCKING LLC</t>
  </si>
  <si>
    <t>TERRA TECHNICAL SERVICES LLC</t>
  </si>
  <si>
    <t>MOORE BROTHERS ENTERPRISES LTD</t>
  </si>
  <si>
    <t>ALL PHASES ASPHALT &amp; LANDSCAPING DESIGN CORP</t>
  </si>
  <si>
    <t>BRIAN HAWKINS</t>
  </si>
  <si>
    <t>DERSTINE'S INCORPORATED</t>
  </si>
  <si>
    <t>D &amp; R TRANSPORTATION LLC</t>
  </si>
  <si>
    <t>BAUER CONCRETE &amp; MASONRY INC</t>
  </si>
  <si>
    <t>BALTIC FREIGHTLINES INC</t>
  </si>
  <si>
    <t>EXCELSIOR WOOD PRODUCTS LLC</t>
  </si>
  <si>
    <t>THE SALVATION ARMY</t>
  </si>
  <si>
    <t>DUMBO MOVING &amp; STORAGE INC</t>
  </si>
  <si>
    <t>INTEGRATED INDUSTRIAL SERVICES INC</t>
  </si>
  <si>
    <t>HUDSON VALLEY FRESH DAIRY LLC</t>
  </si>
  <si>
    <t>RICHARD ROTHE</t>
  </si>
  <si>
    <t>STRATEGIC LOGISTICS COMPANY LLC</t>
  </si>
  <si>
    <t>RESIDUALS MANAGEMENT SERVICES LLC</t>
  </si>
  <si>
    <t>MINNWHALE LLC</t>
  </si>
  <si>
    <t>B</t>
  </si>
  <si>
    <t>ALL STILES INC</t>
  </si>
  <si>
    <t>RIVERA-G TRUCKING INC</t>
  </si>
  <si>
    <t>WOODSTONE EARTH CONSTRUCTION INC</t>
  </si>
  <si>
    <t>JOHN'S BROTHERS INC</t>
  </si>
  <si>
    <t>WYALUSING TRANSPORT INC</t>
  </si>
  <si>
    <t>FRANKLIN INTERIORS INC</t>
  </si>
  <si>
    <t>GUEBARA DELIVERY &amp; TRANSPORTATION SERVICES INC</t>
  </si>
  <si>
    <t>GILLEE'S AUTO TRUCK &amp; MARINE INC</t>
  </si>
  <si>
    <t>L &amp; B TRUCKING LLC</t>
  </si>
  <si>
    <t>GREATER PITTSBURGH COMMUNITY FOOD BANK</t>
  </si>
  <si>
    <t>STATEWIDE CARRIERS LLC</t>
  </si>
  <si>
    <t>DC DELIVERY INC</t>
  </si>
  <si>
    <t>LARUE LLC</t>
  </si>
  <si>
    <t>NORTH COUNTRY JANITORIAL INC</t>
  </si>
  <si>
    <t>FLYNN ENERGY TRANSPORT INC</t>
  </si>
  <si>
    <t>GOLD EXPRESS TRUCKING INC</t>
  </si>
  <si>
    <t>ANTHRACITE AUTO EXCHANGE INC</t>
  </si>
  <si>
    <t>LIONBRIDGE TRANSPORT LLC</t>
  </si>
  <si>
    <t>JAY D ENTERPRISES LLC</t>
  </si>
  <si>
    <t>FRANC ENVIRONMENTAL OF NEW JERSEY INC</t>
  </si>
  <si>
    <t>DI TRUCKING LLC</t>
  </si>
  <si>
    <t>EASTERN WRECKER SALES INC</t>
  </si>
  <si>
    <t>T VEHICLE CORP</t>
  </si>
  <si>
    <t>JMSA TRUCKING INC</t>
  </si>
  <si>
    <t>WEST PENN AGGREGATES INC</t>
  </si>
  <si>
    <t>ZIVALI TRUCKING LLC</t>
  </si>
  <si>
    <t>PRO COURIER SERVICES INC</t>
  </si>
  <si>
    <t>DOMENICK LOPANE JR LANDSCAPING</t>
  </si>
  <si>
    <t>LOMBARDO IRON AND METAL INC</t>
  </si>
  <si>
    <t>DONNA JAGGER</t>
  </si>
  <si>
    <t>WOODFORD TRANSPORT LLC</t>
  </si>
  <si>
    <t>PRO RESTORATION INC</t>
  </si>
  <si>
    <t>KUHARCHIK CONSTRUCTION INC</t>
  </si>
  <si>
    <t>NATURAL CYCLE LAWNSMITHS INC</t>
  </si>
  <si>
    <t>GOOD'S DISPOSAL SERVICE INC</t>
  </si>
  <si>
    <t>FRANK KRAMMES TIMBER HARVESTING INC</t>
  </si>
  <si>
    <t>D&amp;V SERVICES INC</t>
  </si>
  <si>
    <t>MID-STATE BEVERAGE CO</t>
  </si>
  <si>
    <t>WAYNE TILE IMPORTS INCORPORATED</t>
  </si>
  <si>
    <t>ROBERT BUMBARGER</t>
  </si>
  <si>
    <t>HENSHAW TRUCKING</t>
  </si>
  <si>
    <t>WHITETAIL DISPOSAL LLC</t>
  </si>
  <si>
    <t>TRACY SCHOONOVER</t>
  </si>
  <si>
    <t>ROBERT M OSHELL</t>
  </si>
  <si>
    <t>CHRISTPOHER ALLEN ZENTS</t>
  </si>
  <si>
    <t>UNION PETROLEUM COMPANY</t>
  </si>
  <si>
    <t>PRO DISPOSAL INC</t>
  </si>
  <si>
    <t>A &amp; JS TREES INC</t>
  </si>
  <si>
    <t>MB HAULING LLC</t>
  </si>
  <si>
    <t>D'ORAZIO'S HAULING AND RECYCLING LLC</t>
  </si>
  <si>
    <t>R P BLAIR CORPORATION</t>
  </si>
  <si>
    <t>NORTH PENN FUEL LLC</t>
  </si>
  <si>
    <t>HARRY SMITH CONTRACTOR INC</t>
  </si>
  <si>
    <t>VAUGHN ENVIRONMENTAL SERVICES INC</t>
  </si>
  <si>
    <t>OCS TRANSPORT SERVICES INC</t>
  </si>
  <si>
    <t>SATTAZAHN REFUSE REMOVAL INC</t>
  </si>
  <si>
    <t>AMERICAN OFFICE INSTALLERS INC</t>
  </si>
  <si>
    <t>CLIFFORD CROSS</t>
  </si>
  <si>
    <t>TRANSNOBLE LOGISTICS INC</t>
  </si>
  <si>
    <t>MADISON TRANSFER INC M AND B GROUP INC</t>
  </si>
  <si>
    <t>DANIEL W CHARLTON</t>
  </si>
  <si>
    <t>RENICK BROTHERS CONSTRUCTION COMPANY INC</t>
  </si>
  <si>
    <t>HENWOOD BUSSING</t>
  </si>
  <si>
    <t>OLEY INDUSTRIES</t>
  </si>
  <si>
    <t>BRAMES ALLIANCE INC</t>
  </si>
  <si>
    <t>INTERNATIONAL MACHINE TRANSPORT USA INC</t>
  </si>
  <si>
    <t>TRENCHLESS LINE COMPANY LLC</t>
  </si>
  <si>
    <t>FREEDOM TRUCKING INC</t>
  </si>
  <si>
    <t>KRIGER CONSTRUCTION INC</t>
  </si>
  <si>
    <t>SKE MASONRY LLC</t>
  </si>
  <si>
    <t>RICH &amp; GARDNER CONSTRUCTION COMPANY INC</t>
  </si>
  <si>
    <t>WEITSMAN RECYCLING LLC</t>
  </si>
  <si>
    <t>D A M TRUCKS INC</t>
  </si>
  <si>
    <t>J &amp; L TRUCKING SERVICE LLC</t>
  </si>
  <si>
    <t>JERRY WEAVER</t>
  </si>
  <si>
    <t>KEYSTONE CLEARWATER SOLUTIONS LLC</t>
  </si>
  <si>
    <t>H2O INNOVATION USA INC</t>
  </si>
  <si>
    <t>DEL ANGELS LANDSCAPING INC</t>
  </si>
  <si>
    <t>DANNIEL M ROMBOLD</t>
  </si>
  <si>
    <t>DECTERRA INC</t>
  </si>
  <si>
    <t>IAO HA'SHEM LOGICS LLC</t>
  </si>
  <si>
    <t>ROBINSONS EXCAVATING AND MULCH LLC</t>
  </si>
  <si>
    <t>EDMIL FUELS INC</t>
  </si>
  <si>
    <t>CHARLES R DAY</t>
  </si>
  <si>
    <t>BACHMANS ROOFING BUILDING &amp; REMODELING INC</t>
  </si>
  <si>
    <t>TBL TRANSPORTATION LLC</t>
  </si>
  <si>
    <t>SHARP ONE INC</t>
  </si>
  <si>
    <t>UA TRUCKING INC</t>
  </si>
  <si>
    <t>KAO LOGISTICS INC</t>
  </si>
  <si>
    <t>AS GILL TRANSPORT LLC</t>
  </si>
  <si>
    <t>LENAPE TRANSPORT INC</t>
  </si>
  <si>
    <t>FREIGHT MANAGEMENT GROUP INC</t>
  </si>
  <si>
    <t>RGL INC</t>
  </si>
  <si>
    <t>J &amp; A &amp; SONS TRUCKING INC</t>
  </si>
  <si>
    <t>WALTERS ENVIRONMENTAL SERVICES INC</t>
  </si>
  <si>
    <t>ACC INTERNATIONAL LLC</t>
  </si>
  <si>
    <t>T-LANE INDUSTRIES LLC</t>
  </si>
  <si>
    <t>MJC CARRIERS INC</t>
  </si>
  <si>
    <t>ABC TRANSIT INC</t>
  </si>
  <si>
    <t>KEEN CARGO INC</t>
  </si>
  <si>
    <t>NEVIN I EBY</t>
  </si>
  <si>
    <t>C &amp; D PRODUCTION SPECIALIST CO</t>
  </si>
  <si>
    <t>G SALANDRO EXCAVATING LLC</t>
  </si>
  <si>
    <t>JM TRANSPORTATION INC</t>
  </si>
  <si>
    <t>VEPAR LLC</t>
  </si>
  <si>
    <t>OMEGA EXPRESS TRUCKING LLC</t>
  </si>
  <si>
    <t>VASCO TRANSPORTATION CORP</t>
  </si>
  <si>
    <t>2198645 ONTARIO LTD</t>
  </si>
  <si>
    <t>DARWIN O GUERRA</t>
  </si>
  <si>
    <t>MPW TRANSPORTATION SERVICES LLC</t>
  </si>
  <si>
    <t>HEAVY FREIGHT LLC</t>
  </si>
  <si>
    <t>CASCADIA EXPRESS INC</t>
  </si>
  <si>
    <t>GLOBAL BUSINESS INTERGROUP LLC</t>
  </si>
  <si>
    <t>SUPERSTAR TRANSPORTATION INC</t>
  </si>
  <si>
    <t>SALVO GENERAL CONTRACTING INC</t>
  </si>
  <si>
    <t>SPECIALIZED TRANSPORT SOLUTIONS COMPANY</t>
  </si>
  <si>
    <t>HELLERS GAS MARYLAND INC</t>
  </si>
  <si>
    <t>WINDS TRANSPORTATION INC</t>
  </si>
  <si>
    <t>JUNIATA LUMBAR &amp; SUPPLY CO INC</t>
  </si>
  <si>
    <t>EXPRESS TRUCKERS INC</t>
  </si>
  <si>
    <t>HOOVER &amp; SON LLC</t>
  </si>
  <si>
    <t>BASIN TRANSPORTATION LLC</t>
  </si>
  <si>
    <t>EXPEDITED TRANSPORT SERVICES LLC</t>
  </si>
  <si>
    <t>FREIGHT SEEKERS LLC</t>
  </si>
  <si>
    <t>CHIEF CORNERSTONE'S COMPANY</t>
  </si>
  <si>
    <t>CHRISTOPHER COOKE</t>
  </si>
  <si>
    <t>ROCKSTAR TRANSCO LLC</t>
  </si>
  <si>
    <t>STURGEON TRANSPORT INC</t>
  </si>
  <si>
    <t>JOEL TRUCKING LLC</t>
  </si>
  <si>
    <t>TRANSWAY TRANSPORT INC</t>
  </si>
  <si>
    <t>KEYSTONE RAIL RECOVERY LLC</t>
  </si>
  <si>
    <t>EUREKA RESOURCES LLC</t>
  </si>
  <si>
    <t>DELBERT A BALL</t>
  </si>
  <si>
    <t>PASTORE EXCAVATION INC</t>
  </si>
  <si>
    <t>MESA TRUCKING LLC</t>
  </si>
  <si>
    <t>FIRST ROUND CARGO EXPRESS INC</t>
  </si>
  <si>
    <t>9151-8704 QUEBEC INC</t>
  </si>
  <si>
    <t>STARKEY LAWN &amp; LAND LLC</t>
  </si>
  <si>
    <t>CANUCK BROTHERS TRANSPORT INC</t>
  </si>
  <si>
    <t>TRANSPORT LEMIEUX ET FRERES INC</t>
  </si>
  <si>
    <t>SYRENA COLLISION SERVICE INC</t>
  </si>
  <si>
    <t>WINNIPEG FLATBEDS LTD</t>
  </si>
  <si>
    <t>MB</t>
  </si>
  <si>
    <t>UPGRADE SERVICES INC</t>
  </si>
  <si>
    <t>ZEELAND FREIGHT SERVICES LLC</t>
  </si>
  <si>
    <t>SD TRANSPORTATION LLC</t>
  </si>
  <si>
    <t>DANIEL A TERRERI &amp; SONS INC</t>
  </si>
  <si>
    <t>DUDLEYS TRUCK &amp; EQUIPMENT LLC</t>
  </si>
  <si>
    <t>MUCCIO SCHOOL TRANSPORTATION LLC</t>
  </si>
  <si>
    <t>RED AUTO TRANSPORT LLC</t>
  </si>
  <si>
    <t>SKS LOGISTICS INC</t>
  </si>
  <si>
    <t>COPES QUALITY TOWING</t>
  </si>
  <si>
    <t>MULTIVERSE EXPRESS INC</t>
  </si>
  <si>
    <t>GOOD WAY TRUCKING INC</t>
  </si>
  <si>
    <t>CO</t>
  </si>
  <si>
    <t>SKL TRUCKING LLC</t>
  </si>
  <si>
    <t>FALZANO FOOD DISTRIBUTOR LLC</t>
  </si>
  <si>
    <t>STEIN &amp; SONS LLC</t>
  </si>
  <si>
    <t>ENERGY TRANSPORTATION INC</t>
  </si>
  <si>
    <t>BRYAN HOCKENBERRY</t>
  </si>
  <si>
    <t>TYSON TRANSPORTATION LLC</t>
  </si>
  <si>
    <t>VALLEY TOWING &amp; RECOVERY LLC</t>
  </si>
  <si>
    <t>THREE20 VENDING LLC</t>
  </si>
  <si>
    <t>LUZIA INC</t>
  </si>
  <si>
    <t>FPC TRANSPORTATION INC</t>
  </si>
  <si>
    <t>TR TRANSPORT INC</t>
  </si>
  <si>
    <t>BAGHIANA TRANSPORT INC</t>
  </si>
  <si>
    <t>JRC TRUCKING LLC</t>
  </si>
  <si>
    <t>MARVANA CONSTRUCTION COMPANY INC</t>
  </si>
  <si>
    <t>CANRINGS FREIGHTLINES LTD</t>
  </si>
  <si>
    <t>DC FREIGHT HAULERS INC</t>
  </si>
  <si>
    <t>LAUVER TRANSPORTATION INC</t>
  </si>
  <si>
    <t>WEST PENN HEAVY HAUL LLC</t>
  </si>
  <si>
    <t>F &amp; S LOGISTICS LIMITED</t>
  </si>
  <si>
    <t>SK</t>
  </si>
  <si>
    <t>PATRICK BURKE</t>
  </si>
  <si>
    <t>J&amp;C HAULING SERVICES INC</t>
  </si>
  <si>
    <t>IRON BRIDGE TRANSPORT INC</t>
  </si>
  <si>
    <t>GLOBAL EXPEDITING LLC</t>
  </si>
  <si>
    <t>A &amp; J TRUCK SOLUTIONS CORP</t>
  </si>
  <si>
    <t>TIRE DISTRIBUTOR XPERTS LLC</t>
  </si>
  <si>
    <t>DOMINION WHOLESALERS LLC</t>
  </si>
  <si>
    <t>GBC TRANS INC</t>
  </si>
  <si>
    <t>HYDROTECH TESTING SERVICES LLC</t>
  </si>
  <si>
    <t>SEIZE THE WAY INC</t>
  </si>
  <si>
    <t>MAJHAMS TRANSPORTATION LLC</t>
  </si>
  <si>
    <t>JR LANDSCAPE AND SERVICE CORP</t>
  </si>
  <si>
    <t>ATG TRUCKING LLC</t>
  </si>
  <si>
    <t>EL SHALOM ENTERPRISE LLC</t>
  </si>
  <si>
    <t>MALO WATERPROOFING LLC</t>
  </si>
  <si>
    <t>MOBILE LIFTS LLC</t>
  </si>
  <si>
    <t>TONY'S TRUCKING INC</t>
  </si>
  <si>
    <t>UPSTATE FARMS LOGISTICS LLC</t>
  </si>
  <si>
    <t>R &amp; L TRANSPORT SERVICE LLC</t>
  </si>
  <si>
    <t>TEXAS ROAD RANGERS LLC</t>
  </si>
  <si>
    <t>RED WAGON HAULING INC</t>
  </si>
  <si>
    <t>LAKELAND TRUCKING LLC</t>
  </si>
  <si>
    <t>MARSICOS SEPTIC AND ENVIROMENTAL SERVICES</t>
  </si>
  <si>
    <t>HTA TRANSPORTATION INC</t>
  </si>
  <si>
    <t>LENA TRUCKING TRANSPORTATION LLC</t>
  </si>
  <si>
    <t>BAND OF BROTHERS TRANSPORT CORP</t>
  </si>
  <si>
    <t>GUNSLINGER TRANSPORT LLC</t>
  </si>
  <si>
    <t>SHL TRANSPORTATION INC</t>
  </si>
  <si>
    <t>GZZ LOGISTICS INC</t>
  </si>
  <si>
    <t>JNU LLC</t>
  </si>
  <si>
    <t>LEADER GROUP INC</t>
  </si>
  <si>
    <t>FREIGHT ONE ENTERPRISES LLC</t>
  </si>
  <si>
    <t>ALTA CONSTRUCTION EQUIPMENT NEW YORK LLC</t>
  </si>
  <si>
    <t>FREIGHT OTR SERVICES LLC</t>
  </si>
  <si>
    <t>AP FREIGHT LLC</t>
  </si>
  <si>
    <t>NOVO TRANSPORTATION LLC</t>
  </si>
  <si>
    <t>NEON FREIGHT INC</t>
  </si>
  <si>
    <t>NEWS TRUCKING LLC</t>
  </si>
  <si>
    <t>ALSENA LLC</t>
  </si>
  <si>
    <t>LIA LOGISTICS CORP</t>
  </si>
  <si>
    <t>P &amp; R AUTO BODY LLC</t>
  </si>
  <si>
    <t>ETRUCK EXPRESS LLC</t>
  </si>
  <si>
    <t>DIVA LOGISTICS LLC</t>
  </si>
  <si>
    <t>HALO HAULING INC</t>
  </si>
  <si>
    <t>ESPINO TRANSPORTATION LLC</t>
  </si>
  <si>
    <t>GURJOBAN INTERNATIONAL INC</t>
  </si>
  <si>
    <t>HENRY TRANSPORT LOGISTICS LLC</t>
  </si>
  <si>
    <t>URUK CORP</t>
  </si>
  <si>
    <t>MCSHANE WELDING COMPANY INC</t>
  </si>
  <si>
    <t>HOLBERT ENTERPRISE LLC</t>
  </si>
  <si>
    <t>AARON CLAUS</t>
  </si>
  <si>
    <t>ICEMAN'S TOWING LLC</t>
  </si>
  <si>
    <t>CHILSONS LOGISTICS LLC</t>
  </si>
  <si>
    <t>CHARLTON CABINETRY INC</t>
  </si>
  <si>
    <t>TRIPLE Z TRANSPORT LLC</t>
  </si>
  <si>
    <t>M D Y TRANSPORTATION LLC</t>
  </si>
  <si>
    <t>RATH FARMS LLC</t>
  </si>
  <si>
    <t>DMJ TRANSPORTATION INC</t>
  </si>
  <si>
    <t>MARS MOTOR GROUP INC</t>
  </si>
  <si>
    <t>ARGUETA DELIVERY SERVICES LLC</t>
  </si>
  <si>
    <t>1 2 C TRANSPORTATION LLC</t>
  </si>
  <si>
    <t>NEW HORIZON RELOCATIONS LLC</t>
  </si>
  <si>
    <t>BHALLA TRANSPORT INC</t>
  </si>
  <si>
    <t>SOLID DRIVE TRANSPORT LLC</t>
  </si>
  <si>
    <t>EPNJP TRANSPORTATION SERVICES LLC</t>
  </si>
  <si>
    <t>GOLDWAY LOGISTICS GROUP LLC</t>
  </si>
  <si>
    <t>PEDRO M TRANSPORTATION CORP</t>
  </si>
  <si>
    <t>VCO TRUCKING LLC</t>
  </si>
  <si>
    <t>KEYSTONE TREE TECHS INC</t>
  </si>
  <si>
    <t>SULLIVAN HAULING LLC</t>
  </si>
  <si>
    <t>GROUNDED SRC LLC</t>
  </si>
  <si>
    <t>MARATHON TRANSPORTS LLC</t>
  </si>
  <si>
    <t>KALYVIBEZ AUTO TRANSPORT LLC</t>
  </si>
  <si>
    <t>JPW LOGISTICS1 LLC</t>
  </si>
  <si>
    <t>CASELLA MID ATLANTIC LLC</t>
  </si>
  <si>
    <t>RESTORE MORE RESTORATION</t>
  </si>
  <si>
    <t>Fleet_100s</t>
  </si>
  <si>
    <t>Miles_Millions</t>
  </si>
  <si>
    <t>Op_C</t>
  </si>
  <si>
    <t>Rating_C</t>
  </si>
  <si>
    <t>Rating_S</t>
  </si>
  <si>
    <t>Rating_U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</si>
  <si>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</si>
  <si>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</si>
  <si>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</si>
  <si>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</si>
  <si>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</si>
  <si>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</si>
  <si>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</si>
  <si>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</si>
  <si>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</si>
  <si>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</si>
  <si>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</si>
  <si>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</si>
  <si>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</si>
  <si>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</si>
  <si>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</si>
  <si>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</si>
  <si>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</si>
  <si>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</si>
  <si>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</si>
  <si>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</si>
  <si>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</si>
  <si>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</si>
  <si>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</si>
  <si>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InspOnly</t>
  </si>
  <si>
    <t>Both</t>
  </si>
  <si>
    <t>Fleet_100s_b</t>
  </si>
  <si>
    <t>Miles_Millions_b</t>
  </si>
  <si>
    <t>Op_C_b</t>
  </si>
  <si>
    <t>Rated</t>
  </si>
  <si>
    <t>Has_Insp</t>
  </si>
  <si>
    <t>Has_Crash</t>
  </si>
  <si>
    <t>OOS_Any</t>
  </si>
  <si>
    <t>Severe_Crash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</si>
</sst>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rgb="FF222222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8" fillId="0" borderId="11" xfId="0" applyFont="1" applyFill="1" applyBorder="1" applyAlignment="1">
      <alignment horizontal="centerContinuous"/>
    </xf>
    <xf numFmtId="0" fontId="19" fillId="33" borderId="0" xfId="0" applyFont="1" applyFill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3FE2-102A-41F0-9D1C-7EAECF7851A9}">
  <dimension ref="A1:I23"/>
  <sheetViews>
    <sheetView workbookViewId="0">
      <selection activeCell="A16" sqref="A16:I23"/>
    </sheetView>
  </sheetViews>
  <sheetFormatPr defaultRowHeight="15"/>
  <cols>
    <col min="1" max="1" width="17.5703125" bestFit="1" customWidth="1"/>
    <col min="2" max="2" width="12.710937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.7109375" bestFit="1" customWidth="1"/>
    <col min="8" max="9" width="12.85546875" bestFit="1" customWidth="1"/>
  </cols>
  <sheetData>
    <row r="1" spans="1:9">
      <c r="A1" t="s">
        <v>1159</v>
      </c>
    </row>
    <row r="2" spans="1:9" ht="15.75" thickBot="1"/>
    <row r="3" spans="1:9">
      <c r="A3" s="4" t="s">
        <v>1160</v>
      </c>
      <c r="B3" s="4"/>
    </row>
    <row r="4" spans="1:9">
      <c r="A4" s="1" t="s">
        <v>1161</v>
      </c>
      <c r="B4" s="1">
        <v>0.20397971150819283</v>
      </c>
    </row>
    <row r="5" spans="1:9">
      <c r="A5" s="1" t="s">
        <v>1162</v>
      </c>
      <c r="B5" s="1">
        <v>4.1607722706965576E-2</v>
      </c>
    </row>
    <row r="6" spans="1:9">
      <c r="A6" s="1" t="s">
        <v>1163</v>
      </c>
      <c r="B6" s="1">
        <v>3.6253575906445831E-2</v>
      </c>
    </row>
    <row r="7" spans="1:9">
      <c r="A7" s="1" t="s">
        <v>1164</v>
      </c>
      <c r="B7" s="1">
        <v>0.48700344814390895</v>
      </c>
    </row>
    <row r="8" spans="1:9" ht="15.75" thickBot="1">
      <c r="A8" s="2" t="s">
        <v>1165</v>
      </c>
      <c r="B8" s="2">
        <v>1081</v>
      </c>
    </row>
    <row r="10" spans="1:9" ht="15.75" thickBot="1">
      <c r="A10" t="s">
        <v>1166</v>
      </c>
    </row>
    <row r="11" spans="1:9">
      <c r="A11" s="3"/>
      <c r="B11" s="3" t="s">
        <v>1171</v>
      </c>
      <c r="C11" s="3" t="s">
        <v>1172</v>
      </c>
      <c r="D11" s="3" t="s">
        <v>327</v>
      </c>
      <c r="E11" s="3" t="s">
        <v>1173</v>
      </c>
      <c r="F11" s="3" t="s">
        <v>1174</v>
      </c>
    </row>
    <row r="12" spans="1:9">
      <c r="A12" s="1" t="s">
        <v>1167</v>
      </c>
      <c r="B12" s="1">
        <v>6</v>
      </c>
      <c r="C12" s="1">
        <v>11.058570592912275</v>
      </c>
      <c r="D12" s="1">
        <v>1.8430950988187125</v>
      </c>
      <c r="E12" s="1">
        <v>7.7711210127683783</v>
      </c>
      <c r="F12" s="1">
        <v>3.3541813765004404E-8</v>
      </c>
    </row>
    <row r="13" spans="1:9">
      <c r="A13" s="1" t="s">
        <v>1168</v>
      </c>
      <c r="B13" s="1">
        <v>1074</v>
      </c>
      <c r="C13" s="1">
        <v>254.72311303335724</v>
      </c>
      <c r="D13" s="1">
        <v>0.23717235850405702</v>
      </c>
      <c r="E13" s="1"/>
      <c r="F13" s="1"/>
    </row>
    <row r="14" spans="1:9" ht="15.75" thickBot="1">
      <c r="A14" s="2" t="s">
        <v>1169</v>
      </c>
      <c r="B14" s="2">
        <v>1080</v>
      </c>
      <c r="C14" s="2">
        <v>265.78168362626951</v>
      </c>
      <c r="D14" s="2"/>
      <c r="E14" s="2"/>
      <c r="F14" s="2"/>
    </row>
    <row r="15" spans="1:9" ht="15.75" thickBot="1"/>
    <row r="16" spans="1:9">
      <c r="A16" s="3"/>
      <c r="B16" s="3" t="s">
        <v>1175</v>
      </c>
      <c r="C16" s="3" t="s">
        <v>1164</v>
      </c>
      <c r="D16" s="3" t="s">
        <v>1176</v>
      </c>
      <c r="E16" s="3" t="s">
        <v>1177</v>
      </c>
      <c r="F16" s="3" t="s">
        <v>1178</v>
      </c>
      <c r="G16" s="3" t="s">
        <v>1179</v>
      </c>
      <c r="H16" s="3" t="s">
        <v>1180</v>
      </c>
      <c r="I16" s="3" t="s">
        <v>1181</v>
      </c>
    </row>
    <row r="17" spans="1:9">
      <c r="A17" s="1" t="s">
        <v>1170</v>
      </c>
      <c r="B17" s="1">
        <v>0.33142187308569071</v>
      </c>
      <c r="C17" s="1">
        <v>2.5328310627990066E-2</v>
      </c>
      <c r="D17" s="1">
        <v>13.085036659311958</v>
      </c>
      <c r="E17" s="1">
        <v>2.0757679851197841E-36</v>
      </c>
      <c r="F17" s="1">
        <v>0.2817232887912875</v>
      </c>
      <c r="G17" s="1">
        <v>0.38112045738009392</v>
      </c>
      <c r="H17" s="1">
        <v>0.2817232887912875</v>
      </c>
      <c r="I17" s="1">
        <v>0.38112045738009392</v>
      </c>
    </row>
    <row r="18" spans="1:9">
      <c r="A18" s="1" t="s">
        <v>1153</v>
      </c>
      <c r="B18" s="1">
        <v>1.3656653818356556E-2</v>
      </c>
      <c r="C18" s="1">
        <v>1.3453907161377114E-2</v>
      </c>
      <c r="D18" s="1">
        <v>1.0150697232073578</v>
      </c>
      <c r="E18" s="1">
        <v>0.31030120678308049</v>
      </c>
      <c r="F18" s="1">
        <v>-1.2742269859161373E-2</v>
      </c>
      <c r="G18" s="1">
        <v>4.0055577495874482E-2</v>
      </c>
      <c r="H18" s="1">
        <v>-1.2742269859161373E-2</v>
      </c>
      <c r="I18" s="1">
        <v>4.0055577495874482E-2</v>
      </c>
    </row>
    <row r="19" spans="1:9">
      <c r="A19" s="1" t="s">
        <v>1154</v>
      </c>
      <c r="B19" s="1">
        <v>-1.6396115146102039E-2</v>
      </c>
      <c r="C19" s="1">
        <v>8.0270864576638592E-3</v>
      </c>
      <c r="D19" s="1">
        <v>-2.0425985483746536</v>
      </c>
      <c r="E19" s="1">
        <v>4.1335967885583795E-2</v>
      </c>
      <c r="F19" s="1">
        <v>-3.2146665540640038E-2</v>
      </c>
      <c r="G19" s="1">
        <v>-6.4556475156403795E-4</v>
      </c>
      <c r="H19" s="1">
        <v>-3.2146665540640038E-2</v>
      </c>
      <c r="I19" s="1">
        <v>-6.4556475156403795E-4</v>
      </c>
    </row>
    <row r="20" spans="1:9">
      <c r="A20" s="1" t="s">
        <v>1155</v>
      </c>
      <c r="B20" s="1">
        <v>0.10128090121698659</v>
      </c>
      <c r="C20" s="1">
        <v>4.7963307731037637E-2</v>
      </c>
      <c r="D20" s="1">
        <v>2.1116329546105614</v>
      </c>
      <c r="E20" s="1">
        <v>3.494843836211077E-2</v>
      </c>
      <c r="F20" s="1">
        <v>7.1684857732513124E-3</v>
      </c>
      <c r="G20" s="1">
        <v>0.19539331666072185</v>
      </c>
      <c r="H20" s="1">
        <v>7.1684857732513124E-3</v>
      </c>
      <c r="I20" s="1">
        <v>0.19539331666072185</v>
      </c>
    </row>
    <row r="21" spans="1:9">
      <c r="A21" s="1" t="s">
        <v>1156</v>
      </c>
      <c r="B21" s="1">
        <v>0.21177522198713425</v>
      </c>
      <c r="C21" s="1">
        <v>6.2190182936253086E-2</v>
      </c>
      <c r="D21" s="1">
        <v>3.4052837922057662</v>
      </c>
      <c r="E21" s="1">
        <v>6.8539485468196353E-4</v>
      </c>
      <c r="F21" s="1">
        <v>8.9747184099516139E-2</v>
      </c>
      <c r="G21" s="1">
        <v>0.33380325987475234</v>
      </c>
      <c r="H21" s="1">
        <v>8.9747184099516139E-2</v>
      </c>
      <c r="I21" s="1">
        <v>0.33380325987475234</v>
      </c>
    </row>
    <row r="22" spans="1:9">
      <c r="A22" s="1" t="s">
        <v>1157</v>
      </c>
      <c r="B22" s="1">
        <v>0.21908680025563682</v>
      </c>
      <c r="C22" s="1">
        <v>3.3788782341646492E-2</v>
      </c>
      <c r="D22" s="1">
        <v>6.4840099308817223</v>
      </c>
      <c r="E22" s="1">
        <v>1.3593819791380618E-10</v>
      </c>
      <c r="F22" s="1">
        <v>0.15278728774271644</v>
      </c>
      <c r="G22" s="1">
        <v>0.28538631276855719</v>
      </c>
      <c r="H22" s="1">
        <v>0.15278728774271644</v>
      </c>
      <c r="I22" s="1">
        <v>0.28538631276855719</v>
      </c>
    </row>
    <row r="23" spans="1:9" ht="15.75" thickBot="1">
      <c r="A23" s="2" t="s">
        <v>1158</v>
      </c>
      <c r="B23" s="2">
        <v>-7.03961073331483E-2</v>
      </c>
      <c r="C23" s="2">
        <v>0.24470637116231017</v>
      </c>
      <c r="D23" s="2">
        <v>-0.28767582551602461</v>
      </c>
      <c r="E23" s="2">
        <v>0.7736503956524774</v>
      </c>
      <c r="F23" s="2">
        <v>-0.55055289288472709</v>
      </c>
      <c r="G23" s="2">
        <v>0.40976067821843043</v>
      </c>
      <c r="H23" s="2">
        <v>-0.55055289288472709</v>
      </c>
      <c r="I23" s="2">
        <v>0.40976067821843043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26285-E360-43F3-AD41-E8AB763FA628}">
  <dimension ref="A1:I25"/>
  <sheetViews>
    <sheetView workbookViewId="0">
      <selection activeCell="A16" sqref="A16:I25"/>
    </sheetView>
  </sheetViews>
  <sheetFormatPr defaultRowHeight="15"/>
  <cols>
    <col min="1" max="1" width="17.5703125" bestFit="1" customWidth="1"/>
    <col min="2" max="2" width="12.710937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" bestFit="1" customWidth="1"/>
    <col min="8" max="9" width="12.85546875" bestFit="1" customWidth="1"/>
  </cols>
  <sheetData>
    <row r="1" spans="1:9">
      <c r="A1" t="s">
        <v>1159</v>
      </c>
    </row>
    <row r="2" spans="1:9" ht="15.75" thickBot="1"/>
    <row r="3" spans="1:9">
      <c r="A3" s="4" t="s">
        <v>1160</v>
      </c>
      <c r="B3" s="4"/>
    </row>
    <row r="4" spans="1:9">
      <c r="A4" s="1" t="s">
        <v>1161</v>
      </c>
      <c r="B4" s="1">
        <v>0.3714549185032191</v>
      </c>
    </row>
    <row r="5" spans="1:9">
      <c r="A5" s="1" t="s">
        <v>1162</v>
      </c>
      <c r="B5" s="1">
        <v>0.13797875648023314</v>
      </c>
    </row>
    <row r="6" spans="1:9">
      <c r="A6" s="1" t="s">
        <v>1163</v>
      </c>
      <c r="B6" s="1">
        <v>0.13154576212560801</v>
      </c>
    </row>
    <row r="7" spans="1:9">
      <c r="A7" s="1" t="s">
        <v>1164</v>
      </c>
      <c r="B7" s="1">
        <v>0.46230023663342323</v>
      </c>
    </row>
    <row r="8" spans="1:9" ht="15.75" thickBot="1">
      <c r="A8" s="2" t="s">
        <v>1165</v>
      </c>
      <c r="B8" s="2">
        <v>1081</v>
      </c>
    </row>
    <row r="10" spans="1:9" ht="15.75" thickBot="1">
      <c r="A10" t="s">
        <v>1166</v>
      </c>
    </row>
    <row r="11" spans="1:9">
      <c r="A11" s="3"/>
      <c r="B11" s="3" t="s">
        <v>1171</v>
      </c>
      <c r="C11" s="3" t="s">
        <v>1172</v>
      </c>
      <c r="D11" s="3" t="s">
        <v>327</v>
      </c>
      <c r="E11" s="3" t="s">
        <v>1173</v>
      </c>
      <c r="F11" s="3" t="s">
        <v>1174</v>
      </c>
    </row>
    <row r="12" spans="1:9">
      <c r="A12" s="1" t="s">
        <v>1167</v>
      </c>
      <c r="B12" s="1">
        <v>8</v>
      </c>
      <c r="C12" s="1">
        <v>36.672226201975406</v>
      </c>
      <c r="D12" s="1">
        <v>4.5840282752469257</v>
      </c>
      <c r="E12" s="1">
        <v>21.448605248818637</v>
      </c>
      <c r="F12" s="1">
        <v>1.934217145500638E-30</v>
      </c>
    </row>
    <row r="13" spans="1:9">
      <c r="A13" s="1" t="s">
        <v>1168</v>
      </c>
      <c r="B13" s="1">
        <v>1072</v>
      </c>
      <c r="C13" s="1">
        <v>229.10945742429411</v>
      </c>
      <c r="D13" s="1">
        <v>0.21372150879131913</v>
      </c>
      <c r="E13" s="1"/>
      <c r="F13" s="1"/>
    </row>
    <row r="14" spans="1:9" ht="15.75" thickBot="1">
      <c r="A14" s="2" t="s">
        <v>1169</v>
      </c>
      <c r="B14" s="2">
        <v>1080</v>
      </c>
      <c r="C14" s="2">
        <v>265.78168362626951</v>
      </c>
      <c r="D14" s="2"/>
      <c r="E14" s="2"/>
      <c r="F14" s="2"/>
    </row>
    <row r="15" spans="1:9" ht="15.75" thickBot="1"/>
    <row r="16" spans="1:9">
      <c r="A16" s="3"/>
      <c r="B16" s="3" t="s">
        <v>1175</v>
      </c>
      <c r="C16" s="3" t="s">
        <v>1164</v>
      </c>
      <c r="D16" s="3" t="s">
        <v>1176</v>
      </c>
      <c r="E16" s="3" t="s">
        <v>1177</v>
      </c>
      <c r="F16" s="3" t="s">
        <v>1178</v>
      </c>
      <c r="G16" s="3" t="s">
        <v>1179</v>
      </c>
      <c r="H16" s="3" t="s">
        <v>1180</v>
      </c>
      <c r="I16" s="3" t="s">
        <v>1181</v>
      </c>
    </row>
    <row r="17" spans="1:9">
      <c r="A17" s="1" t="s">
        <v>1170</v>
      </c>
      <c r="B17" s="1">
        <v>0.55430799381993823</v>
      </c>
      <c r="C17" s="1">
        <v>3.1972092549449889E-2</v>
      </c>
      <c r="D17" s="1">
        <v>17.3372447537681</v>
      </c>
      <c r="E17" s="1">
        <v>1.511144639643812E-59</v>
      </c>
      <c r="F17" s="1">
        <v>0.49157301301087347</v>
      </c>
      <c r="G17" s="1">
        <v>0.61704297462900293</v>
      </c>
      <c r="H17" s="1">
        <v>0.49157301301087347</v>
      </c>
      <c r="I17" s="1">
        <v>0.61704297462900293</v>
      </c>
    </row>
    <row r="18" spans="1:9">
      <c r="A18" s="1" t="s">
        <v>1153</v>
      </c>
      <c r="B18" s="1">
        <v>1.0448398191246492E-2</v>
      </c>
      <c r="C18" s="1">
        <v>1.2805120774293199E-2</v>
      </c>
      <c r="D18" s="1">
        <v>0.8159546774616977</v>
      </c>
      <c r="E18" s="1">
        <v>0.41470732141176347</v>
      </c>
      <c r="F18" s="1">
        <v>-1.4677545779751496E-2</v>
      </c>
      <c r="G18" s="1">
        <v>3.5574342162244477E-2</v>
      </c>
      <c r="H18" s="1">
        <v>-1.4677545779751496E-2</v>
      </c>
      <c r="I18" s="1">
        <v>3.5574342162244477E-2</v>
      </c>
    </row>
    <row r="19" spans="1:9">
      <c r="A19" s="1" t="s">
        <v>1154</v>
      </c>
      <c r="B19" s="1">
        <v>-1.0506614765502187E-2</v>
      </c>
      <c r="C19" s="1">
        <v>7.6529311955099008E-3</v>
      </c>
      <c r="D19" s="1">
        <v>-1.3728876553426468</v>
      </c>
      <c r="E19" s="1">
        <v>0.17007438912086933</v>
      </c>
      <c r="F19" s="1">
        <v>-2.5523038571383709E-2</v>
      </c>
      <c r="G19" s="1">
        <v>4.5098090403793353E-3</v>
      </c>
      <c r="H19" s="1">
        <v>-2.5523038571383709E-2</v>
      </c>
      <c r="I19" s="1">
        <v>4.5098090403793353E-3</v>
      </c>
    </row>
    <row r="20" spans="1:9">
      <c r="A20" s="1" t="s">
        <v>1155</v>
      </c>
      <c r="B20" s="1">
        <v>7.8105663535173273E-2</v>
      </c>
      <c r="C20" s="1">
        <v>4.5594881264353043E-2</v>
      </c>
      <c r="D20" s="1">
        <v>1.7130357919417982</v>
      </c>
      <c r="E20" s="1">
        <v>8.6995099103307258E-2</v>
      </c>
      <c r="F20" s="1">
        <v>-1.1359672419510428E-2</v>
      </c>
      <c r="G20" s="1">
        <v>0.16757099948985699</v>
      </c>
      <c r="H20" s="1">
        <v>-1.1359672419510428E-2</v>
      </c>
      <c r="I20" s="1">
        <v>0.16757099948985699</v>
      </c>
    </row>
    <row r="21" spans="1:9">
      <c r="A21" s="1" t="s">
        <v>1156</v>
      </c>
      <c r="B21" s="1">
        <v>4.1686584605170648E-2</v>
      </c>
      <c r="C21" s="1">
        <v>6.1235202298793999E-2</v>
      </c>
      <c r="D21" s="1">
        <v>0.68076176839856128</v>
      </c>
      <c r="E21" s="1">
        <v>0.49616925431316772</v>
      </c>
      <c r="F21" s="1">
        <v>-7.8467866815624371E-2</v>
      </c>
      <c r="G21" s="1">
        <v>0.16184103602596567</v>
      </c>
      <c r="H21" s="1">
        <v>-7.8467866815624371E-2</v>
      </c>
      <c r="I21" s="1">
        <v>0.16184103602596567</v>
      </c>
    </row>
    <row r="22" spans="1:9">
      <c r="A22" s="1" t="s">
        <v>1157</v>
      </c>
      <c r="B22" s="1">
        <v>3.289089105591559E-2</v>
      </c>
      <c r="C22" s="1">
        <v>3.6464230889903207E-2</v>
      </c>
      <c r="D22" s="1">
        <v>0.90200424507028176</v>
      </c>
      <c r="E22" s="1">
        <v>0.36725722730198496</v>
      </c>
      <c r="F22" s="1">
        <v>-3.8658470987162318E-2</v>
      </c>
      <c r="G22" s="1">
        <v>0.10444025309899349</v>
      </c>
      <c r="H22" s="1">
        <v>-3.8658470987162318E-2</v>
      </c>
      <c r="I22" s="1">
        <v>0.10444025309899349</v>
      </c>
    </row>
    <row r="23" spans="1:9">
      <c r="A23" s="1" t="s">
        <v>1158</v>
      </c>
      <c r="B23" s="1">
        <v>-0.2091204335212859</v>
      </c>
      <c r="C23" s="1">
        <v>0.23267112594941367</v>
      </c>
      <c r="D23" s="1">
        <v>-0.89878119886157226</v>
      </c>
      <c r="E23" s="1">
        <v>0.36897104590708329</v>
      </c>
      <c r="F23" s="1">
        <v>-0.66566291971245328</v>
      </c>
      <c r="G23" s="1">
        <v>0.24742205266988154</v>
      </c>
      <c r="H23" s="1">
        <v>-0.66566291971245328</v>
      </c>
      <c r="I23" s="1">
        <v>0.24742205266988154</v>
      </c>
    </row>
    <row r="24" spans="1:9">
      <c r="A24" s="1" t="s">
        <v>1182</v>
      </c>
      <c r="B24" s="1">
        <v>-0.3536431557403244</v>
      </c>
      <c r="C24" s="1">
        <v>3.3382027130334072E-2</v>
      </c>
      <c r="D24" s="1">
        <v>-10.593819073946253</v>
      </c>
      <c r="E24" s="1">
        <v>5.2179488308283883E-25</v>
      </c>
      <c r="F24" s="1">
        <v>-0.41914468111437186</v>
      </c>
      <c r="G24" s="1">
        <v>-0.28814163036627694</v>
      </c>
      <c r="H24" s="1">
        <v>-0.41914468111437186</v>
      </c>
      <c r="I24" s="1">
        <v>-0.28814163036627694</v>
      </c>
    </row>
    <row r="25" spans="1:9" ht="15.75" thickBot="1">
      <c r="A25" s="2" t="s">
        <v>1183</v>
      </c>
      <c r="B25" s="2">
        <v>0.32705132993946562</v>
      </c>
      <c r="C25" s="2">
        <v>0.15628937449590741</v>
      </c>
      <c r="D25" s="2">
        <v>2.0926011828656321</v>
      </c>
      <c r="E25" s="2">
        <v>3.6619452210988224E-2</v>
      </c>
      <c r="F25" s="2">
        <v>2.0383541633248348E-2</v>
      </c>
      <c r="G25" s="2">
        <v>0.63371911824568294</v>
      </c>
      <c r="H25" s="2">
        <v>2.0383541633248348E-2</v>
      </c>
      <c r="I25" s="2">
        <v>0.63371911824568294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245B3-5D8C-4489-8932-A5260BAA4807}">
  <dimension ref="A1:I21"/>
  <sheetViews>
    <sheetView workbookViewId="0">
      <selection sqref="A1:XFD1048576"/>
    </sheetView>
  </sheetViews>
  <sheetFormatPr defaultRowHeight="15"/>
  <cols>
    <col min="1" max="1" width="17.5703125" bestFit="1" customWidth="1"/>
    <col min="2" max="2" width="12.710937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" bestFit="1" customWidth="1"/>
    <col min="8" max="9" width="12.85546875" bestFit="1" customWidth="1"/>
  </cols>
  <sheetData>
    <row r="1" spans="1:9">
      <c r="A1" t="s">
        <v>1159</v>
      </c>
    </row>
    <row r="2" spans="1:9" ht="15.75" thickBot="1"/>
    <row r="3" spans="1:9">
      <c r="A3" s="4" t="s">
        <v>1160</v>
      </c>
      <c r="B3" s="4"/>
    </row>
    <row r="4" spans="1:9">
      <c r="A4" s="1" t="s">
        <v>1161</v>
      </c>
      <c r="B4" s="1">
        <v>0.10782384845593507</v>
      </c>
    </row>
    <row r="5" spans="1:9">
      <c r="A5" s="1" t="s">
        <v>1162</v>
      </c>
      <c r="B5" s="1">
        <v>1.162598229584845E-2</v>
      </c>
    </row>
    <row r="6" spans="1:9">
      <c r="A6" s="1" t="s">
        <v>1163</v>
      </c>
      <c r="B6" s="1">
        <v>2.3016991099602284E-3</v>
      </c>
    </row>
    <row r="7" spans="1:9">
      <c r="A7" s="1" t="s">
        <v>1164</v>
      </c>
      <c r="B7" s="1">
        <v>0.40549317378830835</v>
      </c>
    </row>
    <row r="8" spans="1:9" ht="15.75" thickBot="1">
      <c r="A8" s="2" t="s">
        <v>1165</v>
      </c>
      <c r="B8" s="2">
        <v>429</v>
      </c>
    </row>
    <row r="10" spans="1:9" ht="15.75" thickBot="1">
      <c r="A10" t="s">
        <v>1166</v>
      </c>
    </row>
    <row r="11" spans="1:9">
      <c r="A11" s="3"/>
      <c r="B11" s="3" t="s">
        <v>1171</v>
      </c>
      <c r="C11" s="3" t="s">
        <v>1172</v>
      </c>
      <c r="D11" s="3" t="s">
        <v>327</v>
      </c>
      <c r="E11" s="3" t="s">
        <v>1173</v>
      </c>
      <c r="F11" s="3" t="s">
        <v>1174</v>
      </c>
    </row>
    <row r="12" spans="1:9">
      <c r="A12" s="1" t="s">
        <v>1167</v>
      </c>
      <c r="B12" s="1">
        <v>4</v>
      </c>
      <c r="C12" s="1">
        <v>0.82005180483071172</v>
      </c>
      <c r="D12" s="1">
        <v>0.20501295120767793</v>
      </c>
      <c r="E12" s="1">
        <v>1.2468499791430316</v>
      </c>
      <c r="F12" s="1">
        <v>0.29039327080704297</v>
      </c>
    </row>
    <row r="13" spans="1:9">
      <c r="A13" s="1" t="s">
        <v>1168</v>
      </c>
      <c r="B13" s="1">
        <v>424</v>
      </c>
      <c r="C13" s="1">
        <v>69.716078731300072</v>
      </c>
      <c r="D13" s="1">
        <v>0.16442471398891526</v>
      </c>
      <c r="E13" s="1"/>
      <c r="F13" s="1"/>
    </row>
    <row r="14" spans="1:9" ht="15.75" thickBot="1">
      <c r="A14" s="2" t="s">
        <v>1169</v>
      </c>
      <c r="B14" s="2">
        <v>428</v>
      </c>
      <c r="C14" s="2">
        <v>70.536130536130784</v>
      </c>
      <c r="D14" s="2"/>
      <c r="E14" s="2"/>
      <c r="F14" s="2"/>
    </row>
    <row r="15" spans="1:9" ht="15.75" thickBot="1"/>
    <row r="16" spans="1:9">
      <c r="A16" s="3"/>
      <c r="B16" s="3" t="s">
        <v>1175</v>
      </c>
      <c r="C16" s="3" t="s">
        <v>1164</v>
      </c>
      <c r="D16" s="3" t="s">
        <v>1176</v>
      </c>
      <c r="E16" s="3" t="s">
        <v>1177</v>
      </c>
      <c r="F16" s="3" t="s">
        <v>1178</v>
      </c>
      <c r="G16" s="3" t="s">
        <v>1179</v>
      </c>
      <c r="H16" s="3" t="s">
        <v>1180</v>
      </c>
      <c r="I16" s="3" t="s">
        <v>1181</v>
      </c>
    </row>
    <row r="17" spans="1:9">
      <c r="A17" s="1" t="s">
        <v>1170</v>
      </c>
      <c r="B17" s="1">
        <v>0.24078394422648031</v>
      </c>
      <c r="C17" s="1">
        <v>2.7455172649253973E-2</v>
      </c>
      <c r="D17" s="1">
        <v>8.7700757632286468</v>
      </c>
      <c r="E17" s="1">
        <v>4.3768054477143022E-17</v>
      </c>
      <c r="F17" s="1">
        <v>0.18681875155100597</v>
      </c>
      <c r="G17" s="1">
        <v>0.29474913690195464</v>
      </c>
      <c r="H17" s="1">
        <v>0.18681875155100597</v>
      </c>
      <c r="I17" s="1">
        <v>0.29474913690195464</v>
      </c>
    </row>
    <row r="18" spans="1:9">
      <c r="A18" s="1" t="s">
        <v>1184</v>
      </c>
      <c r="B18" s="1">
        <v>-8.2081027100008169E-3</v>
      </c>
      <c r="C18" s="1">
        <v>2.1611521495985008E-2</v>
      </c>
      <c r="D18" s="1">
        <v>-0.3798021676320068</v>
      </c>
      <c r="E18" s="1">
        <v>0.70428243563008897</v>
      </c>
      <c r="F18" s="1">
        <v>-5.0687162537463845E-2</v>
      </c>
      <c r="G18" s="1">
        <v>3.4270957117462211E-2</v>
      </c>
      <c r="H18" s="1">
        <v>-5.0687162537463845E-2</v>
      </c>
      <c r="I18" s="1">
        <v>3.4270957117462211E-2</v>
      </c>
    </row>
    <row r="19" spans="1:9">
      <c r="A19" s="1" t="s">
        <v>1185</v>
      </c>
      <c r="B19" s="1">
        <v>-1.4912898185997035E-2</v>
      </c>
      <c r="C19" s="1">
        <v>1.034227108666241E-2</v>
      </c>
      <c r="D19" s="1">
        <v>-1.4419365012805545</v>
      </c>
      <c r="E19" s="1">
        <v>0.15005849017519296</v>
      </c>
      <c r="F19" s="1">
        <v>-3.5241404548855028E-2</v>
      </c>
      <c r="G19" s="1">
        <v>5.4156081768609587E-3</v>
      </c>
      <c r="H19" s="1">
        <v>-3.5241404548855028E-2</v>
      </c>
      <c r="I19" s="1">
        <v>5.4156081768609587E-3</v>
      </c>
    </row>
    <row r="20" spans="1:9">
      <c r="A20" s="1" t="s">
        <v>1186</v>
      </c>
      <c r="B20" s="1">
        <v>-1.4486481087210295E-2</v>
      </c>
      <c r="C20" s="1">
        <v>5.3288706986481034E-2</v>
      </c>
      <c r="D20" s="1">
        <v>-0.27184898839608573</v>
      </c>
      <c r="E20" s="1">
        <v>0.7858704551278124</v>
      </c>
      <c r="F20" s="1">
        <v>-0.1192294152035064</v>
      </c>
      <c r="G20" s="1">
        <v>9.0256453029085817E-2</v>
      </c>
      <c r="H20" s="1">
        <v>-0.1192294152035064</v>
      </c>
      <c r="I20" s="1">
        <v>9.0256453029085817E-2</v>
      </c>
    </row>
    <row r="21" spans="1:9" ht="15.75" thickBot="1">
      <c r="A21" s="2" t="s">
        <v>1187</v>
      </c>
      <c r="B21" s="2">
        <v>-3.4615798908484999E-2</v>
      </c>
      <c r="C21" s="2">
        <v>5.2175138583092841E-2</v>
      </c>
      <c r="D21" s="2">
        <v>-0.66345389487287576</v>
      </c>
      <c r="E21" s="2">
        <v>0.50740045222648333</v>
      </c>
      <c r="F21" s="2">
        <v>-0.1371699311471212</v>
      </c>
      <c r="G21" s="2">
        <v>6.7938333330151202E-2</v>
      </c>
      <c r="H21" s="2">
        <v>-0.1371699311471212</v>
      </c>
      <c r="I21" s="2">
        <v>6.7938333330151202E-2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1559-32EC-4C84-A8B6-CC465A6F510D}">
  <dimension ref="A1:I21"/>
  <sheetViews>
    <sheetView workbookViewId="0">
      <selection sqref="A1:XFD1048576"/>
    </sheetView>
  </sheetViews>
  <sheetFormatPr defaultRowHeight="15"/>
  <cols>
    <col min="1" max="1" width="17.5703125" bestFit="1" customWidth="1"/>
    <col min="2" max="2" width="12.7109375" bestFit="1" customWidth="1"/>
    <col min="3" max="3" width="14.7109375" bestFit="1" customWidth="1"/>
    <col min="4" max="4" width="12.7109375" bestFit="1" customWidth="1"/>
    <col min="5" max="5" width="12" bestFit="1" customWidth="1"/>
    <col min="6" max="6" width="13.7109375" bestFit="1" customWidth="1"/>
    <col min="7" max="7" width="12" bestFit="1" customWidth="1"/>
    <col min="8" max="9" width="12.85546875" bestFit="1" customWidth="1"/>
  </cols>
  <sheetData>
    <row r="1" spans="1:9">
      <c r="A1" t="s">
        <v>1159</v>
      </c>
    </row>
    <row r="2" spans="1:9" ht="15.75" thickBot="1"/>
    <row r="3" spans="1:9">
      <c r="A3" s="4" t="s">
        <v>1160</v>
      </c>
      <c r="B3" s="4"/>
    </row>
    <row r="4" spans="1:9">
      <c r="A4" s="1" t="s">
        <v>1161</v>
      </c>
      <c r="B4" s="1">
        <v>0.11513135987719048</v>
      </c>
    </row>
    <row r="5" spans="1:9">
      <c r="A5" s="1" t="s">
        <v>1162</v>
      </c>
      <c r="B5" s="1">
        <v>1.3255230027171144E-2</v>
      </c>
    </row>
    <row r="6" spans="1:9">
      <c r="A6" s="1" t="s">
        <v>1163</v>
      </c>
      <c r="B6" s="1">
        <v>7.2384936248977962E-3</v>
      </c>
    </row>
    <row r="7" spans="1:9">
      <c r="A7" s="1" t="s">
        <v>1164</v>
      </c>
      <c r="B7" s="1">
        <v>0.49247427583643494</v>
      </c>
    </row>
    <row r="8" spans="1:9" ht="15.75" thickBot="1">
      <c r="A8" s="2" t="s">
        <v>1165</v>
      </c>
      <c r="B8" s="2">
        <v>661</v>
      </c>
    </row>
    <row r="10" spans="1:9" ht="15.75" thickBot="1">
      <c r="A10" t="s">
        <v>1166</v>
      </c>
    </row>
    <row r="11" spans="1:9">
      <c r="A11" s="3"/>
      <c r="B11" s="3" t="s">
        <v>1171</v>
      </c>
      <c r="C11" s="3" t="s">
        <v>1172</v>
      </c>
      <c r="D11" s="3" t="s">
        <v>327</v>
      </c>
      <c r="E11" s="3" t="s">
        <v>1173</v>
      </c>
      <c r="F11" s="3" t="s">
        <v>1174</v>
      </c>
    </row>
    <row r="12" spans="1:9">
      <c r="A12" s="1" t="s">
        <v>1167</v>
      </c>
      <c r="B12" s="1">
        <v>4</v>
      </c>
      <c r="C12" s="1">
        <v>2.1372404021722105</v>
      </c>
      <c r="D12" s="1">
        <v>0.53431010054305261</v>
      </c>
      <c r="E12" s="1">
        <v>2.2030597887191505</v>
      </c>
      <c r="F12" s="1">
        <v>6.7197571287126584E-2</v>
      </c>
    </row>
    <row r="13" spans="1:9">
      <c r="A13" s="1" t="s">
        <v>1168</v>
      </c>
      <c r="B13" s="1">
        <v>656</v>
      </c>
      <c r="C13" s="1">
        <v>159.10027850856738</v>
      </c>
      <c r="D13" s="1">
        <v>0.24253091236062102</v>
      </c>
      <c r="E13" s="1"/>
      <c r="F13" s="1"/>
    </row>
    <row r="14" spans="1:9" ht="15.75" thickBot="1">
      <c r="A14" s="2" t="s">
        <v>1169</v>
      </c>
      <c r="B14" s="2">
        <v>660</v>
      </c>
      <c r="C14" s="2">
        <v>161.2375189107396</v>
      </c>
      <c r="D14" s="2"/>
      <c r="E14" s="2"/>
      <c r="F14" s="2"/>
    </row>
    <row r="15" spans="1:9" ht="15.75" thickBot="1"/>
    <row r="16" spans="1:9">
      <c r="A16" s="3"/>
      <c r="B16" s="3" t="s">
        <v>1175</v>
      </c>
      <c r="C16" s="3" t="s">
        <v>1164</v>
      </c>
      <c r="D16" s="3" t="s">
        <v>1176</v>
      </c>
      <c r="E16" s="3" t="s">
        <v>1177</v>
      </c>
      <c r="F16" s="3" t="s">
        <v>1178</v>
      </c>
      <c r="G16" s="3" t="s">
        <v>1179</v>
      </c>
      <c r="H16" s="3" t="s">
        <v>1180</v>
      </c>
      <c r="I16" s="3" t="s">
        <v>1181</v>
      </c>
    </row>
    <row r="17" spans="1:9">
      <c r="A17" s="1" t="s">
        <v>1170</v>
      </c>
      <c r="B17" s="1">
        <v>0.50003761185706264</v>
      </c>
      <c r="C17" s="1">
        <v>4.1602760214879929E-2</v>
      </c>
      <c r="D17" s="1">
        <v>12.01933740151731</v>
      </c>
      <c r="E17" s="1">
        <v>3.2391370642655313E-30</v>
      </c>
      <c r="F17" s="1">
        <v>0.4183469802423545</v>
      </c>
      <c r="G17" s="1">
        <v>0.58172824347177077</v>
      </c>
      <c r="H17" s="1">
        <v>0.4183469802423545</v>
      </c>
      <c r="I17" s="1">
        <v>0.58172824347177077</v>
      </c>
    </row>
    <row r="18" spans="1:9">
      <c r="A18" s="1" t="s">
        <v>1184</v>
      </c>
      <c r="B18" s="1">
        <v>1.699537060070018E-2</v>
      </c>
      <c r="C18" s="1">
        <v>1.5152265913414942E-2</v>
      </c>
      <c r="D18" s="1">
        <v>1.1216388821195027</v>
      </c>
      <c r="E18" s="1">
        <v>0.26242640959930563</v>
      </c>
      <c r="F18" s="1">
        <v>-1.2757419033151068E-2</v>
      </c>
      <c r="G18" s="1">
        <v>4.6748160234551431E-2</v>
      </c>
      <c r="H18" s="1">
        <v>-1.2757419033151068E-2</v>
      </c>
      <c r="I18" s="1">
        <v>4.6748160234551431E-2</v>
      </c>
    </row>
    <row r="19" spans="1:9">
      <c r="A19" s="1" t="s">
        <v>1185</v>
      </c>
      <c r="B19" s="1">
        <v>-5.1573731157912679E-3</v>
      </c>
      <c r="C19" s="1">
        <v>1.0403567764040856E-2</v>
      </c>
      <c r="D19" s="1">
        <v>-0.4957311984468768</v>
      </c>
      <c r="E19" s="1">
        <v>0.62025010265115743</v>
      </c>
      <c r="F19" s="1">
        <v>-2.5585681653524837E-2</v>
      </c>
      <c r="G19" s="1">
        <v>1.52709354219423E-2</v>
      </c>
      <c r="H19" s="1">
        <v>-2.5585681653524837E-2</v>
      </c>
      <c r="I19" s="1">
        <v>1.52709354219423E-2</v>
      </c>
    </row>
    <row r="20" spans="1:9">
      <c r="A20" s="1" t="s">
        <v>1186</v>
      </c>
      <c r="B20" s="1">
        <v>0.19491597267013658</v>
      </c>
      <c r="C20" s="1">
        <v>7.4177421227057866E-2</v>
      </c>
      <c r="D20" s="1">
        <v>2.6276995000068384</v>
      </c>
      <c r="E20" s="1">
        <v>8.7974544133149566E-3</v>
      </c>
      <c r="F20" s="1">
        <v>4.9262166040707822E-2</v>
      </c>
      <c r="G20" s="1">
        <v>0.34056977929956533</v>
      </c>
      <c r="H20" s="1">
        <v>4.9262166040707822E-2</v>
      </c>
      <c r="I20" s="1">
        <v>0.34056977929956533</v>
      </c>
    </row>
    <row r="21" spans="1:9" ht="15.75" thickBot="1">
      <c r="A21" s="2" t="s">
        <v>1187</v>
      </c>
      <c r="B21" s="2">
        <v>8.5254108187240343E-2</v>
      </c>
      <c r="C21" s="2">
        <v>4.7937342602166672E-2</v>
      </c>
      <c r="D21" s="2">
        <v>1.7784487741585207</v>
      </c>
      <c r="E21" s="2">
        <v>7.5793241400519143E-2</v>
      </c>
      <c r="F21" s="2">
        <v>-8.87502591047791E-3</v>
      </c>
      <c r="G21" s="2">
        <v>0.17938324228495861</v>
      </c>
      <c r="H21" s="2">
        <v>-8.87502591047791E-3</v>
      </c>
      <c r="I21" s="2">
        <v>0.17938324228495861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561A3-001B-4B93-AF28-8A0860824F45}">
  <dimension ref="A1:AL1082"/>
  <sheetViews>
    <sheetView tabSelected="1" workbookViewId="0">
      <selection activeCell="B1" sqref="B1"/>
    </sheetView>
  </sheetViews>
  <sheetFormatPr defaultRowHeight="15"/>
  <cols>
    <col min="1" max="1" width="13.28515625" bestFit="1" customWidth="1"/>
    <col min="2" max="2" width="61" bestFit="1" customWidth="1"/>
    <col min="3" max="3" width="10.42578125" bestFit="1" customWidth="1"/>
    <col min="4" max="4" width="19.7109375" bestFit="1" customWidth="1"/>
    <col min="5" max="5" width="13.7109375" bestFit="1" customWidth="1"/>
    <col min="6" max="6" width="16.140625" bestFit="1" customWidth="1"/>
    <col min="7" max="7" width="14.7109375" bestFit="1" customWidth="1"/>
    <col min="8" max="8" width="16.28515625" bestFit="1" customWidth="1"/>
    <col min="9" max="9" width="14.7109375" bestFit="1" customWidth="1"/>
    <col min="10" max="11" width="19" bestFit="1" customWidth="1"/>
    <col min="12" max="12" width="21" bestFit="1" customWidth="1"/>
    <col min="13" max="13" width="14.5703125" bestFit="1" customWidth="1"/>
    <col min="14" max="14" width="15.7109375" bestFit="1" customWidth="1"/>
    <col min="15" max="15" width="16.140625" bestFit="1" customWidth="1"/>
    <col min="16" max="17" width="12.85546875" bestFit="1" customWidth="1"/>
    <col min="18" max="18" width="14" bestFit="1" customWidth="1"/>
    <col min="19" max="19" width="17.7109375" bestFit="1" customWidth="1"/>
    <col min="20" max="20" width="25" bestFit="1" customWidth="1"/>
    <col min="21" max="21" width="22.7109375" bestFit="1" customWidth="1"/>
    <col min="22" max="22" width="9" bestFit="1" customWidth="1"/>
    <col min="23" max="23" width="10" bestFit="1" customWidth="1"/>
    <col min="24" max="24" width="13.85546875" bestFit="1" customWidth="1"/>
    <col min="25" max="25" width="5.5703125" bestFit="1" customWidth="1"/>
    <col min="26" max="26" width="8.5703125" bestFit="1" customWidth="1"/>
    <col min="27" max="27" width="8.42578125" bestFit="1" customWidth="1"/>
    <col min="28" max="28" width="8.7109375" bestFit="1" customWidth="1"/>
    <col min="29" max="29" width="8.85546875" bestFit="1" customWidth="1"/>
    <col min="30" max="30" width="5" bestFit="1" customWidth="1"/>
    <col min="31" max="31" width="12" bestFit="1" customWidth="1"/>
    <col min="32" max="32" width="15.85546875" bestFit="1" customWidth="1"/>
    <col min="33" max="33" width="7.5703125" bestFit="1" customWidth="1"/>
    <col min="34" max="34" width="6" bestFit="1" customWidth="1"/>
    <col min="36" max="36" width="10.42578125" bestFit="1" customWidth="1"/>
    <col min="37" max="37" width="8.85546875" bestFit="1" customWidth="1"/>
    <col min="38" max="38" width="12.5703125" bestFit="1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1153</v>
      </c>
      <c r="X1" t="s">
        <v>1154</v>
      </c>
      <c r="Y1" t="s">
        <v>1155</v>
      </c>
      <c r="Z1" t="s">
        <v>1156</v>
      </c>
      <c r="AA1" t="s">
        <v>1157</v>
      </c>
      <c r="AB1" t="s">
        <v>1158</v>
      </c>
      <c r="AC1" t="s">
        <v>1182</v>
      </c>
      <c r="AD1" t="s">
        <v>1183</v>
      </c>
      <c r="AE1" t="s">
        <v>1184</v>
      </c>
      <c r="AF1" t="s">
        <v>1185</v>
      </c>
      <c r="AG1" t="s">
        <v>1186</v>
      </c>
      <c r="AH1" t="s">
        <v>1187</v>
      </c>
      <c r="AI1" t="s">
        <v>1188</v>
      </c>
      <c r="AJ1" t="s">
        <v>1189</v>
      </c>
      <c r="AK1" t="s">
        <v>1190</v>
      </c>
      <c r="AL1" t="s">
        <v>1191</v>
      </c>
    </row>
    <row r="2" spans="1:38">
      <c r="A2">
        <v>5027</v>
      </c>
      <c r="B2" t="s">
        <v>31</v>
      </c>
      <c r="C2" t="s">
        <v>23</v>
      </c>
      <c r="D2" t="s">
        <v>24</v>
      </c>
      <c r="E2">
        <v>59</v>
      </c>
      <c r="F2">
        <v>1603093</v>
      </c>
      <c r="G2" t="s">
        <v>25</v>
      </c>
      <c r="H2">
        <v>1</v>
      </c>
      <c r="I2">
        <v>0</v>
      </c>
      <c r="J2">
        <v>0</v>
      </c>
      <c r="K2">
        <v>0</v>
      </c>
      <c r="L2" t="s">
        <v>26</v>
      </c>
      <c r="M2" t="s">
        <v>26</v>
      </c>
      <c r="N2" t="s">
        <v>26</v>
      </c>
      <c r="O2" t="s">
        <v>26</v>
      </c>
      <c r="P2">
        <v>1</v>
      </c>
      <c r="Q2">
        <v>0</v>
      </c>
      <c r="R2">
        <v>0</v>
      </c>
      <c r="S2">
        <v>1</v>
      </c>
      <c r="T2">
        <v>0.62380000000000002</v>
      </c>
      <c r="U2">
        <v>1.6899999999999998E-2</v>
      </c>
      <c r="V2">
        <v>0</v>
      </c>
      <c r="W2">
        <f>E2/100</f>
        <v>0.59</v>
      </c>
      <c r="X2">
        <f>F2/1000000</f>
        <v>1.6030930000000001</v>
      </c>
      <c r="Y2">
        <f>IF(D2="C",1,0)</f>
        <v>0</v>
      </c>
      <c r="Z2">
        <f>IF(G2="C",1,0)</f>
        <v>0</v>
      </c>
      <c r="AA2">
        <f>IF(G2="S",1,0)</f>
        <v>1</v>
      </c>
      <c r="AB2">
        <f>IF(G2="U",1,0)</f>
        <v>0</v>
      </c>
      <c r="AC2" s="5">
        <f>IF(AND(ISNUMBER(H2),NOT(ISNUMBER(P2))),1,0)</f>
        <v>0</v>
      </c>
      <c r="AD2" s="5">
        <f>IF(AND(ISNUMBER(H2),ISNUMBER(P2)),1,0)</f>
        <v>1</v>
      </c>
      <c r="AE2" s="5">
        <f>W2</f>
        <v>0.59</v>
      </c>
      <c r="AF2" s="5">
        <f>X2</f>
        <v>1.6030930000000001</v>
      </c>
      <c r="AG2" s="5">
        <f>Y2</f>
        <v>0</v>
      </c>
      <c r="AH2" s="5">
        <f>IF(OR(G2="C",G2="S",G2="U"),1,0)</f>
        <v>1</v>
      </c>
      <c r="AI2" s="5">
        <f>IF(ISNUMBER(H2),1,0)</f>
        <v>1</v>
      </c>
      <c r="AJ2" s="5">
        <f>IF(ISNUMBER(P2),1,0)</f>
        <v>1</v>
      </c>
      <c r="AK2" s="5">
        <f>IF(AI2=1,IF(J2&gt;0,1,0),"")</f>
        <v>0</v>
      </c>
      <c r="AL2" s="5">
        <f>IF(AJ2=1,IF(OR(Q2&gt;0,R2&gt;0),1,0),"")</f>
        <v>0</v>
      </c>
    </row>
    <row r="3" spans="1:38">
      <c r="A3">
        <v>10686</v>
      </c>
      <c r="B3" t="s">
        <v>60</v>
      </c>
      <c r="C3" t="s">
        <v>23</v>
      </c>
      <c r="D3" t="s">
        <v>24</v>
      </c>
      <c r="E3">
        <v>1058</v>
      </c>
      <c r="F3">
        <v>211028</v>
      </c>
      <c r="G3" t="s">
        <v>25</v>
      </c>
      <c r="H3">
        <v>7</v>
      </c>
      <c r="I3">
        <v>0</v>
      </c>
      <c r="J3">
        <v>0</v>
      </c>
      <c r="K3">
        <v>0</v>
      </c>
      <c r="L3" t="s">
        <v>26</v>
      </c>
      <c r="M3" t="s">
        <v>26</v>
      </c>
      <c r="N3" t="s">
        <v>26</v>
      </c>
      <c r="O3" t="s">
        <v>26</v>
      </c>
      <c r="P3">
        <v>2</v>
      </c>
      <c r="Q3">
        <v>0</v>
      </c>
      <c r="R3">
        <v>2</v>
      </c>
      <c r="S3">
        <v>1</v>
      </c>
      <c r="T3">
        <v>9.4773999999999994</v>
      </c>
      <c r="U3">
        <v>1.9E-3</v>
      </c>
      <c r="V3">
        <v>1</v>
      </c>
      <c r="W3">
        <f>E3/100</f>
        <v>10.58</v>
      </c>
      <c r="X3">
        <f>F3/1000000</f>
        <v>0.21102799999999999</v>
      </c>
      <c r="Y3">
        <f>IF(D3="C",1,0)</f>
        <v>0</v>
      </c>
      <c r="Z3">
        <f>IF(G3="C",1,0)</f>
        <v>0</v>
      </c>
      <c r="AA3">
        <f>IF(G3="S",1,0)</f>
        <v>1</v>
      </c>
      <c r="AB3">
        <f>IF(G3="U",1,0)</f>
        <v>0</v>
      </c>
      <c r="AC3" s="5">
        <f>IF(AND(ISNUMBER(H3),NOT(ISNUMBER(P3))),1,0)</f>
        <v>0</v>
      </c>
      <c r="AD3" s="5">
        <f>IF(AND(ISNUMBER(H3),ISNUMBER(P3)),1,0)</f>
        <v>1</v>
      </c>
      <c r="AE3" s="5">
        <f>W3</f>
        <v>10.58</v>
      </c>
      <c r="AF3" s="5">
        <f>X3</f>
        <v>0.21102799999999999</v>
      </c>
      <c r="AG3" s="5">
        <f>Y3</f>
        <v>0</v>
      </c>
      <c r="AH3" s="5">
        <f>IF(OR(G3="C",G3="S",G3="U"),1,0)</f>
        <v>1</v>
      </c>
      <c r="AI3" s="5">
        <f>IF(ISNUMBER(H3),1,0)</f>
        <v>1</v>
      </c>
      <c r="AJ3" s="5">
        <f>IF(ISNUMBER(P3),1,0)</f>
        <v>1</v>
      </c>
      <c r="AK3" s="5">
        <f>IF(AI3=1,IF(J3&gt;0,1,0),"")</f>
        <v>0</v>
      </c>
      <c r="AL3" s="5">
        <f>IF(AJ3=1,IF(OR(Q3&gt;0,R3&gt;0),1,0),"")</f>
        <v>1</v>
      </c>
    </row>
    <row r="4" spans="1:38">
      <c r="A4">
        <v>58886</v>
      </c>
      <c r="B4" t="s">
        <v>152</v>
      </c>
      <c r="C4" t="s">
        <v>23</v>
      </c>
      <c r="D4" t="s">
        <v>24</v>
      </c>
      <c r="E4">
        <v>58</v>
      </c>
      <c r="F4">
        <v>6000000</v>
      </c>
      <c r="H4">
        <v>1</v>
      </c>
      <c r="I4">
        <v>0</v>
      </c>
      <c r="J4">
        <v>0</v>
      </c>
      <c r="K4">
        <v>0</v>
      </c>
      <c r="L4" t="s">
        <v>26</v>
      </c>
      <c r="M4" t="s">
        <v>26</v>
      </c>
      <c r="N4" t="s">
        <v>26</v>
      </c>
      <c r="O4" t="s">
        <v>26</v>
      </c>
      <c r="P4">
        <v>1</v>
      </c>
      <c r="Q4">
        <v>0</v>
      </c>
      <c r="R4">
        <v>1</v>
      </c>
      <c r="S4">
        <v>1</v>
      </c>
      <c r="T4">
        <v>0.16669999999999999</v>
      </c>
      <c r="U4">
        <v>1.72E-2</v>
      </c>
      <c r="V4">
        <v>1</v>
      </c>
      <c r="W4">
        <f>E4/100</f>
        <v>0.57999999999999996</v>
      </c>
      <c r="X4">
        <f>F4/1000000</f>
        <v>6</v>
      </c>
      <c r="Y4">
        <f>IF(D4="C",1,0)</f>
        <v>0</v>
      </c>
      <c r="Z4">
        <f>IF(G4="C",1,0)</f>
        <v>0</v>
      </c>
      <c r="AA4">
        <f>IF(G4="S",1,0)</f>
        <v>0</v>
      </c>
      <c r="AB4">
        <f>IF(G4="U",1,0)</f>
        <v>0</v>
      </c>
      <c r="AC4" s="5">
        <f>IF(AND(ISNUMBER(H4),NOT(ISNUMBER(P4))),1,0)</f>
        <v>0</v>
      </c>
      <c r="AD4" s="5">
        <f>IF(AND(ISNUMBER(H4),ISNUMBER(P4)),1,0)</f>
        <v>1</v>
      </c>
      <c r="AE4" s="5">
        <f>W4</f>
        <v>0.57999999999999996</v>
      </c>
      <c r="AF4" s="5">
        <f>X4</f>
        <v>6</v>
      </c>
      <c r="AG4" s="5">
        <f>Y4</f>
        <v>0</v>
      </c>
      <c r="AH4" s="5">
        <f>IF(OR(G4="C",G4="S",G4="U"),1,0)</f>
        <v>0</v>
      </c>
      <c r="AI4" s="5">
        <f>IF(ISNUMBER(H4),1,0)</f>
        <v>1</v>
      </c>
      <c r="AJ4" s="5">
        <f>IF(ISNUMBER(P4),1,0)</f>
        <v>1</v>
      </c>
      <c r="AK4" s="5">
        <f>IF(AI4=1,IF(J4&gt;0,1,0),"")</f>
        <v>0</v>
      </c>
      <c r="AL4" s="5">
        <f>IF(AJ4=1,IF(OR(Q4&gt;0,R4&gt;0),1,0),"")</f>
        <v>1</v>
      </c>
    </row>
    <row r="5" spans="1:38">
      <c r="A5">
        <v>246116</v>
      </c>
      <c r="B5" t="s">
        <v>333</v>
      </c>
      <c r="C5" t="s">
        <v>23</v>
      </c>
      <c r="D5" t="s">
        <v>24</v>
      </c>
      <c r="E5">
        <v>87</v>
      </c>
      <c r="F5">
        <v>6490720</v>
      </c>
      <c r="G5" t="s">
        <v>25</v>
      </c>
      <c r="H5">
        <v>1</v>
      </c>
      <c r="I5">
        <v>0</v>
      </c>
      <c r="J5">
        <v>0</v>
      </c>
      <c r="K5">
        <v>0</v>
      </c>
      <c r="L5" t="s">
        <v>26</v>
      </c>
      <c r="M5" t="s">
        <v>26</v>
      </c>
      <c r="N5" t="s">
        <v>26</v>
      </c>
      <c r="O5" t="s">
        <v>26</v>
      </c>
      <c r="P5">
        <v>1</v>
      </c>
      <c r="Q5">
        <v>0</v>
      </c>
      <c r="R5">
        <v>1</v>
      </c>
      <c r="S5">
        <v>1</v>
      </c>
      <c r="T5">
        <v>0.15409999999999999</v>
      </c>
      <c r="U5">
        <v>1.15E-2</v>
      </c>
      <c r="V5">
        <v>1</v>
      </c>
      <c r="W5">
        <f>E5/100</f>
        <v>0.87</v>
      </c>
      <c r="X5">
        <f>F5/1000000</f>
        <v>6.4907199999999996</v>
      </c>
      <c r="Y5">
        <f>IF(D5="C",1,0)</f>
        <v>0</v>
      </c>
      <c r="Z5">
        <f>IF(G5="C",1,0)</f>
        <v>0</v>
      </c>
      <c r="AA5">
        <f>IF(G5="S",1,0)</f>
        <v>1</v>
      </c>
      <c r="AB5">
        <f>IF(G5="U",1,0)</f>
        <v>0</v>
      </c>
      <c r="AC5" s="5">
        <f>IF(AND(ISNUMBER(H5),NOT(ISNUMBER(P5))),1,0)</f>
        <v>0</v>
      </c>
      <c r="AD5" s="5">
        <f>IF(AND(ISNUMBER(H5),ISNUMBER(P5)),1,0)</f>
        <v>1</v>
      </c>
      <c r="AE5" s="5">
        <f>W5</f>
        <v>0.87</v>
      </c>
      <c r="AF5" s="5">
        <f>X5</f>
        <v>6.4907199999999996</v>
      </c>
      <c r="AG5" s="5">
        <f>Y5</f>
        <v>0</v>
      </c>
      <c r="AH5" s="5">
        <f>IF(OR(G5="C",G5="S",G5="U"),1,0)</f>
        <v>1</v>
      </c>
      <c r="AI5" s="5">
        <f>IF(ISNUMBER(H5),1,0)</f>
        <v>1</v>
      </c>
      <c r="AJ5" s="5">
        <f>IF(ISNUMBER(P5),1,0)</f>
        <v>1</v>
      </c>
      <c r="AK5" s="5">
        <f>IF(AI5=1,IF(J5&gt;0,1,0),"")</f>
        <v>0</v>
      </c>
      <c r="AL5" s="5">
        <f>IF(AJ5=1,IF(OR(Q5&gt;0,R5&gt;0),1,0),"")</f>
        <v>1</v>
      </c>
    </row>
    <row r="6" spans="1:38">
      <c r="A6">
        <v>259447</v>
      </c>
      <c r="B6" t="s">
        <v>348</v>
      </c>
      <c r="C6" t="s">
        <v>23</v>
      </c>
      <c r="D6" t="s">
        <v>24</v>
      </c>
      <c r="E6">
        <v>130</v>
      </c>
      <c r="F6">
        <v>7800000</v>
      </c>
      <c r="G6" t="s">
        <v>25</v>
      </c>
      <c r="H6">
        <v>1</v>
      </c>
      <c r="I6">
        <v>0</v>
      </c>
      <c r="J6">
        <v>0</v>
      </c>
      <c r="K6">
        <v>0</v>
      </c>
      <c r="L6" t="s">
        <v>26</v>
      </c>
      <c r="M6" t="s">
        <v>26</v>
      </c>
      <c r="N6" t="s">
        <v>26</v>
      </c>
      <c r="O6" t="s">
        <v>26</v>
      </c>
      <c r="P6">
        <v>1</v>
      </c>
      <c r="Q6">
        <v>0</v>
      </c>
      <c r="R6">
        <v>1</v>
      </c>
      <c r="S6">
        <v>1</v>
      </c>
      <c r="T6">
        <v>0.12820000000000001</v>
      </c>
      <c r="U6">
        <v>7.7000000000000002E-3</v>
      </c>
      <c r="V6">
        <v>1</v>
      </c>
      <c r="W6">
        <f>E6/100</f>
        <v>1.3</v>
      </c>
      <c r="X6">
        <f>F6/1000000</f>
        <v>7.8</v>
      </c>
      <c r="Y6">
        <f>IF(D6="C",1,0)</f>
        <v>0</v>
      </c>
      <c r="Z6">
        <f>IF(G6="C",1,0)</f>
        <v>0</v>
      </c>
      <c r="AA6">
        <f>IF(G6="S",1,0)</f>
        <v>1</v>
      </c>
      <c r="AB6">
        <f>IF(G6="U",1,0)</f>
        <v>0</v>
      </c>
      <c r="AC6" s="5">
        <f>IF(AND(ISNUMBER(H6),NOT(ISNUMBER(P6))),1,0)</f>
        <v>0</v>
      </c>
      <c r="AD6" s="5">
        <f>IF(AND(ISNUMBER(H6),ISNUMBER(P6)),1,0)</f>
        <v>1</v>
      </c>
      <c r="AE6" s="5">
        <f>W6</f>
        <v>1.3</v>
      </c>
      <c r="AF6" s="5">
        <f>X6</f>
        <v>7.8</v>
      </c>
      <c r="AG6" s="5">
        <f>Y6</f>
        <v>0</v>
      </c>
      <c r="AH6" s="5">
        <f>IF(OR(G6="C",G6="S",G6="U"),1,0)</f>
        <v>1</v>
      </c>
      <c r="AI6" s="5">
        <f>IF(ISNUMBER(H6),1,0)</f>
        <v>1</v>
      </c>
      <c r="AJ6" s="5">
        <f>IF(ISNUMBER(P6),1,0)</f>
        <v>1</v>
      </c>
      <c r="AK6" s="5">
        <f>IF(AI6=1,IF(J6&gt;0,1,0),"")</f>
        <v>0</v>
      </c>
      <c r="AL6" s="5">
        <f>IF(AJ6=1,IF(OR(Q6&gt;0,R6&gt;0),1,0),"")</f>
        <v>1</v>
      </c>
    </row>
    <row r="7" spans="1:38">
      <c r="A7">
        <v>328357</v>
      </c>
      <c r="B7" t="s">
        <v>439</v>
      </c>
      <c r="C7" t="s">
        <v>42</v>
      </c>
      <c r="D7" t="s">
        <v>24</v>
      </c>
      <c r="E7">
        <v>50</v>
      </c>
      <c r="F7">
        <v>2884805</v>
      </c>
      <c r="G7" t="s">
        <v>25</v>
      </c>
      <c r="H7">
        <v>1</v>
      </c>
      <c r="I7">
        <v>2</v>
      </c>
      <c r="J7">
        <v>0</v>
      </c>
      <c r="K7">
        <v>0</v>
      </c>
      <c r="L7">
        <v>0</v>
      </c>
      <c r="M7">
        <v>0</v>
      </c>
      <c r="N7">
        <v>0</v>
      </c>
      <c r="O7" t="s">
        <v>26</v>
      </c>
      <c r="P7">
        <v>1</v>
      </c>
      <c r="Q7">
        <v>0</v>
      </c>
      <c r="R7">
        <v>1</v>
      </c>
      <c r="S7">
        <v>1</v>
      </c>
      <c r="T7">
        <v>0.34660000000000002</v>
      </c>
      <c r="U7">
        <v>0.02</v>
      </c>
      <c r="V7">
        <v>1</v>
      </c>
      <c r="W7">
        <f>E7/100</f>
        <v>0.5</v>
      </c>
      <c r="X7">
        <f>F7/1000000</f>
        <v>2.8848050000000001</v>
      </c>
      <c r="Y7">
        <f>IF(D7="C",1,0)</f>
        <v>0</v>
      </c>
      <c r="Z7">
        <f>IF(G7="C",1,0)</f>
        <v>0</v>
      </c>
      <c r="AA7">
        <f>IF(G7="S",1,0)</f>
        <v>1</v>
      </c>
      <c r="AB7">
        <f>IF(G7="U",1,0)</f>
        <v>0</v>
      </c>
      <c r="AC7" s="5">
        <f>IF(AND(ISNUMBER(H7),NOT(ISNUMBER(P7))),1,0)</f>
        <v>0</v>
      </c>
      <c r="AD7" s="5">
        <f>IF(AND(ISNUMBER(H7),ISNUMBER(P7)),1,0)</f>
        <v>1</v>
      </c>
      <c r="AE7" s="5">
        <f>W7</f>
        <v>0.5</v>
      </c>
      <c r="AF7" s="5">
        <f>X7</f>
        <v>2.8848050000000001</v>
      </c>
      <c r="AG7" s="5">
        <f>Y7</f>
        <v>0</v>
      </c>
      <c r="AH7" s="5">
        <f>IF(OR(G7="C",G7="S",G7="U"),1,0)</f>
        <v>1</v>
      </c>
      <c r="AI7" s="5">
        <f>IF(ISNUMBER(H7),1,0)</f>
        <v>1</v>
      </c>
      <c r="AJ7" s="5">
        <f>IF(ISNUMBER(P7),1,0)</f>
        <v>1</v>
      </c>
      <c r="AK7" s="5">
        <f>IF(AI7=1,IF(J7&gt;0,1,0),"")</f>
        <v>0</v>
      </c>
      <c r="AL7" s="5">
        <f>IF(AJ7=1,IF(OR(Q7&gt;0,R7&gt;0),1,0),"")</f>
        <v>1</v>
      </c>
    </row>
    <row r="8" spans="1:38">
      <c r="A8">
        <v>348394</v>
      </c>
      <c r="B8" t="s">
        <v>471</v>
      </c>
      <c r="C8" t="s">
        <v>254</v>
      </c>
      <c r="D8" t="s">
        <v>24</v>
      </c>
      <c r="E8">
        <v>201</v>
      </c>
      <c r="F8">
        <v>6532500</v>
      </c>
      <c r="G8" t="s">
        <v>25</v>
      </c>
      <c r="H8">
        <v>1</v>
      </c>
      <c r="I8">
        <v>0</v>
      </c>
      <c r="J8">
        <v>0</v>
      </c>
      <c r="K8">
        <v>0</v>
      </c>
      <c r="L8" t="s">
        <v>26</v>
      </c>
      <c r="M8" t="s">
        <v>26</v>
      </c>
      <c r="N8" t="s">
        <v>26</v>
      </c>
      <c r="O8" t="s">
        <v>26</v>
      </c>
      <c r="P8">
        <v>1</v>
      </c>
      <c r="Q8">
        <v>0</v>
      </c>
      <c r="R8">
        <v>1</v>
      </c>
      <c r="S8">
        <v>0</v>
      </c>
      <c r="T8">
        <v>0.15310000000000001</v>
      </c>
      <c r="U8">
        <v>5.0000000000000001E-3</v>
      </c>
      <c r="V8">
        <v>1</v>
      </c>
      <c r="W8">
        <f>E8/100</f>
        <v>2.0099999999999998</v>
      </c>
      <c r="X8">
        <f>F8/1000000</f>
        <v>6.5324999999999998</v>
      </c>
      <c r="Y8">
        <f>IF(D8="C",1,0)</f>
        <v>0</v>
      </c>
      <c r="Z8">
        <f>IF(G8="C",1,0)</f>
        <v>0</v>
      </c>
      <c r="AA8">
        <f>IF(G8="S",1,0)</f>
        <v>1</v>
      </c>
      <c r="AB8">
        <f>IF(G8="U",1,0)</f>
        <v>0</v>
      </c>
      <c r="AC8" s="5">
        <f>IF(AND(ISNUMBER(H8),NOT(ISNUMBER(P8))),1,0)</f>
        <v>0</v>
      </c>
      <c r="AD8" s="5">
        <f>IF(AND(ISNUMBER(H8),ISNUMBER(P8)),1,0)</f>
        <v>1</v>
      </c>
      <c r="AE8" s="5">
        <f>W8</f>
        <v>2.0099999999999998</v>
      </c>
      <c r="AF8" s="5">
        <f>X8</f>
        <v>6.5324999999999998</v>
      </c>
      <c r="AG8" s="5">
        <f>Y8</f>
        <v>0</v>
      </c>
      <c r="AH8" s="5">
        <f>IF(OR(G8="C",G8="S",G8="U"),1,0)</f>
        <v>1</v>
      </c>
      <c r="AI8" s="5">
        <f>IF(ISNUMBER(H8),1,0)</f>
        <v>1</v>
      </c>
      <c r="AJ8" s="5">
        <f>IF(ISNUMBER(P8),1,0)</f>
        <v>1</v>
      </c>
      <c r="AK8" s="5">
        <f>IF(AI8=1,IF(J8&gt;0,1,0),"")</f>
        <v>0</v>
      </c>
      <c r="AL8" s="5">
        <f>IF(AJ8=1,IF(OR(Q8&gt;0,R8&gt;0),1,0),"")</f>
        <v>1</v>
      </c>
    </row>
    <row r="9" spans="1:38">
      <c r="A9">
        <v>463481</v>
      </c>
      <c r="B9" t="s">
        <v>591</v>
      </c>
      <c r="C9" t="s">
        <v>23</v>
      </c>
      <c r="D9" t="s">
        <v>24</v>
      </c>
      <c r="E9">
        <v>11</v>
      </c>
      <c r="F9">
        <v>318760</v>
      </c>
      <c r="G9" t="s">
        <v>25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 t="s">
        <v>26</v>
      </c>
      <c r="O9" t="s">
        <v>26</v>
      </c>
      <c r="P9">
        <v>1</v>
      </c>
      <c r="Q9">
        <v>0</v>
      </c>
      <c r="R9">
        <v>1</v>
      </c>
      <c r="S9">
        <v>0</v>
      </c>
      <c r="T9">
        <v>3.1372</v>
      </c>
      <c r="U9">
        <v>9.0899999999999995E-2</v>
      </c>
      <c r="V9">
        <v>1</v>
      </c>
      <c r="W9">
        <f>E9/100</f>
        <v>0.11</v>
      </c>
      <c r="X9">
        <f>F9/1000000</f>
        <v>0.31875999999999999</v>
      </c>
      <c r="Y9">
        <f>IF(D9="C",1,0)</f>
        <v>0</v>
      </c>
      <c r="Z9">
        <f>IF(G9="C",1,0)</f>
        <v>0</v>
      </c>
      <c r="AA9">
        <f>IF(G9="S",1,0)</f>
        <v>1</v>
      </c>
      <c r="AB9">
        <f>IF(G9="U",1,0)</f>
        <v>0</v>
      </c>
      <c r="AC9" s="5">
        <f>IF(AND(ISNUMBER(H9),NOT(ISNUMBER(P9))),1,0)</f>
        <v>0</v>
      </c>
      <c r="AD9" s="5">
        <f>IF(AND(ISNUMBER(H9),ISNUMBER(P9)),1,0)</f>
        <v>1</v>
      </c>
      <c r="AE9" s="5">
        <f>W9</f>
        <v>0.11</v>
      </c>
      <c r="AF9" s="5">
        <f>X9</f>
        <v>0.31875999999999999</v>
      </c>
      <c r="AG9" s="5">
        <f>Y9</f>
        <v>0</v>
      </c>
      <c r="AH9" s="5">
        <f>IF(OR(G9="C",G9="S",G9="U"),1,0)</f>
        <v>1</v>
      </c>
      <c r="AI9" s="5">
        <f>IF(ISNUMBER(H9),1,0)</f>
        <v>1</v>
      </c>
      <c r="AJ9" s="5">
        <f>IF(ISNUMBER(P9),1,0)</f>
        <v>1</v>
      </c>
      <c r="AK9" s="5">
        <f>IF(AI9=1,IF(J9&gt;0,1,0),"")</f>
        <v>0</v>
      </c>
      <c r="AL9" s="5">
        <f>IF(AJ9=1,IF(OR(Q9&gt;0,R9&gt;0),1,0),"")</f>
        <v>1</v>
      </c>
    </row>
    <row r="10" spans="1:38">
      <c r="A10">
        <v>506286</v>
      </c>
      <c r="B10" t="s">
        <v>631</v>
      </c>
      <c r="C10" t="s">
        <v>23</v>
      </c>
      <c r="D10" t="s">
        <v>24</v>
      </c>
      <c r="E10">
        <v>19</v>
      </c>
      <c r="F10">
        <v>260000</v>
      </c>
      <c r="H10">
        <v>1</v>
      </c>
      <c r="I10">
        <v>1</v>
      </c>
      <c r="J10">
        <v>0</v>
      </c>
      <c r="K10">
        <v>0</v>
      </c>
      <c r="L10">
        <v>0</v>
      </c>
      <c r="M10" t="s">
        <v>26</v>
      </c>
      <c r="N10">
        <v>0</v>
      </c>
      <c r="O10" t="s">
        <v>26</v>
      </c>
      <c r="P10">
        <v>1</v>
      </c>
      <c r="Q10">
        <v>0</v>
      </c>
      <c r="R10">
        <v>1</v>
      </c>
      <c r="S10">
        <v>1</v>
      </c>
      <c r="T10">
        <v>3.8462000000000001</v>
      </c>
      <c r="U10">
        <v>5.2600000000000001E-2</v>
      </c>
      <c r="V10">
        <v>1</v>
      </c>
      <c r="W10">
        <f>E10/100</f>
        <v>0.19</v>
      </c>
      <c r="X10">
        <f>F10/1000000</f>
        <v>0.26</v>
      </c>
      <c r="Y10">
        <f>IF(D10="C",1,0)</f>
        <v>0</v>
      </c>
      <c r="Z10">
        <f>IF(G10="C",1,0)</f>
        <v>0</v>
      </c>
      <c r="AA10">
        <f>IF(G10="S",1,0)</f>
        <v>0</v>
      </c>
      <c r="AB10">
        <f>IF(G10="U",1,0)</f>
        <v>0</v>
      </c>
      <c r="AC10" s="5">
        <f>IF(AND(ISNUMBER(H10),NOT(ISNUMBER(P10))),1,0)</f>
        <v>0</v>
      </c>
      <c r="AD10" s="5">
        <f>IF(AND(ISNUMBER(H10),ISNUMBER(P10)),1,0)</f>
        <v>1</v>
      </c>
      <c r="AE10" s="5">
        <f>W10</f>
        <v>0.19</v>
      </c>
      <c r="AF10" s="5">
        <f>X10</f>
        <v>0.26</v>
      </c>
      <c r="AG10" s="5">
        <f>Y10</f>
        <v>0</v>
      </c>
      <c r="AH10" s="5">
        <f>IF(OR(G10="C",G10="S",G10="U"),1,0)</f>
        <v>0</v>
      </c>
      <c r="AI10" s="5">
        <f>IF(ISNUMBER(H10),1,0)</f>
        <v>1</v>
      </c>
      <c r="AJ10" s="5">
        <f>IF(ISNUMBER(P10),1,0)</f>
        <v>1</v>
      </c>
      <c r="AK10" s="5">
        <f>IF(AI10=1,IF(J10&gt;0,1,0),"")</f>
        <v>0</v>
      </c>
      <c r="AL10" s="5">
        <f>IF(AJ10=1,IF(OR(Q10&gt;0,R10&gt;0),1,0),"")</f>
        <v>1</v>
      </c>
    </row>
    <row r="11" spans="1:38">
      <c r="A11">
        <v>313</v>
      </c>
      <c r="B11" t="s">
        <v>22</v>
      </c>
      <c r="C11" t="s">
        <v>23</v>
      </c>
      <c r="D11" t="s">
        <v>24</v>
      </c>
      <c r="E11">
        <v>6</v>
      </c>
      <c r="F11">
        <v>321000</v>
      </c>
      <c r="G11" t="s">
        <v>25</v>
      </c>
      <c r="H11" t="s">
        <v>26</v>
      </c>
      <c r="I11" t="s">
        <v>26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>
        <v>2</v>
      </c>
      <c r="Q11">
        <v>2</v>
      </c>
      <c r="R11">
        <v>2</v>
      </c>
      <c r="S11">
        <v>1</v>
      </c>
      <c r="T11">
        <v>6.2305000000000001</v>
      </c>
      <c r="U11">
        <v>0.33329999999999999</v>
      </c>
      <c r="V11">
        <v>1</v>
      </c>
      <c r="W11">
        <f>E11/100</f>
        <v>0.06</v>
      </c>
      <c r="X11">
        <f>F11/1000000</f>
        <v>0.32100000000000001</v>
      </c>
      <c r="Y11">
        <f>IF(D11="C",1,0)</f>
        <v>0</v>
      </c>
      <c r="Z11">
        <f>IF(G11="C",1,0)</f>
        <v>0</v>
      </c>
      <c r="AA11">
        <f>IF(G11="S",1,0)</f>
        <v>1</v>
      </c>
      <c r="AB11">
        <f>IF(G11="U",1,0)</f>
        <v>0</v>
      </c>
      <c r="AC11" s="5">
        <f>IF(AND(ISNUMBER(H11),NOT(ISNUMBER(P11))),1,0)</f>
        <v>0</v>
      </c>
      <c r="AD11" s="5">
        <f>IF(AND(ISNUMBER(H11),ISNUMBER(P11)),1,0)</f>
        <v>0</v>
      </c>
      <c r="AE11" s="5">
        <f>W11</f>
        <v>0.06</v>
      </c>
      <c r="AF11" s="5">
        <f>X11</f>
        <v>0.32100000000000001</v>
      </c>
      <c r="AG11" s="5">
        <f>Y11</f>
        <v>0</v>
      </c>
      <c r="AH11" s="5">
        <f>IF(OR(G11="C",G11="S",G11="U"),1,0)</f>
        <v>1</v>
      </c>
      <c r="AI11" s="5">
        <f>IF(ISNUMBER(H11),1,0)</f>
        <v>0</v>
      </c>
      <c r="AJ11" s="5">
        <f>IF(ISNUMBER(P11),1,0)</f>
        <v>1</v>
      </c>
      <c r="AK11" s="5" t="str">
        <f>IF(AI11=1,IF(J11&gt;0,1,0),"")</f>
        <v/>
      </c>
      <c r="AL11" s="5">
        <f>IF(AJ11=1,IF(OR(Q11&gt;0,R11&gt;0),1,0),"")</f>
        <v>1</v>
      </c>
    </row>
    <row r="12" spans="1:38">
      <c r="A12">
        <v>344</v>
      </c>
      <c r="B12" t="s">
        <v>28</v>
      </c>
      <c r="C12" t="s">
        <v>23</v>
      </c>
      <c r="D12" t="s">
        <v>24</v>
      </c>
      <c r="E12">
        <v>140</v>
      </c>
      <c r="F12">
        <v>262292</v>
      </c>
      <c r="G12" t="s">
        <v>25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>
        <v>1</v>
      </c>
      <c r="Q12">
        <v>0</v>
      </c>
      <c r="R12">
        <v>1</v>
      </c>
      <c r="S12">
        <v>0</v>
      </c>
      <c r="T12">
        <v>3.8125</v>
      </c>
      <c r="U12">
        <v>7.1000000000000004E-3</v>
      </c>
      <c r="V12">
        <v>1</v>
      </c>
      <c r="W12">
        <f>E12/100</f>
        <v>1.4</v>
      </c>
      <c r="X12">
        <f>F12/1000000</f>
        <v>0.26229200000000003</v>
      </c>
      <c r="Y12">
        <f>IF(D12="C",1,0)</f>
        <v>0</v>
      </c>
      <c r="Z12">
        <f>IF(G12="C",1,0)</f>
        <v>0</v>
      </c>
      <c r="AA12">
        <f>IF(G12="S",1,0)</f>
        <v>1</v>
      </c>
      <c r="AB12">
        <f>IF(G12="U",1,0)</f>
        <v>0</v>
      </c>
      <c r="AC12" s="5">
        <f>IF(AND(ISNUMBER(H12),NOT(ISNUMBER(P12))),1,0)</f>
        <v>0</v>
      </c>
      <c r="AD12" s="5">
        <f>IF(AND(ISNUMBER(H12),ISNUMBER(P12)),1,0)</f>
        <v>0</v>
      </c>
      <c r="AE12" s="5">
        <f>W12</f>
        <v>1.4</v>
      </c>
      <c r="AF12" s="5">
        <f>X12</f>
        <v>0.26229200000000003</v>
      </c>
      <c r="AG12" s="5">
        <f>Y12</f>
        <v>0</v>
      </c>
      <c r="AH12" s="5">
        <f>IF(OR(G12="C",G12="S",G12="U"),1,0)</f>
        <v>1</v>
      </c>
      <c r="AI12" s="5">
        <f>IF(ISNUMBER(H12),1,0)</f>
        <v>0</v>
      </c>
      <c r="AJ12" s="5">
        <f>IF(ISNUMBER(P12),1,0)</f>
        <v>1</v>
      </c>
      <c r="AK12" s="5" t="str">
        <f>IF(AI12=1,IF(J12&gt;0,1,0),"")</f>
        <v/>
      </c>
      <c r="AL12" s="5">
        <f>IF(AJ12=1,IF(OR(Q12&gt;0,R12&gt;0),1,0),"")</f>
        <v>1</v>
      </c>
    </row>
    <row r="13" spans="1:38">
      <c r="A13">
        <v>2685</v>
      </c>
      <c r="B13" t="s">
        <v>29</v>
      </c>
      <c r="C13" t="s">
        <v>30</v>
      </c>
      <c r="D13" t="s">
        <v>24</v>
      </c>
      <c r="E13">
        <v>19</v>
      </c>
      <c r="F13">
        <v>1618852</v>
      </c>
      <c r="G13" t="s">
        <v>25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>
        <v>1</v>
      </c>
      <c r="Q13">
        <v>0</v>
      </c>
      <c r="R13">
        <v>1</v>
      </c>
      <c r="S13">
        <v>1</v>
      </c>
      <c r="T13">
        <v>0.61770000000000003</v>
      </c>
      <c r="U13">
        <v>5.2600000000000001E-2</v>
      </c>
      <c r="V13">
        <v>1</v>
      </c>
      <c r="W13">
        <f>E13/100</f>
        <v>0.19</v>
      </c>
      <c r="X13">
        <f>F13/1000000</f>
        <v>1.618852</v>
      </c>
      <c r="Y13">
        <f>IF(D13="C",1,0)</f>
        <v>0</v>
      </c>
      <c r="Z13">
        <f>IF(G13="C",1,0)</f>
        <v>0</v>
      </c>
      <c r="AA13">
        <f>IF(G13="S",1,0)</f>
        <v>1</v>
      </c>
      <c r="AB13">
        <f>IF(G13="U",1,0)</f>
        <v>0</v>
      </c>
      <c r="AC13" s="5">
        <f>IF(AND(ISNUMBER(H13),NOT(ISNUMBER(P13))),1,0)</f>
        <v>0</v>
      </c>
      <c r="AD13" s="5">
        <f>IF(AND(ISNUMBER(H13),ISNUMBER(P13)),1,0)</f>
        <v>0</v>
      </c>
      <c r="AE13" s="5">
        <f>W13</f>
        <v>0.19</v>
      </c>
      <c r="AF13" s="5">
        <f>X13</f>
        <v>1.618852</v>
      </c>
      <c r="AG13" s="5">
        <f>Y13</f>
        <v>0</v>
      </c>
      <c r="AH13" s="5">
        <f>IF(OR(G13="C",G13="S",G13="U"),1,0)</f>
        <v>1</v>
      </c>
      <c r="AI13" s="5">
        <f>IF(ISNUMBER(H13),1,0)</f>
        <v>0</v>
      </c>
      <c r="AJ13" s="5">
        <f>IF(ISNUMBER(P13),1,0)</f>
        <v>1</v>
      </c>
      <c r="AK13" s="5" t="str">
        <f>IF(AI13=1,IF(J13&gt;0,1,0),"")</f>
        <v/>
      </c>
      <c r="AL13" s="5">
        <f>IF(AJ13=1,IF(OR(Q13&gt;0,R13&gt;0),1,0),"")</f>
        <v>1</v>
      </c>
    </row>
    <row r="14" spans="1:38">
      <c r="A14">
        <v>5360</v>
      </c>
      <c r="B14" t="s">
        <v>32</v>
      </c>
      <c r="C14" t="s">
        <v>23</v>
      </c>
      <c r="D14" t="s">
        <v>24</v>
      </c>
      <c r="E14">
        <v>5</v>
      </c>
      <c r="F14">
        <v>3250</v>
      </c>
      <c r="G14" t="s">
        <v>33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>
        <v>1</v>
      </c>
      <c r="Q14">
        <v>0</v>
      </c>
      <c r="R14">
        <v>1</v>
      </c>
      <c r="S14">
        <v>1</v>
      </c>
      <c r="T14">
        <v>307.69229999999999</v>
      </c>
      <c r="U14">
        <v>0.2</v>
      </c>
      <c r="V14">
        <v>1</v>
      </c>
      <c r="W14">
        <f>E14/100</f>
        <v>0.05</v>
      </c>
      <c r="X14">
        <f>F14/1000000</f>
        <v>3.2499999999999999E-3</v>
      </c>
      <c r="Y14">
        <f>IF(D14="C",1,0)</f>
        <v>0</v>
      </c>
      <c r="Z14">
        <f>IF(G14="C",1,0)</f>
        <v>1</v>
      </c>
      <c r="AA14">
        <f>IF(G14="S",1,0)</f>
        <v>0</v>
      </c>
      <c r="AB14">
        <f>IF(G14="U",1,0)</f>
        <v>0</v>
      </c>
      <c r="AC14" s="5">
        <f>IF(AND(ISNUMBER(H14),NOT(ISNUMBER(P14))),1,0)</f>
        <v>0</v>
      </c>
      <c r="AD14" s="5">
        <f>IF(AND(ISNUMBER(H14),ISNUMBER(P14)),1,0)</f>
        <v>0</v>
      </c>
      <c r="AE14" s="5">
        <f>W14</f>
        <v>0.05</v>
      </c>
      <c r="AF14" s="5">
        <f>X14</f>
        <v>3.2499999999999999E-3</v>
      </c>
      <c r="AG14" s="5">
        <f>Y14</f>
        <v>0</v>
      </c>
      <c r="AH14" s="5">
        <f>IF(OR(G14="C",G14="S",G14="U"),1,0)</f>
        <v>1</v>
      </c>
      <c r="AI14" s="5">
        <f>IF(ISNUMBER(H14),1,0)</f>
        <v>0</v>
      </c>
      <c r="AJ14" s="5">
        <f>IF(ISNUMBER(P14),1,0)</f>
        <v>1</v>
      </c>
      <c r="AK14" s="5" t="str">
        <f>IF(AI14=1,IF(J14&gt;0,1,0),"")</f>
        <v/>
      </c>
      <c r="AL14" s="5">
        <f>IF(AJ14=1,IF(OR(Q14&gt;0,R14&gt;0),1,0),"")</f>
        <v>1</v>
      </c>
    </row>
    <row r="15" spans="1:38">
      <c r="A15">
        <v>5891</v>
      </c>
      <c r="B15" t="s">
        <v>34</v>
      </c>
      <c r="C15" t="s">
        <v>23</v>
      </c>
      <c r="D15" t="s">
        <v>24</v>
      </c>
      <c r="E15">
        <v>48</v>
      </c>
      <c r="F15">
        <v>3310000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>
        <v>1</v>
      </c>
      <c r="Q15">
        <v>0</v>
      </c>
      <c r="R15">
        <v>0</v>
      </c>
      <c r="S15">
        <v>1</v>
      </c>
      <c r="T15">
        <v>0.30209999999999998</v>
      </c>
      <c r="U15">
        <v>2.0799999999999999E-2</v>
      </c>
      <c r="V15">
        <v>0</v>
      </c>
      <c r="W15">
        <f>E15/100</f>
        <v>0.48</v>
      </c>
      <c r="X15">
        <f>F15/1000000</f>
        <v>3.31</v>
      </c>
      <c r="Y15">
        <f>IF(D15="C",1,0)</f>
        <v>0</v>
      </c>
      <c r="Z15">
        <f>IF(G15="C",1,0)</f>
        <v>0</v>
      </c>
      <c r="AA15">
        <f>IF(G15="S",1,0)</f>
        <v>0</v>
      </c>
      <c r="AB15">
        <f>IF(G15="U",1,0)</f>
        <v>0</v>
      </c>
      <c r="AC15" s="5">
        <f>IF(AND(ISNUMBER(H15),NOT(ISNUMBER(P15))),1,0)</f>
        <v>0</v>
      </c>
      <c r="AD15" s="5">
        <f>IF(AND(ISNUMBER(H15),ISNUMBER(P15)),1,0)</f>
        <v>0</v>
      </c>
      <c r="AE15" s="5">
        <f>W15</f>
        <v>0.48</v>
      </c>
      <c r="AF15" s="5">
        <f>X15</f>
        <v>3.31</v>
      </c>
      <c r="AG15" s="5">
        <f>Y15</f>
        <v>0</v>
      </c>
      <c r="AH15" s="5">
        <f>IF(OR(G15="C",G15="S",G15="U"),1,0)</f>
        <v>0</v>
      </c>
      <c r="AI15" s="5">
        <f>IF(ISNUMBER(H15),1,0)</f>
        <v>0</v>
      </c>
      <c r="AJ15" s="5">
        <f>IF(ISNUMBER(P15),1,0)</f>
        <v>1</v>
      </c>
      <c r="AK15" s="5" t="str">
        <f>IF(AI15=1,IF(J15&gt;0,1,0),"")</f>
        <v/>
      </c>
      <c r="AL15" s="5">
        <f>IF(AJ15=1,IF(OR(Q15&gt;0,R15&gt;0),1,0),"")</f>
        <v>0</v>
      </c>
    </row>
    <row r="16" spans="1:38">
      <c r="A16">
        <v>5900</v>
      </c>
      <c r="B16" t="s">
        <v>35</v>
      </c>
      <c r="C16" t="s">
        <v>23</v>
      </c>
      <c r="D16" t="s">
        <v>24</v>
      </c>
      <c r="E16">
        <v>3</v>
      </c>
      <c r="F16">
        <v>33295</v>
      </c>
      <c r="G16" t="s">
        <v>25</v>
      </c>
      <c r="H16" t="s">
        <v>26</v>
      </c>
      <c r="I16" t="s">
        <v>26</v>
      </c>
      <c r="J16" t="s">
        <v>26</v>
      </c>
      <c r="K16" t="s">
        <v>26</v>
      </c>
      <c r="L16" t="s">
        <v>26</v>
      </c>
      <c r="M16" t="s">
        <v>26</v>
      </c>
      <c r="N16" t="s">
        <v>26</v>
      </c>
      <c r="O16" t="s">
        <v>26</v>
      </c>
      <c r="P16">
        <v>1</v>
      </c>
      <c r="Q16">
        <v>0</v>
      </c>
      <c r="R16">
        <v>1</v>
      </c>
      <c r="S16">
        <v>1</v>
      </c>
      <c r="T16">
        <v>30.034500000000001</v>
      </c>
      <c r="U16">
        <v>0.33329999999999999</v>
      </c>
      <c r="V16">
        <v>1</v>
      </c>
      <c r="W16">
        <f>E16/100</f>
        <v>0.03</v>
      </c>
      <c r="X16">
        <f>F16/1000000</f>
        <v>3.3294999999999998E-2</v>
      </c>
      <c r="Y16">
        <f>IF(D16="C",1,0)</f>
        <v>0</v>
      </c>
      <c r="Z16">
        <f>IF(G16="C",1,0)</f>
        <v>0</v>
      </c>
      <c r="AA16">
        <f>IF(G16="S",1,0)</f>
        <v>1</v>
      </c>
      <c r="AB16">
        <f>IF(G16="U",1,0)</f>
        <v>0</v>
      </c>
      <c r="AC16" s="5">
        <f>IF(AND(ISNUMBER(H16),NOT(ISNUMBER(P16))),1,0)</f>
        <v>0</v>
      </c>
      <c r="AD16" s="5">
        <f>IF(AND(ISNUMBER(H16),ISNUMBER(P16)),1,0)</f>
        <v>0</v>
      </c>
      <c r="AE16" s="5">
        <f>W16</f>
        <v>0.03</v>
      </c>
      <c r="AF16" s="5">
        <f>X16</f>
        <v>3.3294999999999998E-2</v>
      </c>
      <c r="AG16" s="5">
        <f>Y16</f>
        <v>0</v>
      </c>
      <c r="AH16" s="5">
        <f>IF(OR(G16="C",G16="S",G16="U"),1,0)</f>
        <v>1</v>
      </c>
      <c r="AI16" s="5">
        <f>IF(ISNUMBER(H16),1,0)</f>
        <v>0</v>
      </c>
      <c r="AJ16" s="5">
        <f>IF(ISNUMBER(P16),1,0)</f>
        <v>1</v>
      </c>
      <c r="AK16" s="5" t="str">
        <f>IF(AI16=1,IF(J16&gt;0,1,0),"")</f>
        <v/>
      </c>
      <c r="AL16" s="5">
        <f>IF(AJ16=1,IF(OR(Q16&gt;0,R16&gt;0),1,0),"")</f>
        <v>1</v>
      </c>
    </row>
    <row r="17" spans="1:38">
      <c r="A17">
        <v>6476</v>
      </c>
      <c r="B17" t="s">
        <v>36</v>
      </c>
      <c r="C17" t="s">
        <v>37</v>
      </c>
      <c r="D17" t="s">
        <v>24</v>
      </c>
      <c r="E17">
        <v>1</v>
      </c>
      <c r="F17">
        <v>3517</v>
      </c>
      <c r="G17" t="s">
        <v>33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>
        <v>1</v>
      </c>
      <c r="Q17">
        <v>1</v>
      </c>
      <c r="R17">
        <v>1</v>
      </c>
      <c r="S17">
        <v>0</v>
      </c>
      <c r="T17">
        <v>284.33319999999998</v>
      </c>
      <c r="U17">
        <v>1</v>
      </c>
      <c r="V17">
        <v>1</v>
      </c>
      <c r="W17">
        <f>E17/100</f>
        <v>0.01</v>
      </c>
      <c r="X17">
        <f>F17/1000000</f>
        <v>3.5170000000000002E-3</v>
      </c>
      <c r="Y17">
        <f>IF(D17="C",1,0)</f>
        <v>0</v>
      </c>
      <c r="Z17">
        <f>IF(G17="C",1,0)</f>
        <v>1</v>
      </c>
      <c r="AA17">
        <f>IF(G17="S",1,0)</f>
        <v>0</v>
      </c>
      <c r="AB17">
        <f>IF(G17="U",1,0)</f>
        <v>0</v>
      </c>
      <c r="AC17" s="5">
        <f>IF(AND(ISNUMBER(H17),NOT(ISNUMBER(P17))),1,0)</f>
        <v>0</v>
      </c>
      <c r="AD17" s="5">
        <f>IF(AND(ISNUMBER(H17),ISNUMBER(P17)),1,0)</f>
        <v>0</v>
      </c>
      <c r="AE17" s="5">
        <f>W17</f>
        <v>0.01</v>
      </c>
      <c r="AF17" s="5">
        <f>X17</f>
        <v>3.5170000000000002E-3</v>
      </c>
      <c r="AG17" s="5">
        <f>Y17</f>
        <v>0</v>
      </c>
      <c r="AH17" s="5">
        <f>IF(OR(G17="C",G17="S",G17="U"),1,0)</f>
        <v>1</v>
      </c>
      <c r="AI17" s="5">
        <f>IF(ISNUMBER(H17),1,0)</f>
        <v>0</v>
      </c>
      <c r="AJ17" s="5">
        <f>IF(ISNUMBER(P17),1,0)</f>
        <v>1</v>
      </c>
      <c r="AK17" s="5" t="str">
        <f>IF(AI17=1,IF(J17&gt;0,1,0),"")</f>
        <v/>
      </c>
      <c r="AL17" s="5">
        <f>IF(AJ17=1,IF(OR(Q17&gt;0,R17&gt;0),1,0),"")</f>
        <v>1</v>
      </c>
    </row>
    <row r="18" spans="1:38">
      <c r="A18">
        <v>6610</v>
      </c>
      <c r="B18" t="s">
        <v>38</v>
      </c>
      <c r="C18" t="s">
        <v>23</v>
      </c>
      <c r="D18" t="s">
        <v>33</v>
      </c>
      <c r="E18">
        <v>1</v>
      </c>
      <c r="F18">
        <v>70000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>
        <v>1</v>
      </c>
      <c r="Q18">
        <v>0</v>
      </c>
      <c r="R18">
        <v>1</v>
      </c>
      <c r="S18">
        <v>1</v>
      </c>
      <c r="T18">
        <v>14.2857</v>
      </c>
      <c r="U18">
        <v>1</v>
      </c>
      <c r="V18">
        <v>1</v>
      </c>
      <c r="W18">
        <f>E18/100</f>
        <v>0.01</v>
      </c>
      <c r="X18">
        <f>F18/1000000</f>
        <v>7.0000000000000007E-2</v>
      </c>
      <c r="Y18">
        <f>IF(D18="C",1,0)</f>
        <v>1</v>
      </c>
      <c r="Z18">
        <f>IF(G18="C",1,0)</f>
        <v>0</v>
      </c>
      <c r="AA18">
        <f>IF(G18="S",1,0)</f>
        <v>0</v>
      </c>
      <c r="AB18">
        <f>IF(G18="U",1,0)</f>
        <v>0</v>
      </c>
      <c r="AC18" s="5">
        <f>IF(AND(ISNUMBER(H18),NOT(ISNUMBER(P18))),1,0)</f>
        <v>0</v>
      </c>
      <c r="AD18" s="5">
        <f>IF(AND(ISNUMBER(H18),ISNUMBER(P18)),1,0)</f>
        <v>0</v>
      </c>
      <c r="AE18" s="5">
        <f>W18</f>
        <v>0.01</v>
      </c>
      <c r="AF18" s="5">
        <f>X18</f>
        <v>7.0000000000000007E-2</v>
      </c>
      <c r="AG18" s="5">
        <f>Y18</f>
        <v>1</v>
      </c>
      <c r="AH18" s="5">
        <f>IF(OR(G18="C",G18="S",G18="U"),1,0)</f>
        <v>0</v>
      </c>
      <c r="AI18" s="5">
        <f>IF(ISNUMBER(H18),1,0)</f>
        <v>0</v>
      </c>
      <c r="AJ18" s="5">
        <f>IF(ISNUMBER(P18),1,0)</f>
        <v>1</v>
      </c>
      <c r="AK18" s="5" t="str">
        <f>IF(AI18=1,IF(J18&gt;0,1,0),"")</f>
        <v/>
      </c>
      <c r="AL18" s="5">
        <f>IF(AJ18=1,IF(OR(Q18&gt;0,R18&gt;0),1,0),"")</f>
        <v>1</v>
      </c>
    </row>
    <row r="19" spans="1:38">
      <c r="A19">
        <v>6694</v>
      </c>
      <c r="B19" t="s">
        <v>39</v>
      </c>
      <c r="C19" t="s">
        <v>40</v>
      </c>
      <c r="D19" t="s">
        <v>33</v>
      </c>
      <c r="E19">
        <v>29</v>
      </c>
      <c r="F19">
        <v>300000</v>
      </c>
      <c r="H19" t="s">
        <v>26</v>
      </c>
      <c r="I19" t="s">
        <v>26</v>
      </c>
      <c r="J19" t="s">
        <v>26</v>
      </c>
      <c r="K19" t="s">
        <v>26</v>
      </c>
      <c r="L19" t="s">
        <v>26</v>
      </c>
      <c r="M19" t="s">
        <v>26</v>
      </c>
      <c r="N19" t="s">
        <v>26</v>
      </c>
      <c r="O19" t="s">
        <v>26</v>
      </c>
      <c r="P19">
        <v>1</v>
      </c>
      <c r="Q19">
        <v>0</v>
      </c>
      <c r="R19">
        <v>1</v>
      </c>
      <c r="S19">
        <v>0</v>
      </c>
      <c r="T19">
        <v>3.3332999999999999</v>
      </c>
      <c r="U19">
        <v>3.4500000000000003E-2</v>
      </c>
      <c r="V19">
        <v>1</v>
      </c>
      <c r="W19">
        <f>E19/100</f>
        <v>0.28999999999999998</v>
      </c>
      <c r="X19">
        <f>F19/1000000</f>
        <v>0.3</v>
      </c>
      <c r="Y19">
        <f>IF(D19="C",1,0)</f>
        <v>1</v>
      </c>
      <c r="Z19">
        <f>IF(G19="C",1,0)</f>
        <v>0</v>
      </c>
      <c r="AA19">
        <f>IF(G19="S",1,0)</f>
        <v>0</v>
      </c>
      <c r="AB19">
        <f>IF(G19="U",1,0)</f>
        <v>0</v>
      </c>
      <c r="AC19" s="5">
        <f>IF(AND(ISNUMBER(H19),NOT(ISNUMBER(P19))),1,0)</f>
        <v>0</v>
      </c>
      <c r="AD19" s="5">
        <f>IF(AND(ISNUMBER(H19),ISNUMBER(P19)),1,0)</f>
        <v>0</v>
      </c>
      <c r="AE19" s="5">
        <f>W19</f>
        <v>0.28999999999999998</v>
      </c>
      <c r="AF19" s="5">
        <f>X19</f>
        <v>0.3</v>
      </c>
      <c r="AG19" s="5">
        <f>Y19</f>
        <v>1</v>
      </c>
      <c r="AH19" s="5">
        <f>IF(OR(G19="C",G19="S",G19="U"),1,0)</f>
        <v>0</v>
      </c>
      <c r="AI19" s="5">
        <f>IF(ISNUMBER(H19),1,0)</f>
        <v>0</v>
      </c>
      <c r="AJ19" s="5">
        <f>IF(ISNUMBER(P19),1,0)</f>
        <v>1</v>
      </c>
      <c r="AK19" s="5" t="str">
        <f>IF(AI19=1,IF(J19&gt;0,1,0),"")</f>
        <v/>
      </c>
      <c r="AL19" s="5">
        <f>IF(AJ19=1,IF(OR(Q19&gt;0,R19&gt;0),1,0),"")</f>
        <v>1</v>
      </c>
    </row>
    <row r="20" spans="1:38">
      <c r="A20">
        <v>6903</v>
      </c>
      <c r="B20" t="s">
        <v>41</v>
      </c>
      <c r="C20" t="s">
        <v>42</v>
      </c>
      <c r="D20" t="s">
        <v>24</v>
      </c>
      <c r="E20">
        <v>38</v>
      </c>
      <c r="F20">
        <v>3249753</v>
      </c>
      <c r="G20" t="s">
        <v>25</v>
      </c>
      <c r="H20" t="s">
        <v>26</v>
      </c>
      <c r="I20" t="s">
        <v>26</v>
      </c>
      <c r="J20" t="s">
        <v>26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>
        <v>1</v>
      </c>
      <c r="Q20">
        <v>0</v>
      </c>
      <c r="R20">
        <v>1</v>
      </c>
      <c r="S20">
        <v>0</v>
      </c>
      <c r="T20">
        <v>0.30769999999999997</v>
      </c>
      <c r="U20">
        <v>2.63E-2</v>
      </c>
      <c r="V20">
        <v>1</v>
      </c>
      <c r="W20">
        <f>E20/100</f>
        <v>0.38</v>
      </c>
      <c r="X20">
        <f>F20/1000000</f>
        <v>3.2497530000000001</v>
      </c>
      <c r="Y20">
        <f>IF(D20="C",1,0)</f>
        <v>0</v>
      </c>
      <c r="Z20">
        <f>IF(G20="C",1,0)</f>
        <v>0</v>
      </c>
      <c r="AA20">
        <f>IF(G20="S",1,0)</f>
        <v>1</v>
      </c>
      <c r="AB20">
        <f>IF(G20="U",1,0)</f>
        <v>0</v>
      </c>
      <c r="AC20" s="5">
        <f>IF(AND(ISNUMBER(H20),NOT(ISNUMBER(P20))),1,0)</f>
        <v>0</v>
      </c>
      <c r="AD20" s="5">
        <f>IF(AND(ISNUMBER(H20),ISNUMBER(P20)),1,0)</f>
        <v>0</v>
      </c>
      <c r="AE20" s="5">
        <f>W20</f>
        <v>0.38</v>
      </c>
      <c r="AF20" s="5">
        <f>X20</f>
        <v>3.2497530000000001</v>
      </c>
      <c r="AG20" s="5">
        <f>Y20</f>
        <v>0</v>
      </c>
      <c r="AH20" s="5">
        <f>IF(OR(G20="C",G20="S",G20="U"),1,0)</f>
        <v>1</v>
      </c>
      <c r="AI20" s="5">
        <f>IF(ISNUMBER(H20),1,0)</f>
        <v>0</v>
      </c>
      <c r="AJ20" s="5">
        <f>IF(ISNUMBER(P20),1,0)</f>
        <v>1</v>
      </c>
      <c r="AK20" s="5" t="str">
        <f>IF(AI20=1,IF(J20&gt;0,1,0),"")</f>
        <v/>
      </c>
      <c r="AL20" s="5">
        <f>IF(AJ20=1,IF(OR(Q20&gt;0,R20&gt;0),1,0),"")</f>
        <v>1</v>
      </c>
    </row>
    <row r="21" spans="1:38">
      <c r="A21">
        <v>7604</v>
      </c>
      <c r="B21" t="s">
        <v>43</v>
      </c>
      <c r="C21" t="s">
        <v>40</v>
      </c>
      <c r="D21" t="s">
        <v>24</v>
      </c>
      <c r="E21">
        <v>13</v>
      </c>
      <c r="F21">
        <v>387630</v>
      </c>
      <c r="G21" t="s">
        <v>33</v>
      </c>
      <c r="H21" t="s">
        <v>26</v>
      </c>
      <c r="I21" t="s">
        <v>26</v>
      </c>
      <c r="J21" t="s">
        <v>26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>
        <v>1</v>
      </c>
      <c r="Q21">
        <v>0</v>
      </c>
      <c r="R21">
        <v>1</v>
      </c>
      <c r="S21">
        <v>1</v>
      </c>
      <c r="T21">
        <v>2.5798000000000001</v>
      </c>
      <c r="U21">
        <v>7.6899999999999996E-2</v>
      </c>
      <c r="V21">
        <v>1</v>
      </c>
      <c r="W21">
        <f>E21/100</f>
        <v>0.13</v>
      </c>
      <c r="X21">
        <f>F21/1000000</f>
        <v>0.38762999999999997</v>
      </c>
      <c r="Y21">
        <f>IF(D21="C",1,0)</f>
        <v>0</v>
      </c>
      <c r="Z21">
        <f>IF(G21="C",1,0)</f>
        <v>1</v>
      </c>
      <c r="AA21">
        <f>IF(G21="S",1,0)</f>
        <v>0</v>
      </c>
      <c r="AB21">
        <f>IF(G21="U",1,0)</f>
        <v>0</v>
      </c>
      <c r="AC21" s="5">
        <f>IF(AND(ISNUMBER(H21),NOT(ISNUMBER(P21))),1,0)</f>
        <v>0</v>
      </c>
      <c r="AD21" s="5">
        <f>IF(AND(ISNUMBER(H21),ISNUMBER(P21)),1,0)</f>
        <v>0</v>
      </c>
      <c r="AE21" s="5">
        <f>W21</f>
        <v>0.13</v>
      </c>
      <c r="AF21" s="5">
        <f>X21</f>
        <v>0.38762999999999997</v>
      </c>
      <c r="AG21" s="5">
        <f>Y21</f>
        <v>0</v>
      </c>
      <c r="AH21" s="5">
        <f>IF(OR(G21="C",G21="S",G21="U"),1,0)</f>
        <v>1</v>
      </c>
      <c r="AI21" s="5">
        <f>IF(ISNUMBER(H21),1,0)</f>
        <v>0</v>
      </c>
      <c r="AJ21" s="5">
        <f>IF(ISNUMBER(P21),1,0)</f>
        <v>1</v>
      </c>
      <c r="AK21" s="5" t="str">
        <f>IF(AI21=1,IF(J21&gt;0,1,0),"")</f>
        <v/>
      </c>
      <c r="AL21" s="5">
        <f>IF(AJ21=1,IF(OR(Q21&gt;0,R21&gt;0),1,0),"")</f>
        <v>1</v>
      </c>
    </row>
    <row r="22" spans="1:38">
      <c r="A22">
        <v>9100</v>
      </c>
      <c r="B22" t="s">
        <v>45</v>
      </c>
      <c r="C22" t="s">
        <v>23</v>
      </c>
      <c r="D22" t="s">
        <v>24</v>
      </c>
      <c r="E22">
        <v>41</v>
      </c>
      <c r="F22">
        <v>1961884</v>
      </c>
      <c r="G22" t="s">
        <v>25</v>
      </c>
      <c r="H22" t="s">
        <v>26</v>
      </c>
      <c r="I22" t="s">
        <v>26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>
        <v>1</v>
      </c>
      <c r="Q22">
        <v>0</v>
      </c>
      <c r="R22">
        <v>1</v>
      </c>
      <c r="S22">
        <v>1</v>
      </c>
      <c r="T22">
        <v>0.50970000000000004</v>
      </c>
      <c r="U22">
        <v>2.4400000000000002E-2</v>
      </c>
      <c r="V22">
        <v>1</v>
      </c>
      <c r="W22">
        <f>E22/100</f>
        <v>0.41</v>
      </c>
      <c r="X22">
        <f>F22/1000000</f>
        <v>1.961884</v>
      </c>
      <c r="Y22">
        <f>IF(D22="C",1,0)</f>
        <v>0</v>
      </c>
      <c r="Z22">
        <f>IF(G22="C",1,0)</f>
        <v>0</v>
      </c>
      <c r="AA22">
        <f>IF(G22="S",1,0)</f>
        <v>1</v>
      </c>
      <c r="AB22">
        <f>IF(G22="U",1,0)</f>
        <v>0</v>
      </c>
      <c r="AC22" s="5">
        <f>IF(AND(ISNUMBER(H22),NOT(ISNUMBER(P22))),1,0)</f>
        <v>0</v>
      </c>
      <c r="AD22" s="5">
        <f>IF(AND(ISNUMBER(H22),ISNUMBER(P22)),1,0)</f>
        <v>0</v>
      </c>
      <c r="AE22" s="5">
        <f>W22</f>
        <v>0.41</v>
      </c>
      <c r="AF22" s="5">
        <f>X22</f>
        <v>1.961884</v>
      </c>
      <c r="AG22" s="5">
        <f>Y22</f>
        <v>0</v>
      </c>
      <c r="AH22" s="5">
        <f>IF(OR(G22="C",G22="S",G22="U"),1,0)</f>
        <v>1</v>
      </c>
      <c r="AI22" s="5">
        <f>IF(ISNUMBER(H22),1,0)</f>
        <v>0</v>
      </c>
      <c r="AJ22" s="5">
        <f>IF(ISNUMBER(P22),1,0)</f>
        <v>1</v>
      </c>
      <c r="AK22" s="5" t="str">
        <f>IF(AI22=1,IF(J22&gt;0,1,0),"")</f>
        <v/>
      </c>
      <c r="AL22" s="5">
        <f>IF(AJ22=1,IF(OR(Q22&gt;0,R22&gt;0),1,0),"")</f>
        <v>1</v>
      </c>
    </row>
    <row r="23" spans="1:38">
      <c r="A23">
        <v>9153</v>
      </c>
      <c r="B23" t="s">
        <v>46</v>
      </c>
      <c r="C23" t="s">
        <v>47</v>
      </c>
      <c r="D23" t="s">
        <v>24</v>
      </c>
      <c r="E23">
        <v>30</v>
      </c>
      <c r="F23">
        <v>1348420</v>
      </c>
      <c r="G23" t="s">
        <v>25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>
        <v>1</v>
      </c>
      <c r="Q23">
        <v>0</v>
      </c>
      <c r="R23">
        <v>1</v>
      </c>
      <c r="S23">
        <v>1</v>
      </c>
      <c r="T23">
        <v>0.74160000000000004</v>
      </c>
      <c r="U23">
        <v>3.3300000000000003E-2</v>
      </c>
      <c r="V23">
        <v>1</v>
      </c>
      <c r="W23">
        <f>E23/100</f>
        <v>0.3</v>
      </c>
      <c r="X23">
        <f>F23/1000000</f>
        <v>1.34842</v>
      </c>
      <c r="Y23">
        <f>IF(D23="C",1,0)</f>
        <v>0</v>
      </c>
      <c r="Z23">
        <f>IF(G23="C",1,0)</f>
        <v>0</v>
      </c>
      <c r="AA23">
        <f>IF(G23="S",1,0)</f>
        <v>1</v>
      </c>
      <c r="AB23">
        <f>IF(G23="U",1,0)</f>
        <v>0</v>
      </c>
      <c r="AC23" s="5">
        <f>IF(AND(ISNUMBER(H23),NOT(ISNUMBER(P23))),1,0)</f>
        <v>0</v>
      </c>
      <c r="AD23" s="5">
        <f>IF(AND(ISNUMBER(H23),ISNUMBER(P23)),1,0)</f>
        <v>0</v>
      </c>
      <c r="AE23" s="5">
        <f>W23</f>
        <v>0.3</v>
      </c>
      <c r="AF23" s="5">
        <f>X23</f>
        <v>1.34842</v>
      </c>
      <c r="AG23" s="5">
        <f>Y23</f>
        <v>0</v>
      </c>
      <c r="AH23" s="5">
        <f>IF(OR(G23="C",G23="S",G23="U"),1,0)</f>
        <v>1</v>
      </c>
      <c r="AI23" s="5">
        <f>IF(ISNUMBER(H23),1,0)</f>
        <v>0</v>
      </c>
      <c r="AJ23" s="5">
        <f>IF(ISNUMBER(P23),1,0)</f>
        <v>1</v>
      </c>
      <c r="AK23" s="5" t="str">
        <f>IF(AI23=1,IF(J23&gt;0,1,0),"")</f>
        <v/>
      </c>
      <c r="AL23" s="5">
        <f>IF(AJ23=1,IF(OR(Q23&gt;0,R23&gt;0),1,0),"")</f>
        <v>1</v>
      </c>
    </row>
    <row r="24" spans="1:38">
      <c r="A24">
        <v>10001</v>
      </c>
      <c r="B24" t="s">
        <v>48</v>
      </c>
      <c r="C24" t="s">
        <v>23</v>
      </c>
      <c r="D24" t="s">
        <v>24</v>
      </c>
      <c r="E24">
        <v>236</v>
      </c>
      <c r="F24">
        <v>3811715</v>
      </c>
      <c r="G24" t="s">
        <v>25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>
        <v>1</v>
      </c>
      <c r="Q24">
        <v>0</v>
      </c>
      <c r="R24">
        <v>0</v>
      </c>
      <c r="S24">
        <v>1</v>
      </c>
      <c r="T24">
        <v>0.26229999999999998</v>
      </c>
      <c r="U24">
        <v>4.1999999999999997E-3</v>
      </c>
      <c r="V24">
        <v>0</v>
      </c>
      <c r="W24">
        <f>E24/100</f>
        <v>2.36</v>
      </c>
      <c r="X24">
        <f>F24/1000000</f>
        <v>3.811715</v>
      </c>
      <c r="Y24">
        <f>IF(D24="C",1,0)</f>
        <v>0</v>
      </c>
      <c r="Z24">
        <f>IF(G24="C",1,0)</f>
        <v>0</v>
      </c>
      <c r="AA24">
        <f>IF(G24="S",1,0)</f>
        <v>1</v>
      </c>
      <c r="AB24">
        <f>IF(G24="U",1,0)</f>
        <v>0</v>
      </c>
      <c r="AC24" s="5">
        <f>IF(AND(ISNUMBER(H24),NOT(ISNUMBER(P24))),1,0)</f>
        <v>0</v>
      </c>
      <c r="AD24" s="5">
        <f>IF(AND(ISNUMBER(H24),ISNUMBER(P24)),1,0)</f>
        <v>0</v>
      </c>
      <c r="AE24" s="5">
        <f>W24</f>
        <v>2.36</v>
      </c>
      <c r="AF24" s="5">
        <f>X24</f>
        <v>3.811715</v>
      </c>
      <c r="AG24" s="5">
        <f>Y24</f>
        <v>0</v>
      </c>
      <c r="AH24" s="5">
        <f>IF(OR(G24="C",G24="S",G24="U"),1,0)</f>
        <v>1</v>
      </c>
      <c r="AI24" s="5">
        <f>IF(ISNUMBER(H24),1,0)</f>
        <v>0</v>
      </c>
      <c r="AJ24" s="5">
        <f>IF(ISNUMBER(P24),1,0)</f>
        <v>1</v>
      </c>
      <c r="AK24" s="5" t="str">
        <f>IF(AI24=1,IF(J24&gt;0,1,0),"")</f>
        <v/>
      </c>
      <c r="AL24" s="5">
        <f>IF(AJ24=1,IF(OR(Q24&gt;0,R24&gt;0),1,0),"")</f>
        <v>0</v>
      </c>
    </row>
    <row r="25" spans="1:38">
      <c r="A25">
        <v>10065</v>
      </c>
      <c r="B25" t="s">
        <v>49</v>
      </c>
      <c r="C25" t="s">
        <v>23</v>
      </c>
      <c r="D25" t="s">
        <v>24</v>
      </c>
      <c r="E25">
        <v>5</v>
      </c>
      <c r="F25">
        <v>84509</v>
      </c>
      <c r="G25" t="s">
        <v>33</v>
      </c>
      <c r="H25" t="s">
        <v>26</v>
      </c>
      <c r="I25" t="s">
        <v>26</v>
      </c>
      <c r="J25" t="s">
        <v>26</v>
      </c>
      <c r="K25" t="s">
        <v>26</v>
      </c>
      <c r="L25" t="s">
        <v>26</v>
      </c>
      <c r="M25" t="s">
        <v>26</v>
      </c>
      <c r="N25" t="s">
        <v>26</v>
      </c>
      <c r="O25" t="s">
        <v>26</v>
      </c>
      <c r="P25">
        <v>1</v>
      </c>
      <c r="Q25">
        <v>0</v>
      </c>
      <c r="R25">
        <v>1</v>
      </c>
      <c r="S25">
        <v>1</v>
      </c>
      <c r="T25">
        <v>11.8331</v>
      </c>
      <c r="U25">
        <v>0.2</v>
      </c>
      <c r="V25">
        <v>1</v>
      </c>
      <c r="W25">
        <f>E25/100</f>
        <v>0.05</v>
      </c>
      <c r="X25">
        <f>F25/1000000</f>
        <v>8.4509000000000001E-2</v>
      </c>
      <c r="Y25">
        <f>IF(D25="C",1,0)</f>
        <v>0</v>
      </c>
      <c r="Z25">
        <f>IF(G25="C",1,0)</f>
        <v>1</v>
      </c>
      <c r="AA25">
        <f>IF(G25="S",1,0)</f>
        <v>0</v>
      </c>
      <c r="AB25">
        <f>IF(G25="U",1,0)</f>
        <v>0</v>
      </c>
      <c r="AC25" s="5">
        <f>IF(AND(ISNUMBER(H25),NOT(ISNUMBER(P25))),1,0)</f>
        <v>0</v>
      </c>
      <c r="AD25" s="5">
        <f>IF(AND(ISNUMBER(H25),ISNUMBER(P25)),1,0)</f>
        <v>0</v>
      </c>
      <c r="AE25" s="5">
        <f>W25</f>
        <v>0.05</v>
      </c>
      <c r="AF25" s="5">
        <f>X25</f>
        <v>8.4509000000000001E-2</v>
      </c>
      <c r="AG25" s="5">
        <f>Y25</f>
        <v>0</v>
      </c>
      <c r="AH25" s="5">
        <f>IF(OR(G25="C",G25="S",G25="U"),1,0)</f>
        <v>1</v>
      </c>
      <c r="AI25" s="5">
        <f>IF(ISNUMBER(H25),1,0)</f>
        <v>0</v>
      </c>
      <c r="AJ25" s="5">
        <f>IF(ISNUMBER(P25),1,0)</f>
        <v>1</v>
      </c>
      <c r="AK25" s="5" t="str">
        <f>IF(AI25=1,IF(J25&gt;0,1,0),"")</f>
        <v/>
      </c>
      <c r="AL25" s="5">
        <f>IF(AJ25=1,IF(OR(Q25&gt;0,R25&gt;0),1,0),"")</f>
        <v>1</v>
      </c>
    </row>
    <row r="26" spans="1:38">
      <c r="A26">
        <v>10193</v>
      </c>
      <c r="B26" t="s">
        <v>50</v>
      </c>
      <c r="C26" t="s">
        <v>23</v>
      </c>
      <c r="D26" t="s">
        <v>24</v>
      </c>
      <c r="E26">
        <v>63</v>
      </c>
      <c r="F26">
        <v>2815947</v>
      </c>
      <c r="G26" t="s">
        <v>25</v>
      </c>
      <c r="H26" t="s">
        <v>26</v>
      </c>
      <c r="I26" t="s">
        <v>26</v>
      </c>
      <c r="J26" t="s">
        <v>26</v>
      </c>
      <c r="K26" t="s">
        <v>26</v>
      </c>
      <c r="L26" t="s">
        <v>26</v>
      </c>
      <c r="M26" t="s">
        <v>26</v>
      </c>
      <c r="N26" t="s">
        <v>26</v>
      </c>
      <c r="O26" t="s">
        <v>26</v>
      </c>
      <c r="P26">
        <v>1</v>
      </c>
      <c r="Q26">
        <v>0</v>
      </c>
      <c r="R26">
        <v>1</v>
      </c>
      <c r="S26">
        <v>0</v>
      </c>
      <c r="T26">
        <v>0.35510000000000003</v>
      </c>
      <c r="U26">
        <v>1.5900000000000001E-2</v>
      </c>
      <c r="V26">
        <v>1</v>
      </c>
      <c r="W26">
        <f>E26/100</f>
        <v>0.63</v>
      </c>
      <c r="X26">
        <f>F26/1000000</f>
        <v>2.815947</v>
      </c>
      <c r="Y26">
        <f>IF(D26="C",1,0)</f>
        <v>0</v>
      </c>
      <c r="Z26">
        <f>IF(G26="C",1,0)</f>
        <v>0</v>
      </c>
      <c r="AA26">
        <f>IF(G26="S",1,0)</f>
        <v>1</v>
      </c>
      <c r="AB26">
        <f>IF(G26="U",1,0)</f>
        <v>0</v>
      </c>
      <c r="AC26" s="5">
        <f>IF(AND(ISNUMBER(H26),NOT(ISNUMBER(P26))),1,0)</f>
        <v>0</v>
      </c>
      <c r="AD26" s="5">
        <f>IF(AND(ISNUMBER(H26),ISNUMBER(P26)),1,0)</f>
        <v>0</v>
      </c>
      <c r="AE26" s="5">
        <f>W26</f>
        <v>0.63</v>
      </c>
      <c r="AF26" s="5">
        <f>X26</f>
        <v>2.815947</v>
      </c>
      <c r="AG26" s="5">
        <f>Y26</f>
        <v>0</v>
      </c>
      <c r="AH26" s="5">
        <f>IF(OR(G26="C",G26="S",G26="U"),1,0)</f>
        <v>1</v>
      </c>
      <c r="AI26" s="5">
        <f>IF(ISNUMBER(H26),1,0)</f>
        <v>0</v>
      </c>
      <c r="AJ26" s="5">
        <f>IF(ISNUMBER(P26),1,0)</f>
        <v>1</v>
      </c>
      <c r="AK26" s="5" t="str">
        <f>IF(AI26=1,IF(J26&gt;0,1,0),"")</f>
        <v/>
      </c>
      <c r="AL26" s="5">
        <f>IF(AJ26=1,IF(OR(Q26&gt;0,R26&gt;0),1,0),"")</f>
        <v>1</v>
      </c>
    </row>
    <row r="27" spans="1:38">
      <c r="A27">
        <v>10478</v>
      </c>
      <c r="B27" t="s">
        <v>51</v>
      </c>
      <c r="C27" t="s">
        <v>23</v>
      </c>
      <c r="D27" t="s">
        <v>24</v>
      </c>
      <c r="E27">
        <v>13</v>
      </c>
      <c r="F27">
        <v>346000</v>
      </c>
      <c r="G27" t="s">
        <v>25</v>
      </c>
      <c r="H27" t="s">
        <v>26</v>
      </c>
      <c r="I27" t="s">
        <v>26</v>
      </c>
      <c r="J27" t="s">
        <v>26</v>
      </c>
      <c r="K27" t="s">
        <v>26</v>
      </c>
      <c r="L27" t="s">
        <v>26</v>
      </c>
      <c r="M27" t="s">
        <v>26</v>
      </c>
      <c r="N27" t="s">
        <v>26</v>
      </c>
      <c r="O27" t="s">
        <v>26</v>
      </c>
      <c r="P27">
        <v>1</v>
      </c>
      <c r="Q27">
        <v>0</v>
      </c>
      <c r="R27">
        <v>1</v>
      </c>
      <c r="S27">
        <v>1</v>
      </c>
      <c r="T27">
        <v>2.8902000000000001</v>
      </c>
      <c r="U27">
        <v>7.6899999999999996E-2</v>
      </c>
      <c r="V27">
        <v>1</v>
      </c>
      <c r="W27">
        <f>E27/100</f>
        <v>0.13</v>
      </c>
      <c r="X27">
        <f>F27/1000000</f>
        <v>0.34599999999999997</v>
      </c>
      <c r="Y27">
        <f>IF(D27="C",1,0)</f>
        <v>0</v>
      </c>
      <c r="Z27">
        <f>IF(G27="C",1,0)</f>
        <v>0</v>
      </c>
      <c r="AA27">
        <f>IF(G27="S",1,0)</f>
        <v>1</v>
      </c>
      <c r="AB27">
        <f>IF(G27="U",1,0)</f>
        <v>0</v>
      </c>
      <c r="AC27" s="5">
        <f>IF(AND(ISNUMBER(H27),NOT(ISNUMBER(P27))),1,0)</f>
        <v>0</v>
      </c>
      <c r="AD27" s="5">
        <f>IF(AND(ISNUMBER(H27),ISNUMBER(P27)),1,0)</f>
        <v>0</v>
      </c>
      <c r="AE27" s="5">
        <f>W27</f>
        <v>0.13</v>
      </c>
      <c r="AF27" s="5">
        <f>X27</f>
        <v>0.34599999999999997</v>
      </c>
      <c r="AG27" s="5">
        <f>Y27</f>
        <v>0</v>
      </c>
      <c r="AH27" s="5">
        <f>IF(OR(G27="C",G27="S",G27="U"),1,0)</f>
        <v>1</v>
      </c>
      <c r="AI27" s="5">
        <f>IF(ISNUMBER(H27),1,0)</f>
        <v>0</v>
      </c>
      <c r="AJ27" s="5">
        <f>IF(ISNUMBER(P27),1,0)</f>
        <v>1</v>
      </c>
      <c r="AK27" s="5" t="str">
        <f>IF(AI27=1,IF(J27&gt;0,1,0),"")</f>
        <v/>
      </c>
      <c r="AL27" s="5">
        <f>IF(AJ27=1,IF(OR(Q27&gt;0,R27&gt;0),1,0),"")</f>
        <v>1</v>
      </c>
    </row>
    <row r="28" spans="1:38">
      <c r="A28">
        <v>10532</v>
      </c>
      <c r="B28" t="s">
        <v>52</v>
      </c>
      <c r="C28" t="s">
        <v>23</v>
      </c>
      <c r="D28" t="s">
        <v>24</v>
      </c>
      <c r="E28">
        <v>62</v>
      </c>
      <c r="F28">
        <v>6750000</v>
      </c>
      <c r="G28" t="s">
        <v>25</v>
      </c>
      <c r="H28" t="s">
        <v>26</v>
      </c>
      <c r="I28" t="s">
        <v>26</v>
      </c>
      <c r="J28" t="s">
        <v>26</v>
      </c>
      <c r="K28" t="s">
        <v>26</v>
      </c>
      <c r="L28" t="s">
        <v>26</v>
      </c>
      <c r="M28" t="s">
        <v>26</v>
      </c>
      <c r="N28" t="s">
        <v>26</v>
      </c>
      <c r="O28" t="s">
        <v>26</v>
      </c>
      <c r="P28">
        <v>1</v>
      </c>
      <c r="Q28">
        <v>0</v>
      </c>
      <c r="R28">
        <v>0</v>
      </c>
      <c r="S28">
        <v>1</v>
      </c>
      <c r="T28">
        <v>0.14810000000000001</v>
      </c>
      <c r="U28">
        <v>1.61E-2</v>
      </c>
      <c r="V28">
        <v>0</v>
      </c>
      <c r="W28">
        <f>E28/100</f>
        <v>0.62</v>
      </c>
      <c r="X28">
        <f>F28/1000000</f>
        <v>6.75</v>
      </c>
      <c r="Y28">
        <f>IF(D28="C",1,0)</f>
        <v>0</v>
      </c>
      <c r="Z28">
        <f>IF(G28="C",1,0)</f>
        <v>0</v>
      </c>
      <c r="AA28">
        <f>IF(G28="S",1,0)</f>
        <v>1</v>
      </c>
      <c r="AB28">
        <f>IF(G28="U",1,0)</f>
        <v>0</v>
      </c>
      <c r="AC28" s="5">
        <f>IF(AND(ISNUMBER(H28),NOT(ISNUMBER(P28))),1,0)</f>
        <v>0</v>
      </c>
      <c r="AD28" s="5">
        <f>IF(AND(ISNUMBER(H28),ISNUMBER(P28)),1,0)</f>
        <v>0</v>
      </c>
      <c r="AE28" s="5">
        <f>W28</f>
        <v>0.62</v>
      </c>
      <c r="AF28" s="5">
        <f>X28</f>
        <v>6.75</v>
      </c>
      <c r="AG28" s="5">
        <f>Y28</f>
        <v>0</v>
      </c>
      <c r="AH28" s="5">
        <f>IF(OR(G28="C",G28="S",G28="U"),1,0)</f>
        <v>1</v>
      </c>
      <c r="AI28" s="5">
        <f>IF(ISNUMBER(H28),1,0)</f>
        <v>0</v>
      </c>
      <c r="AJ28" s="5">
        <f>IF(ISNUMBER(P28),1,0)</f>
        <v>1</v>
      </c>
      <c r="AK28" s="5" t="str">
        <f>IF(AI28=1,IF(J28&gt;0,1,0),"")</f>
        <v/>
      </c>
      <c r="AL28" s="5">
        <f>IF(AJ28=1,IF(OR(Q28&gt;0,R28&gt;0),1,0),"")</f>
        <v>0</v>
      </c>
    </row>
    <row r="29" spans="1:38">
      <c r="A29">
        <v>10546</v>
      </c>
      <c r="B29" t="s">
        <v>53</v>
      </c>
      <c r="C29" t="s">
        <v>23</v>
      </c>
      <c r="D29" t="s">
        <v>24</v>
      </c>
      <c r="E29">
        <v>55</v>
      </c>
      <c r="F29">
        <v>6046153</v>
      </c>
      <c r="G29" t="s">
        <v>25</v>
      </c>
      <c r="H29" t="s">
        <v>26</v>
      </c>
      <c r="I29" t="s">
        <v>26</v>
      </c>
      <c r="J29" t="s">
        <v>26</v>
      </c>
      <c r="K29" t="s">
        <v>26</v>
      </c>
      <c r="L29" t="s">
        <v>26</v>
      </c>
      <c r="M29" t="s">
        <v>26</v>
      </c>
      <c r="N29" t="s">
        <v>26</v>
      </c>
      <c r="O29" t="s">
        <v>26</v>
      </c>
      <c r="P29">
        <v>1</v>
      </c>
      <c r="Q29">
        <v>0</v>
      </c>
      <c r="R29">
        <v>1</v>
      </c>
      <c r="S29">
        <v>1</v>
      </c>
      <c r="T29">
        <v>0.16539999999999999</v>
      </c>
      <c r="U29">
        <v>1.8200000000000001E-2</v>
      </c>
      <c r="V29">
        <v>1</v>
      </c>
      <c r="W29">
        <f>E29/100</f>
        <v>0.55000000000000004</v>
      </c>
      <c r="X29">
        <f>F29/1000000</f>
        <v>6.0461530000000003</v>
      </c>
      <c r="Y29">
        <f>IF(D29="C",1,0)</f>
        <v>0</v>
      </c>
      <c r="Z29">
        <f>IF(G29="C",1,0)</f>
        <v>0</v>
      </c>
      <c r="AA29">
        <f>IF(G29="S",1,0)</f>
        <v>1</v>
      </c>
      <c r="AB29">
        <f>IF(G29="U",1,0)</f>
        <v>0</v>
      </c>
      <c r="AC29" s="5">
        <f>IF(AND(ISNUMBER(H29),NOT(ISNUMBER(P29))),1,0)</f>
        <v>0</v>
      </c>
      <c r="AD29" s="5">
        <f>IF(AND(ISNUMBER(H29),ISNUMBER(P29)),1,0)</f>
        <v>0</v>
      </c>
      <c r="AE29" s="5">
        <f>W29</f>
        <v>0.55000000000000004</v>
      </c>
      <c r="AF29" s="5">
        <f>X29</f>
        <v>6.0461530000000003</v>
      </c>
      <c r="AG29" s="5">
        <f>Y29</f>
        <v>0</v>
      </c>
      <c r="AH29" s="5">
        <f>IF(OR(G29="C",G29="S",G29="U"),1,0)</f>
        <v>1</v>
      </c>
      <c r="AI29" s="5">
        <f>IF(ISNUMBER(H29),1,0)</f>
        <v>0</v>
      </c>
      <c r="AJ29" s="5">
        <f>IF(ISNUMBER(P29),1,0)</f>
        <v>1</v>
      </c>
      <c r="AK29" s="5" t="str">
        <f>IF(AI29=1,IF(J29&gt;0,1,0),"")</f>
        <v/>
      </c>
      <c r="AL29" s="5">
        <f>IF(AJ29=1,IF(OR(Q29&gt;0,R29&gt;0),1,0),"")</f>
        <v>1</v>
      </c>
    </row>
    <row r="30" spans="1:38">
      <c r="A30">
        <v>10553</v>
      </c>
      <c r="B30" t="s">
        <v>54</v>
      </c>
      <c r="C30" t="s">
        <v>23</v>
      </c>
      <c r="D30" t="s">
        <v>24</v>
      </c>
      <c r="E30">
        <v>94</v>
      </c>
      <c r="F30">
        <v>4629994</v>
      </c>
      <c r="G30" t="s">
        <v>25</v>
      </c>
      <c r="H30" t="s">
        <v>26</v>
      </c>
      <c r="I30" t="s">
        <v>26</v>
      </c>
      <c r="J30" t="s">
        <v>26</v>
      </c>
      <c r="K30" t="s">
        <v>26</v>
      </c>
      <c r="L30" t="s">
        <v>26</v>
      </c>
      <c r="M30" t="s">
        <v>26</v>
      </c>
      <c r="N30" t="s">
        <v>26</v>
      </c>
      <c r="O30" t="s">
        <v>26</v>
      </c>
      <c r="P30">
        <v>1</v>
      </c>
      <c r="Q30">
        <v>0</v>
      </c>
      <c r="R30">
        <v>0</v>
      </c>
      <c r="S30">
        <v>1</v>
      </c>
      <c r="T30">
        <v>0.216</v>
      </c>
      <c r="U30">
        <v>1.06E-2</v>
      </c>
      <c r="V30">
        <v>0</v>
      </c>
      <c r="W30">
        <f>E30/100</f>
        <v>0.94</v>
      </c>
      <c r="X30">
        <f>F30/1000000</f>
        <v>4.6299939999999999</v>
      </c>
      <c r="Y30">
        <f>IF(D30="C",1,0)</f>
        <v>0</v>
      </c>
      <c r="Z30">
        <f>IF(G30="C",1,0)</f>
        <v>0</v>
      </c>
      <c r="AA30">
        <f>IF(G30="S",1,0)</f>
        <v>1</v>
      </c>
      <c r="AB30">
        <f>IF(G30="U",1,0)</f>
        <v>0</v>
      </c>
      <c r="AC30" s="5">
        <f>IF(AND(ISNUMBER(H30),NOT(ISNUMBER(P30))),1,0)</f>
        <v>0</v>
      </c>
      <c r="AD30" s="5">
        <f>IF(AND(ISNUMBER(H30),ISNUMBER(P30)),1,0)</f>
        <v>0</v>
      </c>
      <c r="AE30" s="5">
        <f>W30</f>
        <v>0.94</v>
      </c>
      <c r="AF30" s="5">
        <f>X30</f>
        <v>4.6299939999999999</v>
      </c>
      <c r="AG30" s="5">
        <f>Y30</f>
        <v>0</v>
      </c>
      <c r="AH30" s="5">
        <f>IF(OR(G30="C",G30="S",G30="U"),1,0)</f>
        <v>1</v>
      </c>
      <c r="AI30" s="5">
        <f>IF(ISNUMBER(H30),1,0)</f>
        <v>0</v>
      </c>
      <c r="AJ30" s="5">
        <f>IF(ISNUMBER(P30),1,0)</f>
        <v>1</v>
      </c>
      <c r="AK30" s="5" t="str">
        <f>IF(AI30=1,IF(J30&gt;0,1,0),"")</f>
        <v/>
      </c>
      <c r="AL30" s="5">
        <f>IF(AJ30=1,IF(OR(Q30&gt;0,R30&gt;0),1,0),"")</f>
        <v>0</v>
      </c>
    </row>
    <row r="31" spans="1:38">
      <c r="A31">
        <v>10555</v>
      </c>
      <c r="B31" t="s">
        <v>55</v>
      </c>
      <c r="C31" t="s">
        <v>23</v>
      </c>
      <c r="D31" t="s">
        <v>24</v>
      </c>
      <c r="E31">
        <v>95</v>
      </c>
      <c r="F31">
        <v>8100000</v>
      </c>
      <c r="G31" t="s">
        <v>25</v>
      </c>
      <c r="H31" t="s">
        <v>26</v>
      </c>
      <c r="I31" t="s">
        <v>26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>
        <v>1</v>
      </c>
      <c r="Q31">
        <v>0</v>
      </c>
      <c r="R31">
        <v>0</v>
      </c>
      <c r="S31">
        <v>1</v>
      </c>
      <c r="T31">
        <v>0.1235</v>
      </c>
      <c r="U31">
        <v>1.0500000000000001E-2</v>
      </c>
      <c r="V31">
        <v>0</v>
      </c>
      <c r="W31">
        <f>E31/100</f>
        <v>0.95</v>
      </c>
      <c r="X31">
        <f>F31/1000000</f>
        <v>8.1</v>
      </c>
      <c r="Y31">
        <f>IF(D31="C",1,0)</f>
        <v>0</v>
      </c>
      <c r="Z31">
        <f>IF(G31="C",1,0)</f>
        <v>0</v>
      </c>
      <c r="AA31">
        <f>IF(G31="S",1,0)</f>
        <v>1</v>
      </c>
      <c r="AB31">
        <f>IF(G31="U",1,0)</f>
        <v>0</v>
      </c>
      <c r="AC31" s="5">
        <f>IF(AND(ISNUMBER(H31),NOT(ISNUMBER(P31))),1,0)</f>
        <v>0</v>
      </c>
      <c r="AD31" s="5">
        <f>IF(AND(ISNUMBER(H31),ISNUMBER(P31)),1,0)</f>
        <v>0</v>
      </c>
      <c r="AE31" s="5">
        <f>W31</f>
        <v>0.95</v>
      </c>
      <c r="AF31" s="5">
        <f>X31</f>
        <v>8.1</v>
      </c>
      <c r="AG31" s="5">
        <f>Y31</f>
        <v>0</v>
      </c>
      <c r="AH31" s="5">
        <f>IF(OR(G31="C",G31="S",G31="U"),1,0)</f>
        <v>1</v>
      </c>
      <c r="AI31" s="5">
        <f>IF(ISNUMBER(H31),1,0)</f>
        <v>0</v>
      </c>
      <c r="AJ31" s="5">
        <f>IF(ISNUMBER(P31),1,0)</f>
        <v>1</v>
      </c>
      <c r="AK31" s="5" t="str">
        <f>IF(AI31=1,IF(J31&gt;0,1,0),"")</f>
        <v/>
      </c>
      <c r="AL31" s="5">
        <f>IF(AJ31=1,IF(OR(Q31&gt;0,R31&gt;0),1,0),"")</f>
        <v>0</v>
      </c>
    </row>
    <row r="32" spans="1:38">
      <c r="A32">
        <v>10559</v>
      </c>
      <c r="B32" t="s">
        <v>56</v>
      </c>
      <c r="C32" t="s">
        <v>23</v>
      </c>
      <c r="D32" t="s">
        <v>24</v>
      </c>
      <c r="E32">
        <v>42</v>
      </c>
      <c r="F32">
        <v>1897936</v>
      </c>
      <c r="G32" t="s">
        <v>25</v>
      </c>
      <c r="H32" t="s">
        <v>26</v>
      </c>
      <c r="I32" t="s">
        <v>26</v>
      </c>
      <c r="J32" t="s">
        <v>26</v>
      </c>
      <c r="K32" t="s">
        <v>26</v>
      </c>
      <c r="L32" t="s">
        <v>26</v>
      </c>
      <c r="M32" t="s">
        <v>26</v>
      </c>
      <c r="N32" t="s">
        <v>26</v>
      </c>
      <c r="O32" t="s">
        <v>26</v>
      </c>
      <c r="P32">
        <v>1</v>
      </c>
      <c r="Q32">
        <v>0</v>
      </c>
      <c r="R32">
        <v>0</v>
      </c>
      <c r="S32">
        <v>1</v>
      </c>
      <c r="T32">
        <v>0.52690000000000003</v>
      </c>
      <c r="U32">
        <v>2.3800000000000002E-2</v>
      </c>
      <c r="V32">
        <v>0</v>
      </c>
      <c r="W32">
        <f>E32/100</f>
        <v>0.42</v>
      </c>
      <c r="X32">
        <f>F32/1000000</f>
        <v>1.8979360000000001</v>
      </c>
      <c r="Y32">
        <f>IF(D32="C",1,0)</f>
        <v>0</v>
      </c>
      <c r="Z32">
        <f>IF(G32="C",1,0)</f>
        <v>0</v>
      </c>
      <c r="AA32">
        <f>IF(G32="S",1,0)</f>
        <v>1</v>
      </c>
      <c r="AB32">
        <f>IF(G32="U",1,0)</f>
        <v>0</v>
      </c>
      <c r="AC32" s="5">
        <f>IF(AND(ISNUMBER(H32),NOT(ISNUMBER(P32))),1,0)</f>
        <v>0</v>
      </c>
      <c r="AD32" s="5">
        <f>IF(AND(ISNUMBER(H32),ISNUMBER(P32)),1,0)</f>
        <v>0</v>
      </c>
      <c r="AE32" s="5">
        <f>W32</f>
        <v>0.42</v>
      </c>
      <c r="AF32" s="5">
        <f>X32</f>
        <v>1.8979360000000001</v>
      </c>
      <c r="AG32" s="5">
        <f>Y32</f>
        <v>0</v>
      </c>
      <c r="AH32" s="5">
        <f>IF(OR(G32="C",G32="S",G32="U"),1,0)</f>
        <v>1</v>
      </c>
      <c r="AI32" s="5">
        <f>IF(ISNUMBER(H32),1,0)</f>
        <v>0</v>
      </c>
      <c r="AJ32" s="5">
        <f>IF(ISNUMBER(P32),1,0)</f>
        <v>1</v>
      </c>
      <c r="AK32" s="5" t="str">
        <f>IF(AI32=1,IF(J32&gt;0,1,0),"")</f>
        <v/>
      </c>
      <c r="AL32" s="5">
        <f>IF(AJ32=1,IF(OR(Q32&gt;0,R32&gt;0),1,0),"")</f>
        <v>0</v>
      </c>
    </row>
    <row r="33" spans="1:38">
      <c r="A33">
        <v>10586</v>
      </c>
      <c r="B33" t="s">
        <v>57</v>
      </c>
      <c r="C33" t="s">
        <v>23</v>
      </c>
      <c r="D33" t="s">
        <v>24</v>
      </c>
      <c r="E33">
        <v>61</v>
      </c>
      <c r="F33">
        <v>4601529</v>
      </c>
      <c r="G33" t="s">
        <v>25</v>
      </c>
      <c r="H33" t="s">
        <v>26</v>
      </c>
      <c r="I33" t="s">
        <v>26</v>
      </c>
      <c r="J33" t="s">
        <v>26</v>
      </c>
      <c r="K33" t="s">
        <v>26</v>
      </c>
      <c r="L33" t="s">
        <v>26</v>
      </c>
      <c r="M33" t="s">
        <v>26</v>
      </c>
      <c r="N33" t="s">
        <v>26</v>
      </c>
      <c r="O33" t="s">
        <v>26</v>
      </c>
      <c r="P33">
        <v>1</v>
      </c>
      <c r="Q33">
        <v>0</v>
      </c>
      <c r="R33">
        <v>1</v>
      </c>
      <c r="S33">
        <v>1</v>
      </c>
      <c r="T33">
        <v>0.21729999999999999</v>
      </c>
      <c r="U33">
        <v>1.6400000000000001E-2</v>
      </c>
      <c r="V33">
        <v>1</v>
      </c>
      <c r="W33">
        <f>E33/100</f>
        <v>0.61</v>
      </c>
      <c r="X33">
        <f>F33/1000000</f>
        <v>4.6015290000000002</v>
      </c>
      <c r="Y33">
        <f>IF(D33="C",1,0)</f>
        <v>0</v>
      </c>
      <c r="Z33">
        <f>IF(G33="C",1,0)</f>
        <v>0</v>
      </c>
      <c r="AA33">
        <f>IF(G33="S",1,0)</f>
        <v>1</v>
      </c>
      <c r="AB33">
        <f>IF(G33="U",1,0)</f>
        <v>0</v>
      </c>
      <c r="AC33" s="5">
        <f>IF(AND(ISNUMBER(H33),NOT(ISNUMBER(P33))),1,0)</f>
        <v>0</v>
      </c>
      <c r="AD33" s="5">
        <f>IF(AND(ISNUMBER(H33),ISNUMBER(P33)),1,0)</f>
        <v>0</v>
      </c>
      <c r="AE33" s="5">
        <f>W33</f>
        <v>0.61</v>
      </c>
      <c r="AF33" s="5">
        <f>X33</f>
        <v>4.6015290000000002</v>
      </c>
      <c r="AG33" s="5">
        <f>Y33</f>
        <v>0</v>
      </c>
      <c r="AH33" s="5">
        <f>IF(OR(G33="C",G33="S",G33="U"),1,0)</f>
        <v>1</v>
      </c>
      <c r="AI33" s="5">
        <f>IF(ISNUMBER(H33),1,0)</f>
        <v>0</v>
      </c>
      <c r="AJ33" s="5">
        <f>IF(ISNUMBER(P33),1,0)</f>
        <v>1</v>
      </c>
      <c r="AK33" s="5" t="str">
        <f>IF(AI33=1,IF(J33&gt;0,1,0),"")</f>
        <v/>
      </c>
      <c r="AL33" s="5">
        <f>IF(AJ33=1,IF(OR(Q33&gt;0,R33&gt;0),1,0),"")</f>
        <v>1</v>
      </c>
    </row>
    <row r="34" spans="1:38">
      <c r="A34">
        <v>10623</v>
      </c>
      <c r="B34" t="s">
        <v>58</v>
      </c>
      <c r="C34" t="s">
        <v>23</v>
      </c>
      <c r="D34" t="s">
        <v>24</v>
      </c>
      <c r="E34">
        <v>31</v>
      </c>
      <c r="F34">
        <v>996217</v>
      </c>
      <c r="H34" t="s">
        <v>26</v>
      </c>
      <c r="I34" t="s">
        <v>26</v>
      </c>
      <c r="J34" t="s">
        <v>26</v>
      </c>
      <c r="K34" t="s">
        <v>26</v>
      </c>
      <c r="L34" t="s">
        <v>26</v>
      </c>
      <c r="M34" t="s">
        <v>26</v>
      </c>
      <c r="N34" t="s">
        <v>26</v>
      </c>
      <c r="O34" t="s">
        <v>26</v>
      </c>
      <c r="P34">
        <v>1</v>
      </c>
      <c r="Q34">
        <v>0</v>
      </c>
      <c r="R34">
        <v>1</v>
      </c>
      <c r="S34">
        <v>1</v>
      </c>
      <c r="T34">
        <v>1.0038</v>
      </c>
      <c r="U34">
        <v>3.2300000000000002E-2</v>
      </c>
      <c r="V34">
        <v>1</v>
      </c>
      <c r="W34">
        <f>E34/100</f>
        <v>0.31</v>
      </c>
      <c r="X34">
        <f>F34/1000000</f>
        <v>0.99621700000000002</v>
      </c>
      <c r="Y34">
        <f>IF(D34="C",1,0)</f>
        <v>0</v>
      </c>
      <c r="Z34">
        <f>IF(G34="C",1,0)</f>
        <v>0</v>
      </c>
      <c r="AA34">
        <f>IF(G34="S",1,0)</f>
        <v>0</v>
      </c>
      <c r="AB34">
        <f>IF(G34="U",1,0)</f>
        <v>0</v>
      </c>
      <c r="AC34" s="5">
        <f>IF(AND(ISNUMBER(H34),NOT(ISNUMBER(P34))),1,0)</f>
        <v>0</v>
      </c>
      <c r="AD34" s="5">
        <f>IF(AND(ISNUMBER(H34),ISNUMBER(P34)),1,0)</f>
        <v>0</v>
      </c>
      <c r="AE34" s="5">
        <f>W34</f>
        <v>0.31</v>
      </c>
      <c r="AF34" s="5">
        <f>X34</f>
        <v>0.99621700000000002</v>
      </c>
      <c r="AG34" s="5">
        <f>Y34</f>
        <v>0</v>
      </c>
      <c r="AH34" s="5">
        <f>IF(OR(G34="C",G34="S",G34="U"),1,0)</f>
        <v>0</v>
      </c>
      <c r="AI34" s="5">
        <f>IF(ISNUMBER(H34),1,0)</f>
        <v>0</v>
      </c>
      <c r="AJ34" s="5">
        <f>IF(ISNUMBER(P34),1,0)</f>
        <v>1</v>
      </c>
      <c r="AK34" s="5" t="str">
        <f>IF(AI34=1,IF(J34&gt;0,1,0),"")</f>
        <v/>
      </c>
      <c r="AL34" s="5">
        <f>IF(AJ34=1,IF(OR(Q34&gt;0,R34&gt;0),1,0),"")</f>
        <v>1</v>
      </c>
    </row>
    <row r="35" spans="1:38">
      <c r="A35">
        <v>10675</v>
      </c>
      <c r="B35" t="s">
        <v>59</v>
      </c>
      <c r="C35" t="s">
        <v>23</v>
      </c>
      <c r="D35" t="s">
        <v>24</v>
      </c>
      <c r="E35">
        <v>14</v>
      </c>
      <c r="F35">
        <v>767765</v>
      </c>
      <c r="G35" t="s">
        <v>25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>
        <v>1</v>
      </c>
      <c r="Q35">
        <v>0</v>
      </c>
      <c r="R35">
        <v>1</v>
      </c>
      <c r="S35">
        <v>0</v>
      </c>
      <c r="T35">
        <v>1.3025</v>
      </c>
      <c r="U35">
        <v>7.1400000000000005E-2</v>
      </c>
      <c r="V35">
        <v>1</v>
      </c>
      <c r="W35">
        <f>E35/100</f>
        <v>0.14000000000000001</v>
      </c>
      <c r="X35">
        <f>F35/1000000</f>
        <v>0.76776500000000003</v>
      </c>
      <c r="Y35">
        <f>IF(D35="C",1,0)</f>
        <v>0</v>
      </c>
      <c r="Z35">
        <f>IF(G35="C",1,0)</f>
        <v>0</v>
      </c>
      <c r="AA35">
        <f>IF(G35="S",1,0)</f>
        <v>1</v>
      </c>
      <c r="AB35">
        <f>IF(G35="U",1,0)</f>
        <v>0</v>
      </c>
      <c r="AC35" s="5">
        <f>IF(AND(ISNUMBER(H35),NOT(ISNUMBER(P35))),1,0)</f>
        <v>0</v>
      </c>
      <c r="AD35" s="5">
        <f>IF(AND(ISNUMBER(H35),ISNUMBER(P35)),1,0)</f>
        <v>0</v>
      </c>
      <c r="AE35" s="5">
        <f>W35</f>
        <v>0.14000000000000001</v>
      </c>
      <c r="AF35" s="5">
        <f>X35</f>
        <v>0.76776500000000003</v>
      </c>
      <c r="AG35" s="5">
        <f>Y35</f>
        <v>0</v>
      </c>
      <c r="AH35" s="5">
        <f>IF(OR(G35="C",G35="S",G35="U"),1,0)</f>
        <v>1</v>
      </c>
      <c r="AI35" s="5">
        <f>IF(ISNUMBER(H35),1,0)</f>
        <v>0</v>
      </c>
      <c r="AJ35" s="5">
        <f>IF(ISNUMBER(P35),1,0)</f>
        <v>1</v>
      </c>
      <c r="AK35" s="5" t="str">
        <f>IF(AI35=1,IF(J35&gt;0,1,0),"")</f>
        <v/>
      </c>
      <c r="AL35" s="5">
        <f>IF(AJ35=1,IF(OR(Q35&gt;0,R35&gt;0),1,0),"")</f>
        <v>1</v>
      </c>
    </row>
    <row r="36" spans="1:38">
      <c r="A36">
        <v>10702</v>
      </c>
      <c r="B36" t="s">
        <v>61</v>
      </c>
      <c r="C36" t="s">
        <v>23</v>
      </c>
      <c r="D36" t="s">
        <v>24</v>
      </c>
      <c r="E36">
        <v>70</v>
      </c>
      <c r="F36">
        <v>3675181</v>
      </c>
      <c r="G36" t="s">
        <v>25</v>
      </c>
      <c r="H36" t="s">
        <v>26</v>
      </c>
      <c r="I36" t="s">
        <v>26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>
        <v>2</v>
      </c>
      <c r="Q36">
        <v>0</v>
      </c>
      <c r="R36">
        <v>2</v>
      </c>
      <c r="S36">
        <v>2</v>
      </c>
      <c r="T36">
        <v>0.54420000000000002</v>
      </c>
      <c r="U36">
        <v>2.86E-2</v>
      </c>
      <c r="V36">
        <v>1</v>
      </c>
      <c r="W36">
        <f>E36/100</f>
        <v>0.7</v>
      </c>
      <c r="X36">
        <f>F36/1000000</f>
        <v>3.6751809999999998</v>
      </c>
      <c r="Y36">
        <f>IF(D36="C",1,0)</f>
        <v>0</v>
      </c>
      <c r="Z36">
        <f>IF(G36="C",1,0)</f>
        <v>0</v>
      </c>
      <c r="AA36">
        <f>IF(G36="S",1,0)</f>
        <v>1</v>
      </c>
      <c r="AB36">
        <f>IF(G36="U",1,0)</f>
        <v>0</v>
      </c>
      <c r="AC36" s="5">
        <f>IF(AND(ISNUMBER(H36),NOT(ISNUMBER(P36))),1,0)</f>
        <v>0</v>
      </c>
      <c r="AD36" s="5">
        <f>IF(AND(ISNUMBER(H36),ISNUMBER(P36)),1,0)</f>
        <v>0</v>
      </c>
      <c r="AE36" s="5">
        <f>W36</f>
        <v>0.7</v>
      </c>
      <c r="AF36" s="5">
        <f>X36</f>
        <v>3.6751809999999998</v>
      </c>
      <c r="AG36" s="5">
        <f>Y36</f>
        <v>0</v>
      </c>
      <c r="AH36" s="5">
        <f>IF(OR(G36="C",G36="S",G36="U"),1,0)</f>
        <v>1</v>
      </c>
      <c r="AI36" s="5">
        <f>IF(ISNUMBER(H36),1,0)</f>
        <v>0</v>
      </c>
      <c r="AJ36" s="5">
        <f>IF(ISNUMBER(P36),1,0)</f>
        <v>1</v>
      </c>
      <c r="AK36" s="5" t="str">
        <f>IF(AI36=1,IF(J36&gt;0,1,0),"")</f>
        <v/>
      </c>
      <c r="AL36" s="5">
        <f>IF(AJ36=1,IF(OR(Q36&gt;0,R36&gt;0),1,0),"")</f>
        <v>1</v>
      </c>
    </row>
    <row r="37" spans="1:38">
      <c r="A37">
        <v>10712</v>
      </c>
      <c r="B37" t="s">
        <v>62</v>
      </c>
      <c r="C37" t="s">
        <v>23</v>
      </c>
      <c r="D37" t="s">
        <v>24</v>
      </c>
      <c r="E37">
        <v>6</v>
      </c>
      <c r="F37">
        <v>233110</v>
      </c>
      <c r="G37" t="s">
        <v>25</v>
      </c>
      <c r="H37" t="s">
        <v>26</v>
      </c>
      <c r="I37" t="s">
        <v>26</v>
      </c>
      <c r="J37" t="s">
        <v>26</v>
      </c>
      <c r="K37" t="s">
        <v>26</v>
      </c>
      <c r="L37" t="s">
        <v>26</v>
      </c>
      <c r="M37" t="s">
        <v>26</v>
      </c>
      <c r="N37" t="s">
        <v>26</v>
      </c>
      <c r="O37" t="s">
        <v>26</v>
      </c>
      <c r="P37">
        <v>1</v>
      </c>
      <c r="Q37">
        <v>0</v>
      </c>
      <c r="R37">
        <v>0</v>
      </c>
      <c r="S37">
        <v>1</v>
      </c>
      <c r="T37">
        <v>4.2897999999999996</v>
      </c>
      <c r="U37">
        <v>0.16669999999999999</v>
      </c>
      <c r="V37">
        <v>0</v>
      </c>
      <c r="W37">
        <f>E37/100</f>
        <v>0.06</v>
      </c>
      <c r="X37">
        <f>F37/1000000</f>
        <v>0.23311000000000001</v>
      </c>
      <c r="Y37">
        <f>IF(D37="C",1,0)</f>
        <v>0</v>
      </c>
      <c r="Z37">
        <f>IF(G37="C",1,0)</f>
        <v>0</v>
      </c>
      <c r="AA37">
        <f>IF(G37="S",1,0)</f>
        <v>1</v>
      </c>
      <c r="AB37">
        <f>IF(G37="U",1,0)</f>
        <v>0</v>
      </c>
      <c r="AC37" s="5">
        <f>IF(AND(ISNUMBER(H37),NOT(ISNUMBER(P37))),1,0)</f>
        <v>0</v>
      </c>
      <c r="AD37" s="5">
        <f>IF(AND(ISNUMBER(H37),ISNUMBER(P37)),1,0)</f>
        <v>0</v>
      </c>
      <c r="AE37" s="5">
        <f>W37</f>
        <v>0.06</v>
      </c>
      <c r="AF37" s="5">
        <f>X37</f>
        <v>0.23311000000000001</v>
      </c>
      <c r="AG37" s="5">
        <f>Y37</f>
        <v>0</v>
      </c>
      <c r="AH37" s="5">
        <f>IF(OR(G37="C",G37="S",G37="U"),1,0)</f>
        <v>1</v>
      </c>
      <c r="AI37" s="5">
        <f>IF(ISNUMBER(H37),1,0)</f>
        <v>0</v>
      </c>
      <c r="AJ37" s="5">
        <f>IF(ISNUMBER(P37),1,0)</f>
        <v>1</v>
      </c>
      <c r="AK37" s="5" t="str">
        <f>IF(AI37=1,IF(J37&gt;0,1,0),"")</f>
        <v/>
      </c>
      <c r="AL37" s="5">
        <f>IF(AJ37=1,IF(OR(Q37&gt;0,R37&gt;0),1,0),"")</f>
        <v>0</v>
      </c>
    </row>
    <row r="38" spans="1:38">
      <c r="A38">
        <v>10798</v>
      </c>
      <c r="B38" t="s">
        <v>63</v>
      </c>
      <c r="C38" t="s">
        <v>23</v>
      </c>
      <c r="D38" t="s">
        <v>33</v>
      </c>
      <c r="E38">
        <v>14</v>
      </c>
      <c r="F38">
        <v>82850</v>
      </c>
      <c r="H38" t="s">
        <v>26</v>
      </c>
      <c r="I38" t="s">
        <v>26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>
        <v>1</v>
      </c>
      <c r="Q38">
        <v>0</v>
      </c>
      <c r="R38">
        <v>1</v>
      </c>
      <c r="S38">
        <v>1</v>
      </c>
      <c r="T38">
        <v>12.07</v>
      </c>
      <c r="U38">
        <v>7.1400000000000005E-2</v>
      </c>
      <c r="V38">
        <v>1</v>
      </c>
      <c r="W38">
        <f>E38/100</f>
        <v>0.14000000000000001</v>
      </c>
      <c r="X38">
        <f>F38/1000000</f>
        <v>8.2849999999999993E-2</v>
      </c>
      <c r="Y38">
        <f>IF(D38="C",1,0)</f>
        <v>1</v>
      </c>
      <c r="Z38">
        <f>IF(G38="C",1,0)</f>
        <v>0</v>
      </c>
      <c r="AA38">
        <f>IF(G38="S",1,0)</f>
        <v>0</v>
      </c>
      <c r="AB38">
        <f>IF(G38="U",1,0)</f>
        <v>0</v>
      </c>
      <c r="AC38" s="5">
        <f>IF(AND(ISNUMBER(H38),NOT(ISNUMBER(P38))),1,0)</f>
        <v>0</v>
      </c>
      <c r="AD38" s="5">
        <f>IF(AND(ISNUMBER(H38),ISNUMBER(P38)),1,0)</f>
        <v>0</v>
      </c>
      <c r="AE38" s="5">
        <f>W38</f>
        <v>0.14000000000000001</v>
      </c>
      <c r="AF38" s="5">
        <f>X38</f>
        <v>8.2849999999999993E-2</v>
      </c>
      <c r="AG38" s="5">
        <f>Y38</f>
        <v>1</v>
      </c>
      <c r="AH38" s="5">
        <f>IF(OR(G38="C",G38="S",G38="U"),1,0)</f>
        <v>0</v>
      </c>
      <c r="AI38" s="5">
        <f>IF(ISNUMBER(H38),1,0)</f>
        <v>0</v>
      </c>
      <c r="AJ38" s="5">
        <f>IF(ISNUMBER(P38),1,0)</f>
        <v>1</v>
      </c>
      <c r="AK38" s="5" t="str">
        <f>IF(AI38=1,IF(J38&gt;0,1,0),"")</f>
        <v/>
      </c>
      <c r="AL38" s="5">
        <f>IF(AJ38=1,IF(OR(Q38&gt;0,R38&gt;0),1,0),"")</f>
        <v>1</v>
      </c>
    </row>
    <row r="39" spans="1:38">
      <c r="A39">
        <v>10883</v>
      </c>
      <c r="B39" t="s">
        <v>65</v>
      </c>
      <c r="C39" t="s">
        <v>23</v>
      </c>
      <c r="D39" t="s">
        <v>24</v>
      </c>
      <c r="E39">
        <v>36</v>
      </c>
      <c r="F39">
        <v>2361033</v>
      </c>
      <c r="G39" t="s">
        <v>25</v>
      </c>
      <c r="H39" t="s">
        <v>26</v>
      </c>
      <c r="I39" t="s">
        <v>26</v>
      </c>
      <c r="J39" t="s">
        <v>26</v>
      </c>
      <c r="K39" t="s">
        <v>26</v>
      </c>
      <c r="L39" t="s">
        <v>26</v>
      </c>
      <c r="M39" t="s">
        <v>26</v>
      </c>
      <c r="N39" t="s">
        <v>26</v>
      </c>
      <c r="O39" t="s">
        <v>26</v>
      </c>
      <c r="P39">
        <v>1</v>
      </c>
      <c r="Q39">
        <v>0</v>
      </c>
      <c r="R39">
        <v>1</v>
      </c>
      <c r="S39">
        <v>1</v>
      </c>
      <c r="T39">
        <v>0.42349999999999999</v>
      </c>
      <c r="U39">
        <v>2.7799999999999998E-2</v>
      </c>
      <c r="V39">
        <v>1</v>
      </c>
      <c r="W39">
        <f>E39/100</f>
        <v>0.36</v>
      </c>
      <c r="X39">
        <f>F39/1000000</f>
        <v>2.3610329999999999</v>
      </c>
      <c r="Y39">
        <f>IF(D39="C",1,0)</f>
        <v>0</v>
      </c>
      <c r="Z39">
        <f>IF(G39="C",1,0)</f>
        <v>0</v>
      </c>
      <c r="AA39">
        <f>IF(G39="S",1,0)</f>
        <v>1</v>
      </c>
      <c r="AB39">
        <f>IF(G39="U",1,0)</f>
        <v>0</v>
      </c>
      <c r="AC39" s="5">
        <f>IF(AND(ISNUMBER(H39),NOT(ISNUMBER(P39))),1,0)</f>
        <v>0</v>
      </c>
      <c r="AD39" s="5">
        <f>IF(AND(ISNUMBER(H39),ISNUMBER(P39)),1,0)</f>
        <v>0</v>
      </c>
      <c r="AE39" s="5">
        <f>W39</f>
        <v>0.36</v>
      </c>
      <c r="AF39" s="5">
        <f>X39</f>
        <v>2.3610329999999999</v>
      </c>
      <c r="AG39" s="5">
        <f>Y39</f>
        <v>0</v>
      </c>
      <c r="AH39" s="5">
        <f>IF(OR(G39="C",G39="S",G39="U"),1,0)</f>
        <v>1</v>
      </c>
      <c r="AI39" s="5">
        <f>IF(ISNUMBER(H39),1,0)</f>
        <v>0</v>
      </c>
      <c r="AJ39" s="5">
        <f>IF(ISNUMBER(P39),1,0)</f>
        <v>1</v>
      </c>
      <c r="AK39" s="5" t="str">
        <f>IF(AI39=1,IF(J39&gt;0,1,0),"")</f>
        <v/>
      </c>
      <c r="AL39" s="5">
        <f>IF(AJ39=1,IF(OR(Q39&gt;0,R39&gt;0),1,0),"")</f>
        <v>1</v>
      </c>
    </row>
    <row r="40" spans="1:38">
      <c r="A40">
        <v>11517</v>
      </c>
      <c r="B40" t="s">
        <v>66</v>
      </c>
      <c r="C40" t="s">
        <v>23</v>
      </c>
      <c r="D40" t="s">
        <v>24</v>
      </c>
      <c r="E40">
        <v>72</v>
      </c>
      <c r="F40">
        <v>3310251</v>
      </c>
      <c r="H40" t="s">
        <v>26</v>
      </c>
      <c r="I40" t="s">
        <v>26</v>
      </c>
      <c r="J40" t="s">
        <v>26</v>
      </c>
      <c r="K40" t="s">
        <v>26</v>
      </c>
      <c r="L40" t="s">
        <v>26</v>
      </c>
      <c r="M40" t="s">
        <v>26</v>
      </c>
      <c r="N40" t="s">
        <v>26</v>
      </c>
      <c r="O40" t="s">
        <v>26</v>
      </c>
      <c r="P40">
        <v>2</v>
      </c>
      <c r="Q40">
        <v>0</v>
      </c>
      <c r="R40">
        <v>0</v>
      </c>
      <c r="S40">
        <v>2</v>
      </c>
      <c r="T40">
        <v>0.60419999999999996</v>
      </c>
      <c r="U40">
        <v>2.7799999999999998E-2</v>
      </c>
      <c r="V40">
        <v>0</v>
      </c>
      <c r="W40">
        <f>E40/100</f>
        <v>0.72</v>
      </c>
      <c r="X40">
        <f>F40/1000000</f>
        <v>3.3102510000000001</v>
      </c>
      <c r="Y40">
        <f>IF(D40="C",1,0)</f>
        <v>0</v>
      </c>
      <c r="Z40">
        <f>IF(G40="C",1,0)</f>
        <v>0</v>
      </c>
      <c r="AA40">
        <f>IF(G40="S",1,0)</f>
        <v>0</v>
      </c>
      <c r="AB40">
        <f>IF(G40="U",1,0)</f>
        <v>0</v>
      </c>
      <c r="AC40" s="5">
        <f>IF(AND(ISNUMBER(H40),NOT(ISNUMBER(P40))),1,0)</f>
        <v>0</v>
      </c>
      <c r="AD40" s="5">
        <f>IF(AND(ISNUMBER(H40),ISNUMBER(P40)),1,0)</f>
        <v>0</v>
      </c>
      <c r="AE40" s="5">
        <f>W40</f>
        <v>0.72</v>
      </c>
      <c r="AF40" s="5">
        <f>X40</f>
        <v>3.3102510000000001</v>
      </c>
      <c r="AG40" s="5">
        <f>Y40</f>
        <v>0</v>
      </c>
      <c r="AH40" s="5">
        <f>IF(OR(G40="C",G40="S",G40="U"),1,0)</f>
        <v>0</v>
      </c>
      <c r="AI40" s="5">
        <f>IF(ISNUMBER(H40),1,0)</f>
        <v>0</v>
      </c>
      <c r="AJ40" s="5">
        <f>IF(ISNUMBER(P40),1,0)</f>
        <v>1</v>
      </c>
      <c r="AK40" s="5" t="str">
        <f>IF(AI40=1,IF(J40&gt;0,1,0),"")</f>
        <v/>
      </c>
      <c r="AL40" s="5">
        <f>IF(AJ40=1,IF(OR(Q40&gt;0,R40&gt;0),1,0),"")</f>
        <v>0</v>
      </c>
    </row>
    <row r="41" spans="1:38">
      <c r="A41">
        <v>11529</v>
      </c>
      <c r="B41" t="s">
        <v>67</v>
      </c>
      <c r="C41" t="s">
        <v>23</v>
      </c>
      <c r="D41" t="s">
        <v>24</v>
      </c>
      <c r="E41">
        <v>11</v>
      </c>
      <c r="F41">
        <v>1248300</v>
      </c>
      <c r="G41" t="s">
        <v>25</v>
      </c>
      <c r="H41" t="s">
        <v>26</v>
      </c>
      <c r="I41" t="s">
        <v>26</v>
      </c>
      <c r="J41" t="s">
        <v>26</v>
      </c>
      <c r="K41" t="s">
        <v>26</v>
      </c>
      <c r="L41" t="s">
        <v>26</v>
      </c>
      <c r="M41" t="s">
        <v>26</v>
      </c>
      <c r="N41" t="s">
        <v>26</v>
      </c>
      <c r="O41" t="s">
        <v>26</v>
      </c>
      <c r="P41">
        <v>1</v>
      </c>
      <c r="Q41">
        <v>0</v>
      </c>
      <c r="R41">
        <v>0</v>
      </c>
      <c r="S41">
        <v>1</v>
      </c>
      <c r="T41">
        <v>0.80110000000000003</v>
      </c>
      <c r="U41">
        <v>9.0899999999999995E-2</v>
      </c>
      <c r="V41">
        <v>0</v>
      </c>
      <c r="W41">
        <f>E41/100</f>
        <v>0.11</v>
      </c>
      <c r="X41">
        <f>F41/1000000</f>
        <v>1.2483</v>
      </c>
      <c r="Y41">
        <f>IF(D41="C",1,0)</f>
        <v>0</v>
      </c>
      <c r="Z41">
        <f>IF(G41="C",1,0)</f>
        <v>0</v>
      </c>
      <c r="AA41">
        <f>IF(G41="S",1,0)</f>
        <v>1</v>
      </c>
      <c r="AB41">
        <f>IF(G41="U",1,0)</f>
        <v>0</v>
      </c>
      <c r="AC41" s="5">
        <f>IF(AND(ISNUMBER(H41),NOT(ISNUMBER(P41))),1,0)</f>
        <v>0</v>
      </c>
      <c r="AD41" s="5">
        <f>IF(AND(ISNUMBER(H41),ISNUMBER(P41)),1,0)</f>
        <v>0</v>
      </c>
      <c r="AE41" s="5">
        <f>W41</f>
        <v>0.11</v>
      </c>
      <c r="AF41" s="5">
        <f>X41</f>
        <v>1.2483</v>
      </c>
      <c r="AG41" s="5">
        <f>Y41</f>
        <v>0</v>
      </c>
      <c r="AH41" s="5">
        <f>IF(OR(G41="C",G41="S",G41="U"),1,0)</f>
        <v>1</v>
      </c>
      <c r="AI41" s="5">
        <f>IF(ISNUMBER(H41),1,0)</f>
        <v>0</v>
      </c>
      <c r="AJ41" s="5">
        <f>IF(ISNUMBER(P41),1,0)</f>
        <v>1</v>
      </c>
      <c r="AK41" s="5" t="str">
        <f>IF(AI41=1,IF(J41&gt;0,1,0),"")</f>
        <v/>
      </c>
      <c r="AL41" s="5">
        <f>IF(AJ41=1,IF(OR(Q41&gt;0,R41&gt;0),1,0),"")</f>
        <v>0</v>
      </c>
    </row>
    <row r="42" spans="1:38">
      <c r="A42">
        <v>11707</v>
      </c>
      <c r="B42" t="s">
        <v>68</v>
      </c>
      <c r="C42" t="s">
        <v>23</v>
      </c>
      <c r="D42" t="s">
        <v>24</v>
      </c>
      <c r="E42">
        <v>28</v>
      </c>
      <c r="F42">
        <v>1177618</v>
      </c>
      <c r="G42" t="s">
        <v>25</v>
      </c>
      <c r="H42" t="s">
        <v>26</v>
      </c>
      <c r="I42" t="s">
        <v>26</v>
      </c>
      <c r="J42" t="s">
        <v>26</v>
      </c>
      <c r="K42" t="s">
        <v>26</v>
      </c>
      <c r="L42" t="s">
        <v>26</v>
      </c>
      <c r="M42" t="s">
        <v>26</v>
      </c>
      <c r="N42" t="s">
        <v>26</v>
      </c>
      <c r="O42" t="s">
        <v>26</v>
      </c>
      <c r="P42">
        <v>1</v>
      </c>
      <c r="Q42">
        <v>0</v>
      </c>
      <c r="R42">
        <v>0</v>
      </c>
      <c r="S42">
        <v>1</v>
      </c>
      <c r="T42">
        <v>0.84919999999999995</v>
      </c>
      <c r="U42">
        <v>3.5700000000000003E-2</v>
      </c>
      <c r="V42">
        <v>0</v>
      </c>
      <c r="W42">
        <f>E42/100</f>
        <v>0.28000000000000003</v>
      </c>
      <c r="X42">
        <f>F42/1000000</f>
        <v>1.1776180000000001</v>
      </c>
      <c r="Y42">
        <f>IF(D42="C",1,0)</f>
        <v>0</v>
      </c>
      <c r="Z42">
        <f>IF(G42="C",1,0)</f>
        <v>0</v>
      </c>
      <c r="AA42">
        <f>IF(G42="S",1,0)</f>
        <v>1</v>
      </c>
      <c r="AB42">
        <f>IF(G42="U",1,0)</f>
        <v>0</v>
      </c>
      <c r="AC42" s="5">
        <f>IF(AND(ISNUMBER(H42),NOT(ISNUMBER(P42))),1,0)</f>
        <v>0</v>
      </c>
      <c r="AD42" s="5">
        <f>IF(AND(ISNUMBER(H42),ISNUMBER(P42)),1,0)</f>
        <v>0</v>
      </c>
      <c r="AE42" s="5">
        <f>W42</f>
        <v>0.28000000000000003</v>
      </c>
      <c r="AF42" s="5">
        <f>X42</f>
        <v>1.1776180000000001</v>
      </c>
      <c r="AG42" s="5">
        <f>Y42</f>
        <v>0</v>
      </c>
      <c r="AH42" s="5">
        <f>IF(OR(G42="C",G42="S",G42="U"),1,0)</f>
        <v>1</v>
      </c>
      <c r="AI42" s="5">
        <f>IF(ISNUMBER(H42),1,0)</f>
        <v>0</v>
      </c>
      <c r="AJ42" s="5">
        <f>IF(ISNUMBER(P42),1,0)</f>
        <v>1</v>
      </c>
      <c r="AK42" s="5" t="str">
        <f>IF(AI42=1,IF(J42&gt;0,1,0),"")</f>
        <v/>
      </c>
      <c r="AL42" s="5">
        <f>IF(AJ42=1,IF(OR(Q42&gt;0,R42&gt;0),1,0),"")</f>
        <v>0</v>
      </c>
    </row>
    <row r="43" spans="1:38">
      <c r="A43">
        <v>11723</v>
      </c>
      <c r="B43" t="s">
        <v>69</v>
      </c>
      <c r="C43" t="s">
        <v>23</v>
      </c>
      <c r="D43" t="s">
        <v>24</v>
      </c>
      <c r="E43">
        <v>1</v>
      </c>
      <c r="F43">
        <v>48000</v>
      </c>
      <c r="G43" t="s">
        <v>25</v>
      </c>
      <c r="H43" t="s">
        <v>26</v>
      </c>
      <c r="I43" t="s">
        <v>26</v>
      </c>
      <c r="J43" t="s">
        <v>26</v>
      </c>
      <c r="K43" t="s">
        <v>26</v>
      </c>
      <c r="L43" t="s">
        <v>26</v>
      </c>
      <c r="M43" t="s">
        <v>26</v>
      </c>
      <c r="N43" t="s">
        <v>26</v>
      </c>
      <c r="O43" t="s">
        <v>26</v>
      </c>
      <c r="P43">
        <v>1</v>
      </c>
      <c r="Q43">
        <v>0</v>
      </c>
      <c r="R43">
        <v>0</v>
      </c>
      <c r="S43">
        <v>1</v>
      </c>
      <c r="T43">
        <v>20.833300000000001</v>
      </c>
      <c r="U43">
        <v>1</v>
      </c>
      <c r="V43">
        <v>0</v>
      </c>
      <c r="W43">
        <f>E43/100</f>
        <v>0.01</v>
      </c>
      <c r="X43">
        <f>F43/1000000</f>
        <v>4.8000000000000001E-2</v>
      </c>
      <c r="Y43">
        <f>IF(D43="C",1,0)</f>
        <v>0</v>
      </c>
      <c r="Z43">
        <f>IF(G43="C",1,0)</f>
        <v>0</v>
      </c>
      <c r="AA43">
        <f>IF(G43="S",1,0)</f>
        <v>1</v>
      </c>
      <c r="AB43">
        <f>IF(G43="U",1,0)</f>
        <v>0</v>
      </c>
      <c r="AC43" s="5">
        <f>IF(AND(ISNUMBER(H43),NOT(ISNUMBER(P43))),1,0)</f>
        <v>0</v>
      </c>
      <c r="AD43" s="5">
        <f>IF(AND(ISNUMBER(H43),ISNUMBER(P43)),1,0)</f>
        <v>0</v>
      </c>
      <c r="AE43" s="5">
        <f>W43</f>
        <v>0.01</v>
      </c>
      <c r="AF43" s="5">
        <f>X43</f>
        <v>4.8000000000000001E-2</v>
      </c>
      <c r="AG43" s="5">
        <f>Y43</f>
        <v>0</v>
      </c>
      <c r="AH43" s="5">
        <f>IF(OR(G43="C",G43="S",G43="U"),1,0)</f>
        <v>1</v>
      </c>
      <c r="AI43" s="5">
        <f>IF(ISNUMBER(H43),1,0)</f>
        <v>0</v>
      </c>
      <c r="AJ43" s="5">
        <f>IF(ISNUMBER(P43),1,0)</f>
        <v>1</v>
      </c>
      <c r="AK43" s="5" t="str">
        <f>IF(AI43=1,IF(J43&gt;0,1,0),"")</f>
        <v/>
      </c>
      <c r="AL43" s="5">
        <f>IF(AJ43=1,IF(OR(Q43&gt;0,R43&gt;0),1,0),"")</f>
        <v>0</v>
      </c>
    </row>
    <row r="44" spans="1:38">
      <c r="A44">
        <v>11874</v>
      </c>
      <c r="B44" t="s">
        <v>70</v>
      </c>
      <c r="C44" t="s">
        <v>23</v>
      </c>
      <c r="D44" t="s">
        <v>24</v>
      </c>
      <c r="E44">
        <v>72</v>
      </c>
      <c r="F44">
        <v>3267039</v>
      </c>
      <c r="G44" t="s">
        <v>25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>
        <v>1</v>
      </c>
      <c r="Q44">
        <v>0</v>
      </c>
      <c r="R44">
        <v>1</v>
      </c>
      <c r="S44">
        <v>0</v>
      </c>
      <c r="T44">
        <v>0.30609999999999998</v>
      </c>
      <c r="U44">
        <v>1.3899999999999999E-2</v>
      </c>
      <c r="V44">
        <v>1</v>
      </c>
      <c r="W44">
        <f>E44/100</f>
        <v>0.72</v>
      </c>
      <c r="X44">
        <f>F44/1000000</f>
        <v>3.267039</v>
      </c>
      <c r="Y44">
        <f>IF(D44="C",1,0)</f>
        <v>0</v>
      </c>
      <c r="Z44">
        <f>IF(G44="C",1,0)</f>
        <v>0</v>
      </c>
      <c r="AA44">
        <f>IF(G44="S",1,0)</f>
        <v>1</v>
      </c>
      <c r="AB44">
        <f>IF(G44="U",1,0)</f>
        <v>0</v>
      </c>
      <c r="AC44" s="5">
        <f>IF(AND(ISNUMBER(H44),NOT(ISNUMBER(P44))),1,0)</f>
        <v>0</v>
      </c>
      <c r="AD44" s="5">
        <f>IF(AND(ISNUMBER(H44),ISNUMBER(P44)),1,0)</f>
        <v>0</v>
      </c>
      <c r="AE44" s="5">
        <f>W44</f>
        <v>0.72</v>
      </c>
      <c r="AF44" s="5">
        <f>X44</f>
        <v>3.267039</v>
      </c>
      <c r="AG44" s="5">
        <f>Y44</f>
        <v>0</v>
      </c>
      <c r="AH44" s="5">
        <f>IF(OR(G44="C",G44="S",G44="U"),1,0)</f>
        <v>1</v>
      </c>
      <c r="AI44" s="5">
        <f>IF(ISNUMBER(H44),1,0)</f>
        <v>0</v>
      </c>
      <c r="AJ44" s="5">
        <f>IF(ISNUMBER(P44),1,0)</f>
        <v>1</v>
      </c>
      <c r="AK44" s="5" t="str">
        <f>IF(AI44=1,IF(J44&gt;0,1,0),"")</f>
        <v/>
      </c>
      <c r="AL44" s="5">
        <f>IF(AJ44=1,IF(OR(Q44&gt;0,R44&gt;0),1,0),"")</f>
        <v>1</v>
      </c>
    </row>
    <row r="45" spans="1:38">
      <c r="A45">
        <v>11879</v>
      </c>
      <c r="B45" t="s">
        <v>71</v>
      </c>
      <c r="C45" t="s">
        <v>23</v>
      </c>
      <c r="D45" t="s">
        <v>24</v>
      </c>
      <c r="E45">
        <v>127</v>
      </c>
      <c r="F45">
        <v>3100000</v>
      </c>
      <c r="G45" t="s">
        <v>25</v>
      </c>
      <c r="H45" t="s">
        <v>26</v>
      </c>
      <c r="I45" t="s">
        <v>26</v>
      </c>
      <c r="J45" t="s">
        <v>26</v>
      </c>
      <c r="K45" t="s">
        <v>26</v>
      </c>
      <c r="L45" t="s">
        <v>26</v>
      </c>
      <c r="M45" t="s">
        <v>26</v>
      </c>
      <c r="N45" t="s">
        <v>26</v>
      </c>
      <c r="O45" t="s">
        <v>26</v>
      </c>
      <c r="P45">
        <v>1</v>
      </c>
      <c r="Q45">
        <v>0</v>
      </c>
      <c r="R45">
        <v>1</v>
      </c>
      <c r="S45">
        <v>0</v>
      </c>
      <c r="T45">
        <v>0.3226</v>
      </c>
      <c r="U45">
        <v>7.9000000000000008E-3</v>
      </c>
      <c r="V45">
        <v>1</v>
      </c>
      <c r="W45">
        <f>E45/100</f>
        <v>1.27</v>
      </c>
      <c r="X45">
        <f>F45/1000000</f>
        <v>3.1</v>
      </c>
      <c r="Y45">
        <f>IF(D45="C",1,0)</f>
        <v>0</v>
      </c>
      <c r="Z45">
        <f>IF(G45="C",1,0)</f>
        <v>0</v>
      </c>
      <c r="AA45">
        <f>IF(G45="S",1,0)</f>
        <v>1</v>
      </c>
      <c r="AB45">
        <f>IF(G45="U",1,0)</f>
        <v>0</v>
      </c>
      <c r="AC45" s="5">
        <f>IF(AND(ISNUMBER(H45),NOT(ISNUMBER(P45))),1,0)</f>
        <v>0</v>
      </c>
      <c r="AD45" s="5">
        <f>IF(AND(ISNUMBER(H45),ISNUMBER(P45)),1,0)</f>
        <v>0</v>
      </c>
      <c r="AE45" s="5">
        <f>W45</f>
        <v>1.27</v>
      </c>
      <c r="AF45" s="5">
        <f>X45</f>
        <v>3.1</v>
      </c>
      <c r="AG45" s="5">
        <f>Y45</f>
        <v>0</v>
      </c>
      <c r="AH45" s="5">
        <f>IF(OR(G45="C",G45="S",G45="U"),1,0)</f>
        <v>1</v>
      </c>
      <c r="AI45" s="5">
        <f>IF(ISNUMBER(H45),1,0)</f>
        <v>0</v>
      </c>
      <c r="AJ45" s="5">
        <f>IF(ISNUMBER(P45),1,0)</f>
        <v>1</v>
      </c>
      <c r="AK45" s="5" t="str">
        <f>IF(AI45=1,IF(J45&gt;0,1,0),"")</f>
        <v/>
      </c>
      <c r="AL45" s="5">
        <f>IF(AJ45=1,IF(OR(Q45&gt;0,R45&gt;0),1,0),"")</f>
        <v>1</v>
      </c>
    </row>
    <row r="46" spans="1:38">
      <c r="A46">
        <v>11902</v>
      </c>
      <c r="B46" t="s">
        <v>72</v>
      </c>
      <c r="C46" t="s">
        <v>23</v>
      </c>
      <c r="D46" t="s">
        <v>24</v>
      </c>
      <c r="E46">
        <v>36</v>
      </c>
      <c r="F46">
        <v>829565</v>
      </c>
      <c r="G46" t="s">
        <v>25</v>
      </c>
      <c r="H46" t="s">
        <v>26</v>
      </c>
      <c r="I46" t="s">
        <v>26</v>
      </c>
      <c r="J46" t="s">
        <v>26</v>
      </c>
      <c r="K46" t="s">
        <v>26</v>
      </c>
      <c r="L46" t="s">
        <v>26</v>
      </c>
      <c r="M46" t="s">
        <v>26</v>
      </c>
      <c r="N46" t="s">
        <v>26</v>
      </c>
      <c r="O46" t="s">
        <v>26</v>
      </c>
      <c r="P46">
        <v>1</v>
      </c>
      <c r="Q46">
        <v>0</v>
      </c>
      <c r="R46">
        <v>1</v>
      </c>
      <c r="S46">
        <v>0</v>
      </c>
      <c r="T46">
        <v>1.2055</v>
      </c>
      <c r="U46">
        <v>2.7799999999999998E-2</v>
      </c>
      <c r="V46">
        <v>1</v>
      </c>
      <c r="W46">
        <f>E46/100</f>
        <v>0.36</v>
      </c>
      <c r="X46">
        <f>F46/1000000</f>
        <v>0.829565</v>
      </c>
      <c r="Y46">
        <f>IF(D46="C",1,0)</f>
        <v>0</v>
      </c>
      <c r="Z46">
        <f>IF(G46="C",1,0)</f>
        <v>0</v>
      </c>
      <c r="AA46">
        <f>IF(G46="S",1,0)</f>
        <v>1</v>
      </c>
      <c r="AB46">
        <f>IF(G46="U",1,0)</f>
        <v>0</v>
      </c>
      <c r="AC46" s="5">
        <f>IF(AND(ISNUMBER(H46),NOT(ISNUMBER(P46))),1,0)</f>
        <v>0</v>
      </c>
      <c r="AD46" s="5">
        <f>IF(AND(ISNUMBER(H46),ISNUMBER(P46)),1,0)</f>
        <v>0</v>
      </c>
      <c r="AE46" s="5">
        <f>W46</f>
        <v>0.36</v>
      </c>
      <c r="AF46" s="5">
        <f>X46</f>
        <v>0.829565</v>
      </c>
      <c r="AG46" s="5">
        <f>Y46</f>
        <v>0</v>
      </c>
      <c r="AH46" s="5">
        <f>IF(OR(G46="C",G46="S",G46="U"),1,0)</f>
        <v>1</v>
      </c>
      <c r="AI46" s="5">
        <f>IF(ISNUMBER(H46),1,0)</f>
        <v>0</v>
      </c>
      <c r="AJ46" s="5">
        <f>IF(ISNUMBER(P46),1,0)</f>
        <v>1</v>
      </c>
      <c r="AK46" s="5" t="str">
        <f>IF(AI46=1,IF(J46&gt;0,1,0),"")</f>
        <v/>
      </c>
      <c r="AL46" s="5">
        <f>IF(AJ46=1,IF(OR(Q46&gt;0,R46&gt;0),1,0),"")</f>
        <v>1</v>
      </c>
    </row>
    <row r="47" spans="1:38">
      <c r="A47">
        <v>11910</v>
      </c>
      <c r="B47" t="s">
        <v>73</v>
      </c>
      <c r="C47" t="s">
        <v>23</v>
      </c>
      <c r="D47" t="s">
        <v>33</v>
      </c>
      <c r="E47">
        <v>5</v>
      </c>
      <c r="F47">
        <v>347925</v>
      </c>
      <c r="H47" t="s">
        <v>26</v>
      </c>
      <c r="I47" t="s">
        <v>26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26</v>
      </c>
      <c r="P47">
        <v>1</v>
      </c>
      <c r="Q47">
        <v>1</v>
      </c>
      <c r="R47">
        <v>0</v>
      </c>
      <c r="S47">
        <v>0</v>
      </c>
      <c r="T47">
        <v>2.8742000000000001</v>
      </c>
      <c r="U47">
        <v>0.2</v>
      </c>
      <c r="V47">
        <v>1</v>
      </c>
      <c r="W47">
        <f>E47/100</f>
        <v>0.05</v>
      </c>
      <c r="X47">
        <f>F47/1000000</f>
        <v>0.34792499999999998</v>
      </c>
      <c r="Y47">
        <f>IF(D47="C",1,0)</f>
        <v>1</v>
      </c>
      <c r="Z47">
        <f>IF(G47="C",1,0)</f>
        <v>0</v>
      </c>
      <c r="AA47">
        <f>IF(G47="S",1,0)</f>
        <v>0</v>
      </c>
      <c r="AB47">
        <f>IF(G47="U",1,0)</f>
        <v>0</v>
      </c>
      <c r="AC47" s="5">
        <f>IF(AND(ISNUMBER(H47),NOT(ISNUMBER(P47))),1,0)</f>
        <v>0</v>
      </c>
      <c r="AD47" s="5">
        <f>IF(AND(ISNUMBER(H47),ISNUMBER(P47)),1,0)</f>
        <v>0</v>
      </c>
      <c r="AE47" s="5">
        <f>W47</f>
        <v>0.05</v>
      </c>
      <c r="AF47" s="5">
        <f>X47</f>
        <v>0.34792499999999998</v>
      </c>
      <c r="AG47" s="5">
        <f>Y47</f>
        <v>1</v>
      </c>
      <c r="AH47" s="5">
        <f>IF(OR(G47="C",G47="S",G47="U"),1,0)</f>
        <v>0</v>
      </c>
      <c r="AI47" s="5">
        <f>IF(ISNUMBER(H47),1,0)</f>
        <v>0</v>
      </c>
      <c r="AJ47" s="5">
        <f>IF(ISNUMBER(P47),1,0)</f>
        <v>1</v>
      </c>
      <c r="AK47" s="5" t="str">
        <f>IF(AI47=1,IF(J47&gt;0,1,0),"")</f>
        <v/>
      </c>
      <c r="AL47" s="5">
        <f>IF(AJ47=1,IF(OR(Q47&gt;0,R47&gt;0),1,0),"")</f>
        <v>1</v>
      </c>
    </row>
    <row r="48" spans="1:38">
      <c r="A48">
        <v>11947</v>
      </c>
      <c r="B48" t="s">
        <v>74</v>
      </c>
      <c r="C48" t="s">
        <v>23</v>
      </c>
      <c r="D48" t="s">
        <v>24</v>
      </c>
      <c r="E48">
        <v>23</v>
      </c>
      <c r="F48">
        <v>327665</v>
      </c>
      <c r="H48" t="s">
        <v>26</v>
      </c>
      <c r="I48" t="s">
        <v>26</v>
      </c>
      <c r="J48" t="s">
        <v>26</v>
      </c>
      <c r="K48" t="s">
        <v>26</v>
      </c>
      <c r="L48" t="s">
        <v>26</v>
      </c>
      <c r="M48" t="s">
        <v>26</v>
      </c>
      <c r="N48" t="s">
        <v>26</v>
      </c>
      <c r="O48" t="s">
        <v>26</v>
      </c>
      <c r="P48">
        <v>1</v>
      </c>
      <c r="Q48">
        <v>0</v>
      </c>
      <c r="R48">
        <v>1</v>
      </c>
      <c r="S48">
        <v>1</v>
      </c>
      <c r="T48">
        <v>3.0518999999999998</v>
      </c>
      <c r="U48">
        <v>4.3499999999999997E-2</v>
      </c>
      <c r="V48">
        <v>1</v>
      </c>
      <c r="W48">
        <f>E48/100</f>
        <v>0.23</v>
      </c>
      <c r="X48">
        <f>F48/1000000</f>
        <v>0.32766499999999998</v>
      </c>
      <c r="Y48">
        <f>IF(D48="C",1,0)</f>
        <v>0</v>
      </c>
      <c r="Z48">
        <f>IF(G48="C",1,0)</f>
        <v>0</v>
      </c>
      <c r="AA48">
        <f>IF(G48="S",1,0)</f>
        <v>0</v>
      </c>
      <c r="AB48">
        <f>IF(G48="U",1,0)</f>
        <v>0</v>
      </c>
      <c r="AC48" s="5">
        <f>IF(AND(ISNUMBER(H48),NOT(ISNUMBER(P48))),1,0)</f>
        <v>0</v>
      </c>
      <c r="AD48" s="5">
        <f>IF(AND(ISNUMBER(H48),ISNUMBER(P48)),1,0)</f>
        <v>0</v>
      </c>
      <c r="AE48" s="5">
        <f>W48</f>
        <v>0.23</v>
      </c>
      <c r="AF48" s="5">
        <f>X48</f>
        <v>0.32766499999999998</v>
      </c>
      <c r="AG48" s="5">
        <f>Y48</f>
        <v>0</v>
      </c>
      <c r="AH48" s="5">
        <f>IF(OR(G48="C",G48="S",G48="U"),1,0)</f>
        <v>0</v>
      </c>
      <c r="AI48" s="5">
        <f>IF(ISNUMBER(H48),1,0)</f>
        <v>0</v>
      </c>
      <c r="AJ48" s="5">
        <f>IF(ISNUMBER(P48),1,0)</f>
        <v>1</v>
      </c>
      <c r="AK48" s="5" t="str">
        <f>IF(AI48=1,IF(J48&gt;0,1,0),"")</f>
        <v/>
      </c>
      <c r="AL48" s="5">
        <f>IF(AJ48=1,IF(OR(Q48&gt;0,R48&gt;0),1,0),"")</f>
        <v>1</v>
      </c>
    </row>
    <row r="49" spans="1:38">
      <c r="A49">
        <v>13762</v>
      </c>
      <c r="B49" t="s">
        <v>75</v>
      </c>
      <c r="C49" t="s">
        <v>37</v>
      </c>
      <c r="D49" t="s">
        <v>24</v>
      </c>
      <c r="E49">
        <v>293</v>
      </c>
      <c r="F49">
        <v>500000</v>
      </c>
      <c r="G49" t="s">
        <v>25</v>
      </c>
      <c r="H49" t="s">
        <v>26</v>
      </c>
      <c r="I49" t="s">
        <v>26</v>
      </c>
      <c r="J49" t="s">
        <v>26</v>
      </c>
      <c r="K49" t="s">
        <v>26</v>
      </c>
      <c r="L49" t="s">
        <v>26</v>
      </c>
      <c r="M49" t="s">
        <v>26</v>
      </c>
      <c r="N49" t="s">
        <v>26</v>
      </c>
      <c r="O49" t="s">
        <v>26</v>
      </c>
      <c r="P49">
        <v>1</v>
      </c>
      <c r="Q49">
        <v>0</v>
      </c>
      <c r="R49">
        <v>1</v>
      </c>
      <c r="S49">
        <v>1</v>
      </c>
      <c r="T49">
        <v>2</v>
      </c>
      <c r="U49">
        <v>3.3999999999999998E-3</v>
      </c>
      <c r="V49">
        <v>1</v>
      </c>
      <c r="W49">
        <f>E49/100</f>
        <v>2.93</v>
      </c>
      <c r="X49">
        <f>F49/1000000</f>
        <v>0.5</v>
      </c>
      <c r="Y49">
        <f>IF(D49="C",1,0)</f>
        <v>0</v>
      </c>
      <c r="Z49">
        <f>IF(G49="C",1,0)</f>
        <v>0</v>
      </c>
      <c r="AA49">
        <f>IF(G49="S",1,0)</f>
        <v>1</v>
      </c>
      <c r="AB49">
        <f>IF(G49="U",1,0)</f>
        <v>0</v>
      </c>
      <c r="AC49" s="5">
        <f>IF(AND(ISNUMBER(H49),NOT(ISNUMBER(P49))),1,0)</f>
        <v>0</v>
      </c>
      <c r="AD49" s="5">
        <f>IF(AND(ISNUMBER(H49),ISNUMBER(P49)),1,0)</f>
        <v>0</v>
      </c>
      <c r="AE49" s="5">
        <f>W49</f>
        <v>2.93</v>
      </c>
      <c r="AF49" s="5">
        <f>X49</f>
        <v>0.5</v>
      </c>
      <c r="AG49" s="5">
        <f>Y49</f>
        <v>0</v>
      </c>
      <c r="AH49" s="5">
        <f>IF(OR(G49="C",G49="S",G49="U"),1,0)</f>
        <v>1</v>
      </c>
      <c r="AI49" s="5">
        <f>IF(ISNUMBER(H49),1,0)</f>
        <v>0</v>
      </c>
      <c r="AJ49" s="5">
        <f>IF(ISNUMBER(P49),1,0)</f>
        <v>1</v>
      </c>
      <c r="AK49" s="5" t="str">
        <f>IF(AI49=1,IF(J49&gt;0,1,0),"")</f>
        <v/>
      </c>
      <c r="AL49" s="5">
        <f>IF(AJ49=1,IF(OR(Q49&gt;0,R49&gt;0),1,0),"")</f>
        <v>1</v>
      </c>
    </row>
    <row r="50" spans="1:38">
      <c r="A50">
        <v>14480</v>
      </c>
      <c r="B50" t="s">
        <v>76</v>
      </c>
      <c r="C50" t="s">
        <v>77</v>
      </c>
      <c r="D50" t="s">
        <v>24</v>
      </c>
      <c r="E50">
        <v>82</v>
      </c>
      <c r="F50">
        <v>5557571</v>
      </c>
      <c r="G50" t="s">
        <v>25</v>
      </c>
      <c r="H50" t="s">
        <v>26</v>
      </c>
      <c r="I50" t="s">
        <v>26</v>
      </c>
      <c r="J50" t="s">
        <v>26</v>
      </c>
      <c r="K50" t="s">
        <v>26</v>
      </c>
      <c r="L50" t="s">
        <v>26</v>
      </c>
      <c r="M50" t="s">
        <v>26</v>
      </c>
      <c r="N50" t="s">
        <v>26</v>
      </c>
      <c r="O50" t="s">
        <v>26</v>
      </c>
      <c r="P50">
        <v>1</v>
      </c>
      <c r="Q50">
        <v>0</v>
      </c>
      <c r="R50">
        <v>0</v>
      </c>
      <c r="S50">
        <v>1</v>
      </c>
      <c r="T50">
        <v>0.1799</v>
      </c>
      <c r="U50">
        <v>1.2200000000000001E-2</v>
      </c>
      <c r="V50">
        <v>0</v>
      </c>
      <c r="W50">
        <f>E50/100</f>
        <v>0.82</v>
      </c>
      <c r="X50">
        <f>F50/1000000</f>
        <v>5.5575710000000003</v>
      </c>
      <c r="Y50">
        <f>IF(D50="C",1,0)</f>
        <v>0</v>
      </c>
      <c r="Z50">
        <f>IF(G50="C",1,0)</f>
        <v>0</v>
      </c>
      <c r="AA50">
        <f>IF(G50="S",1,0)</f>
        <v>1</v>
      </c>
      <c r="AB50">
        <f>IF(G50="U",1,0)</f>
        <v>0</v>
      </c>
      <c r="AC50" s="5">
        <f>IF(AND(ISNUMBER(H50),NOT(ISNUMBER(P50))),1,0)</f>
        <v>0</v>
      </c>
      <c r="AD50" s="5">
        <f>IF(AND(ISNUMBER(H50),ISNUMBER(P50)),1,0)</f>
        <v>0</v>
      </c>
      <c r="AE50" s="5">
        <f>W50</f>
        <v>0.82</v>
      </c>
      <c r="AF50" s="5">
        <f>X50</f>
        <v>5.5575710000000003</v>
      </c>
      <c r="AG50" s="5">
        <f>Y50</f>
        <v>0</v>
      </c>
      <c r="AH50" s="5">
        <f>IF(OR(G50="C",G50="S",G50="U"),1,0)</f>
        <v>1</v>
      </c>
      <c r="AI50" s="5">
        <f>IF(ISNUMBER(H50),1,0)</f>
        <v>0</v>
      </c>
      <c r="AJ50" s="5">
        <f>IF(ISNUMBER(P50),1,0)</f>
        <v>1</v>
      </c>
      <c r="AK50" s="5" t="str">
        <f>IF(AI50=1,IF(J50&gt;0,1,0),"")</f>
        <v/>
      </c>
      <c r="AL50" s="5">
        <f>IF(AJ50=1,IF(OR(Q50&gt;0,R50&gt;0),1,0),"")</f>
        <v>0</v>
      </c>
    </row>
    <row r="51" spans="1:38">
      <c r="A51">
        <v>15092</v>
      </c>
      <c r="B51" t="s">
        <v>78</v>
      </c>
      <c r="C51" t="s">
        <v>37</v>
      </c>
      <c r="D51" t="s">
        <v>24</v>
      </c>
      <c r="E51">
        <v>11</v>
      </c>
      <c r="F51">
        <v>419172</v>
      </c>
      <c r="G51" t="s">
        <v>25</v>
      </c>
      <c r="H51" t="s">
        <v>26</v>
      </c>
      <c r="I51" t="s">
        <v>26</v>
      </c>
      <c r="J51" t="s">
        <v>26</v>
      </c>
      <c r="K51" t="s">
        <v>26</v>
      </c>
      <c r="L51" t="s">
        <v>26</v>
      </c>
      <c r="M51" t="s">
        <v>26</v>
      </c>
      <c r="N51" t="s">
        <v>26</v>
      </c>
      <c r="O51" t="s">
        <v>26</v>
      </c>
      <c r="P51">
        <v>1</v>
      </c>
      <c r="Q51">
        <v>0</v>
      </c>
      <c r="R51">
        <v>1</v>
      </c>
      <c r="S51">
        <v>1</v>
      </c>
      <c r="T51">
        <v>2.3856999999999999</v>
      </c>
      <c r="U51">
        <v>9.0899999999999995E-2</v>
      </c>
      <c r="V51">
        <v>1</v>
      </c>
      <c r="W51">
        <f>E51/100</f>
        <v>0.11</v>
      </c>
      <c r="X51">
        <f>F51/1000000</f>
        <v>0.41917199999999999</v>
      </c>
      <c r="Y51">
        <f>IF(D51="C",1,0)</f>
        <v>0</v>
      </c>
      <c r="Z51">
        <f>IF(G51="C",1,0)</f>
        <v>0</v>
      </c>
      <c r="AA51">
        <f>IF(G51="S",1,0)</f>
        <v>1</v>
      </c>
      <c r="AB51">
        <f>IF(G51="U",1,0)</f>
        <v>0</v>
      </c>
      <c r="AC51" s="5">
        <f>IF(AND(ISNUMBER(H51),NOT(ISNUMBER(P51))),1,0)</f>
        <v>0</v>
      </c>
      <c r="AD51" s="5">
        <f>IF(AND(ISNUMBER(H51),ISNUMBER(P51)),1,0)</f>
        <v>0</v>
      </c>
      <c r="AE51" s="5">
        <f>W51</f>
        <v>0.11</v>
      </c>
      <c r="AF51" s="5">
        <f>X51</f>
        <v>0.41917199999999999</v>
      </c>
      <c r="AG51" s="5">
        <f>Y51</f>
        <v>0</v>
      </c>
      <c r="AH51" s="5">
        <f>IF(OR(G51="C",G51="S",G51="U"),1,0)</f>
        <v>1</v>
      </c>
      <c r="AI51" s="5">
        <f>IF(ISNUMBER(H51),1,0)</f>
        <v>0</v>
      </c>
      <c r="AJ51" s="5">
        <f>IF(ISNUMBER(P51),1,0)</f>
        <v>1</v>
      </c>
      <c r="AK51" s="5" t="str">
        <f>IF(AI51=1,IF(J51&gt;0,1,0),"")</f>
        <v/>
      </c>
      <c r="AL51" s="5">
        <f>IF(AJ51=1,IF(OR(Q51&gt;0,R51&gt;0),1,0),"")</f>
        <v>1</v>
      </c>
    </row>
    <row r="52" spans="1:38">
      <c r="A52">
        <v>16653</v>
      </c>
      <c r="B52" t="s">
        <v>79</v>
      </c>
      <c r="C52" t="s">
        <v>37</v>
      </c>
      <c r="D52" t="s">
        <v>24</v>
      </c>
      <c r="E52">
        <v>33</v>
      </c>
      <c r="F52">
        <v>858562</v>
      </c>
      <c r="G52" t="s">
        <v>33</v>
      </c>
      <c r="H52" t="s">
        <v>26</v>
      </c>
      <c r="I52" t="s">
        <v>26</v>
      </c>
      <c r="J52" t="s">
        <v>26</v>
      </c>
      <c r="K52" t="s">
        <v>26</v>
      </c>
      <c r="L52" t="s">
        <v>26</v>
      </c>
      <c r="M52" t="s">
        <v>26</v>
      </c>
      <c r="N52" t="s">
        <v>26</v>
      </c>
      <c r="O52" t="s">
        <v>26</v>
      </c>
      <c r="P52">
        <v>1</v>
      </c>
      <c r="Q52">
        <v>0</v>
      </c>
      <c r="R52">
        <v>1</v>
      </c>
      <c r="S52">
        <v>1</v>
      </c>
      <c r="T52">
        <v>1.1647000000000001</v>
      </c>
      <c r="U52">
        <v>3.0300000000000001E-2</v>
      </c>
      <c r="V52">
        <v>1</v>
      </c>
      <c r="W52">
        <f>E52/100</f>
        <v>0.33</v>
      </c>
      <c r="X52">
        <f>F52/1000000</f>
        <v>0.85856200000000005</v>
      </c>
      <c r="Y52">
        <f>IF(D52="C",1,0)</f>
        <v>0</v>
      </c>
      <c r="Z52">
        <f>IF(G52="C",1,0)</f>
        <v>1</v>
      </c>
      <c r="AA52">
        <f>IF(G52="S",1,0)</f>
        <v>0</v>
      </c>
      <c r="AB52">
        <f>IF(G52="U",1,0)</f>
        <v>0</v>
      </c>
      <c r="AC52" s="5">
        <f>IF(AND(ISNUMBER(H52),NOT(ISNUMBER(P52))),1,0)</f>
        <v>0</v>
      </c>
      <c r="AD52" s="5">
        <f>IF(AND(ISNUMBER(H52),ISNUMBER(P52)),1,0)</f>
        <v>0</v>
      </c>
      <c r="AE52" s="5">
        <f>W52</f>
        <v>0.33</v>
      </c>
      <c r="AF52" s="5">
        <f>X52</f>
        <v>0.85856200000000005</v>
      </c>
      <c r="AG52" s="5">
        <f>Y52</f>
        <v>0</v>
      </c>
      <c r="AH52" s="5">
        <f>IF(OR(G52="C",G52="S",G52="U"),1,0)</f>
        <v>1</v>
      </c>
      <c r="AI52" s="5">
        <f>IF(ISNUMBER(H52),1,0)</f>
        <v>0</v>
      </c>
      <c r="AJ52" s="5">
        <f>IF(ISNUMBER(P52),1,0)</f>
        <v>1</v>
      </c>
      <c r="AK52" s="5" t="str">
        <f>IF(AI52=1,IF(J52&gt;0,1,0),"")</f>
        <v/>
      </c>
      <c r="AL52" s="5">
        <f>IF(AJ52=1,IF(OR(Q52&gt;0,R52&gt;0),1,0),"")</f>
        <v>1</v>
      </c>
    </row>
    <row r="53" spans="1:38">
      <c r="A53">
        <v>17109</v>
      </c>
      <c r="B53" t="s">
        <v>81</v>
      </c>
      <c r="C53" t="s">
        <v>82</v>
      </c>
      <c r="D53" t="s">
        <v>24</v>
      </c>
      <c r="E53">
        <v>121</v>
      </c>
      <c r="F53">
        <v>2450369</v>
      </c>
      <c r="G53" t="s">
        <v>25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26</v>
      </c>
      <c r="N53" t="s">
        <v>26</v>
      </c>
      <c r="O53" t="s">
        <v>26</v>
      </c>
      <c r="P53">
        <v>1</v>
      </c>
      <c r="Q53">
        <v>0</v>
      </c>
      <c r="R53">
        <v>1</v>
      </c>
      <c r="S53">
        <v>0</v>
      </c>
      <c r="T53">
        <v>0.40810000000000002</v>
      </c>
      <c r="U53">
        <v>8.3000000000000001E-3</v>
      </c>
      <c r="V53">
        <v>1</v>
      </c>
      <c r="W53">
        <f>E53/100</f>
        <v>1.21</v>
      </c>
      <c r="X53">
        <f>F53/1000000</f>
        <v>2.4503689999999998</v>
      </c>
      <c r="Y53">
        <f>IF(D53="C",1,0)</f>
        <v>0</v>
      </c>
      <c r="Z53">
        <f>IF(G53="C",1,0)</f>
        <v>0</v>
      </c>
      <c r="AA53">
        <f>IF(G53="S",1,0)</f>
        <v>1</v>
      </c>
      <c r="AB53">
        <f>IF(G53="U",1,0)</f>
        <v>0</v>
      </c>
      <c r="AC53" s="5">
        <f>IF(AND(ISNUMBER(H53),NOT(ISNUMBER(P53))),1,0)</f>
        <v>0</v>
      </c>
      <c r="AD53" s="5">
        <f>IF(AND(ISNUMBER(H53),ISNUMBER(P53)),1,0)</f>
        <v>0</v>
      </c>
      <c r="AE53" s="5">
        <f>W53</f>
        <v>1.21</v>
      </c>
      <c r="AF53" s="5">
        <f>X53</f>
        <v>2.4503689999999998</v>
      </c>
      <c r="AG53" s="5">
        <f>Y53</f>
        <v>0</v>
      </c>
      <c r="AH53" s="5">
        <f>IF(OR(G53="C",G53="S",G53="U"),1,0)</f>
        <v>1</v>
      </c>
      <c r="AI53" s="5">
        <f>IF(ISNUMBER(H53),1,0)</f>
        <v>0</v>
      </c>
      <c r="AJ53" s="5">
        <f>IF(ISNUMBER(P53),1,0)</f>
        <v>1</v>
      </c>
      <c r="AK53" s="5" t="str">
        <f>IF(AI53=1,IF(J53&gt;0,1,0),"")</f>
        <v/>
      </c>
      <c r="AL53" s="5">
        <f>IF(AJ53=1,IF(OR(Q53&gt;0,R53&gt;0),1,0),"")</f>
        <v>1</v>
      </c>
    </row>
    <row r="54" spans="1:38">
      <c r="A54">
        <v>17461</v>
      </c>
      <c r="B54" t="s">
        <v>83</v>
      </c>
      <c r="C54" t="s">
        <v>84</v>
      </c>
      <c r="D54" t="s">
        <v>24</v>
      </c>
      <c r="E54">
        <v>1</v>
      </c>
      <c r="F54">
        <v>80000</v>
      </c>
      <c r="G54" t="s">
        <v>25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26</v>
      </c>
      <c r="N54" t="s">
        <v>26</v>
      </c>
      <c r="O54" t="s">
        <v>26</v>
      </c>
      <c r="P54">
        <v>1</v>
      </c>
      <c r="Q54">
        <v>0</v>
      </c>
      <c r="R54">
        <v>1</v>
      </c>
      <c r="S54">
        <v>0</v>
      </c>
      <c r="T54">
        <v>12.5</v>
      </c>
      <c r="U54">
        <v>1</v>
      </c>
      <c r="V54">
        <v>1</v>
      </c>
      <c r="W54">
        <f>E54/100</f>
        <v>0.01</v>
      </c>
      <c r="X54">
        <f>F54/1000000</f>
        <v>0.08</v>
      </c>
      <c r="Y54">
        <f>IF(D54="C",1,0)</f>
        <v>0</v>
      </c>
      <c r="Z54">
        <f>IF(G54="C",1,0)</f>
        <v>0</v>
      </c>
      <c r="AA54">
        <f>IF(G54="S",1,0)</f>
        <v>1</v>
      </c>
      <c r="AB54">
        <f>IF(G54="U",1,0)</f>
        <v>0</v>
      </c>
      <c r="AC54" s="5">
        <f>IF(AND(ISNUMBER(H54),NOT(ISNUMBER(P54))),1,0)</f>
        <v>0</v>
      </c>
      <c r="AD54" s="5">
        <f>IF(AND(ISNUMBER(H54),ISNUMBER(P54)),1,0)</f>
        <v>0</v>
      </c>
      <c r="AE54" s="5">
        <f>W54</f>
        <v>0.01</v>
      </c>
      <c r="AF54" s="5">
        <f>X54</f>
        <v>0.08</v>
      </c>
      <c r="AG54" s="5">
        <f>Y54</f>
        <v>0</v>
      </c>
      <c r="AH54" s="5">
        <f>IF(OR(G54="C",G54="S",G54="U"),1,0)</f>
        <v>1</v>
      </c>
      <c r="AI54" s="5">
        <f>IF(ISNUMBER(H54),1,0)</f>
        <v>0</v>
      </c>
      <c r="AJ54" s="5">
        <f>IF(ISNUMBER(P54),1,0)</f>
        <v>1</v>
      </c>
      <c r="AK54" s="5" t="str">
        <f>IF(AI54=1,IF(J54&gt;0,1,0),"")</f>
        <v/>
      </c>
      <c r="AL54" s="5">
        <f>IF(AJ54=1,IF(OR(Q54&gt;0,R54&gt;0),1,0),"")</f>
        <v>1</v>
      </c>
    </row>
    <row r="55" spans="1:38">
      <c r="A55">
        <v>17647</v>
      </c>
      <c r="B55" t="s">
        <v>85</v>
      </c>
      <c r="C55" t="s">
        <v>82</v>
      </c>
      <c r="D55" t="s">
        <v>24</v>
      </c>
      <c r="E55">
        <v>9</v>
      </c>
      <c r="F55">
        <v>280000</v>
      </c>
      <c r="G55" t="s">
        <v>25</v>
      </c>
      <c r="H55" t="s">
        <v>26</v>
      </c>
      <c r="I55" t="s">
        <v>26</v>
      </c>
      <c r="J55" t="s">
        <v>26</v>
      </c>
      <c r="K55" t="s">
        <v>26</v>
      </c>
      <c r="L55" t="s">
        <v>26</v>
      </c>
      <c r="M55" t="s">
        <v>26</v>
      </c>
      <c r="N55" t="s">
        <v>26</v>
      </c>
      <c r="O55" t="s">
        <v>26</v>
      </c>
      <c r="P55">
        <v>1</v>
      </c>
      <c r="Q55">
        <v>0</v>
      </c>
      <c r="R55">
        <v>0</v>
      </c>
      <c r="S55">
        <v>1</v>
      </c>
      <c r="T55">
        <v>3.5714000000000001</v>
      </c>
      <c r="U55">
        <v>0.1111</v>
      </c>
      <c r="V55">
        <v>0</v>
      </c>
      <c r="W55">
        <f>E55/100</f>
        <v>0.09</v>
      </c>
      <c r="X55">
        <f>F55/1000000</f>
        <v>0.28000000000000003</v>
      </c>
      <c r="Y55">
        <f>IF(D55="C",1,0)</f>
        <v>0</v>
      </c>
      <c r="Z55">
        <f>IF(G55="C",1,0)</f>
        <v>0</v>
      </c>
      <c r="AA55">
        <f>IF(G55="S",1,0)</f>
        <v>1</v>
      </c>
      <c r="AB55">
        <f>IF(G55="U",1,0)</f>
        <v>0</v>
      </c>
      <c r="AC55" s="5">
        <f>IF(AND(ISNUMBER(H55),NOT(ISNUMBER(P55))),1,0)</f>
        <v>0</v>
      </c>
      <c r="AD55" s="5">
        <f>IF(AND(ISNUMBER(H55),ISNUMBER(P55)),1,0)</f>
        <v>0</v>
      </c>
      <c r="AE55" s="5">
        <f>W55</f>
        <v>0.09</v>
      </c>
      <c r="AF55" s="5">
        <f>X55</f>
        <v>0.28000000000000003</v>
      </c>
      <c r="AG55" s="5">
        <f>Y55</f>
        <v>0</v>
      </c>
      <c r="AH55" s="5">
        <f>IF(OR(G55="C",G55="S",G55="U"),1,0)</f>
        <v>1</v>
      </c>
      <c r="AI55" s="5">
        <f>IF(ISNUMBER(H55),1,0)</f>
        <v>0</v>
      </c>
      <c r="AJ55" s="5">
        <f>IF(ISNUMBER(P55),1,0)</f>
        <v>1</v>
      </c>
      <c r="AK55" s="5" t="str">
        <f>IF(AI55=1,IF(J55&gt;0,1,0),"")</f>
        <v/>
      </c>
      <c r="AL55" s="5">
        <f>IF(AJ55=1,IF(OR(Q55&gt;0,R55&gt;0),1,0),"")</f>
        <v>0</v>
      </c>
    </row>
    <row r="56" spans="1:38">
      <c r="A56">
        <v>18647</v>
      </c>
      <c r="B56" t="s">
        <v>86</v>
      </c>
      <c r="C56" t="s">
        <v>82</v>
      </c>
      <c r="D56" t="s">
        <v>24</v>
      </c>
      <c r="E56">
        <v>38</v>
      </c>
      <c r="F56">
        <v>227000</v>
      </c>
      <c r="G56" t="s">
        <v>25</v>
      </c>
      <c r="H56" t="s">
        <v>26</v>
      </c>
      <c r="I56" t="s">
        <v>26</v>
      </c>
      <c r="J56" t="s">
        <v>26</v>
      </c>
      <c r="K56" t="s">
        <v>26</v>
      </c>
      <c r="L56" t="s">
        <v>26</v>
      </c>
      <c r="M56" t="s">
        <v>26</v>
      </c>
      <c r="N56" t="s">
        <v>26</v>
      </c>
      <c r="O56" t="s">
        <v>26</v>
      </c>
      <c r="P56">
        <v>1</v>
      </c>
      <c r="Q56">
        <v>0</v>
      </c>
      <c r="R56">
        <v>0</v>
      </c>
      <c r="S56">
        <v>1</v>
      </c>
      <c r="T56">
        <v>4.4053000000000004</v>
      </c>
      <c r="U56">
        <v>2.63E-2</v>
      </c>
      <c r="V56">
        <v>0</v>
      </c>
      <c r="W56">
        <f>E56/100</f>
        <v>0.38</v>
      </c>
      <c r="X56">
        <f>F56/1000000</f>
        <v>0.22700000000000001</v>
      </c>
      <c r="Y56">
        <f>IF(D56="C",1,0)</f>
        <v>0</v>
      </c>
      <c r="Z56">
        <f>IF(G56="C",1,0)</f>
        <v>0</v>
      </c>
      <c r="AA56">
        <f>IF(G56="S",1,0)</f>
        <v>1</v>
      </c>
      <c r="AB56">
        <f>IF(G56="U",1,0)</f>
        <v>0</v>
      </c>
      <c r="AC56" s="5">
        <f>IF(AND(ISNUMBER(H56),NOT(ISNUMBER(P56))),1,0)</f>
        <v>0</v>
      </c>
      <c r="AD56" s="5">
        <f>IF(AND(ISNUMBER(H56),ISNUMBER(P56)),1,0)</f>
        <v>0</v>
      </c>
      <c r="AE56" s="5">
        <f>W56</f>
        <v>0.38</v>
      </c>
      <c r="AF56" s="5">
        <f>X56</f>
        <v>0.22700000000000001</v>
      </c>
      <c r="AG56" s="5">
        <f>Y56</f>
        <v>0</v>
      </c>
      <c r="AH56" s="5">
        <f>IF(OR(G56="C",G56="S",G56="U"),1,0)</f>
        <v>1</v>
      </c>
      <c r="AI56" s="5">
        <f>IF(ISNUMBER(H56),1,0)</f>
        <v>0</v>
      </c>
      <c r="AJ56" s="5">
        <f>IF(ISNUMBER(P56),1,0)</f>
        <v>1</v>
      </c>
      <c r="AK56" s="5" t="str">
        <f>IF(AI56=1,IF(J56&gt;0,1,0),"")</f>
        <v/>
      </c>
      <c r="AL56" s="5">
        <f>IF(AJ56=1,IF(OR(Q56&gt;0,R56&gt;0),1,0),"")</f>
        <v>0</v>
      </c>
    </row>
    <row r="57" spans="1:38">
      <c r="A57">
        <v>19446</v>
      </c>
      <c r="B57" t="s">
        <v>87</v>
      </c>
      <c r="C57" t="s">
        <v>37</v>
      </c>
      <c r="D57" t="s">
        <v>24</v>
      </c>
      <c r="E57">
        <v>52</v>
      </c>
      <c r="F57">
        <v>2441494</v>
      </c>
      <c r="G57" t="s">
        <v>25</v>
      </c>
      <c r="H57" t="s">
        <v>26</v>
      </c>
      <c r="I57" t="s">
        <v>26</v>
      </c>
      <c r="J57" t="s">
        <v>26</v>
      </c>
      <c r="K57" t="s">
        <v>26</v>
      </c>
      <c r="L57" t="s">
        <v>26</v>
      </c>
      <c r="M57" t="s">
        <v>26</v>
      </c>
      <c r="N57" t="s">
        <v>26</v>
      </c>
      <c r="O57" t="s">
        <v>26</v>
      </c>
      <c r="P57">
        <v>1</v>
      </c>
      <c r="Q57">
        <v>0</v>
      </c>
      <c r="R57">
        <v>1</v>
      </c>
      <c r="S57">
        <v>1</v>
      </c>
      <c r="T57">
        <v>0.40960000000000002</v>
      </c>
      <c r="U57">
        <v>1.9199999999999998E-2</v>
      </c>
      <c r="V57">
        <v>1</v>
      </c>
      <c r="W57">
        <f>E57/100</f>
        <v>0.52</v>
      </c>
      <c r="X57">
        <f>F57/1000000</f>
        <v>2.4414940000000001</v>
      </c>
      <c r="Y57">
        <f>IF(D57="C",1,0)</f>
        <v>0</v>
      </c>
      <c r="Z57">
        <f>IF(G57="C",1,0)</f>
        <v>0</v>
      </c>
      <c r="AA57">
        <f>IF(G57="S",1,0)</f>
        <v>1</v>
      </c>
      <c r="AB57">
        <f>IF(G57="U",1,0)</f>
        <v>0</v>
      </c>
      <c r="AC57" s="5">
        <f>IF(AND(ISNUMBER(H57),NOT(ISNUMBER(P57))),1,0)</f>
        <v>0</v>
      </c>
      <c r="AD57" s="5">
        <f>IF(AND(ISNUMBER(H57),ISNUMBER(P57)),1,0)</f>
        <v>0</v>
      </c>
      <c r="AE57" s="5">
        <f>W57</f>
        <v>0.52</v>
      </c>
      <c r="AF57" s="5">
        <f>X57</f>
        <v>2.4414940000000001</v>
      </c>
      <c r="AG57" s="5">
        <f>Y57</f>
        <v>0</v>
      </c>
      <c r="AH57" s="5">
        <f>IF(OR(G57="C",G57="S",G57="U"),1,0)</f>
        <v>1</v>
      </c>
      <c r="AI57" s="5">
        <f>IF(ISNUMBER(H57),1,0)</f>
        <v>0</v>
      </c>
      <c r="AJ57" s="5">
        <f>IF(ISNUMBER(P57),1,0)</f>
        <v>1</v>
      </c>
      <c r="AK57" s="5" t="str">
        <f>IF(AI57=1,IF(J57&gt;0,1,0),"")</f>
        <v/>
      </c>
      <c r="AL57" s="5">
        <f>IF(AJ57=1,IF(OR(Q57&gt;0,R57&gt;0),1,0),"")</f>
        <v>1</v>
      </c>
    </row>
    <row r="58" spans="1:38">
      <c r="A58">
        <v>19468</v>
      </c>
      <c r="B58" t="s">
        <v>88</v>
      </c>
      <c r="C58" t="s">
        <v>37</v>
      </c>
      <c r="D58" t="s">
        <v>33</v>
      </c>
      <c r="E58">
        <v>4</v>
      </c>
      <c r="F58">
        <v>250000</v>
      </c>
      <c r="H58" t="s">
        <v>26</v>
      </c>
      <c r="I58" t="s">
        <v>26</v>
      </c>
      <c r="J58" t="s">
        <v>26</v>
      </c>
      <c r="K58" t="s">
        <v>26</v>
      </c>
      <c r="L58" t="s">
        <v>26</v>
      </c>
      <c r="M58" t="s">
        <v>26</v>
      </c>
      <c r="N58" t="s">
        <v>26</v>
      </c>
      <c r="O58" t="s">
        <v>26</v>
      </c>
      <c r="P58">
        <v>1</v>
      </c>
      <c r="Q58">
        <v>0</v>
      </c>
      <c r="R58">
        <v>1</v>
      </c>
      <c r="S58">
        <v>1</v>
      </c>
      <c r="T58">
        <v>4</v>
      </c>
      <c r="U58">
        <v>0.25</v>
      </c>
      <c r="V58">
        <v>1</v>
      </c>
      <c r="W58">
        <f>E58/100</f>
        <v>0.04</v>
      </c>
      <c r="X58">
        <f>F58/1000000</f>
        <v>0.25</v>
      </c>
      <c r="Y58">
        <f>IF(D58="C",1,0)</f>
        <v>1</v>
      </c>
      <c r="Z58">
        <f>IF(G58="C",1,0)</f>
        <v>0</v>
      </c>
      <c r="AA58">
        <f>IF(G58="S",1,0)</f>
        <v>0</v>
      </c>
      <c r="AB58">
        <f>IF(G58="U",1,0)</f>
        <v>0</v>
      </c>
      <c r="AC58" s="5">
        <f>IF(AND(ISNUMBER(H58),NOT(ISNUMBER(P58))),1,0)</f>
        <v>0</v>
      </c>
      <c r="AD58" s="5">
        <f>IF(AND(ISNUMBER(H58),ISNUMBER(P58)),1,0)</f>
        <v>0</v>
      </c>
      <c r="AE58" s="5">
        <f>W58</f>
        <v>0.04</v>
      </c>
      <c r="AF58" s="5">
        <f>X58</f>
        <v>0.25</v>
      </c>
      <c r="AG58" s="5">
        <f>Y58</f>
        <v>1</v>
      </c>
      <c r="AH58" s="5">
        <f>IF(OR(G58="C",G58="S",G58="U"),1,0)</f>
        <v>0</v>
      </c>
      <c r="AI58" s="5">
        <f>IF(ISNUMBER(H58),1,0)</f>
        <v>0</v>
      </c>
      <c r="AJ58" s="5">
        <f>IF(ISNUMBER(P58),1,0)</f>
        <v>1</v>
      </c>
      <c r="AK58" s="5" t="str">
        <f>IF(AI58=1,IF(J58&gt;0,1,0),"")</f>
        <v/>
      </c>
      <c r="AL58" s="5">
        <f>IF(AJ58=1,IF(OR(Q58&gt;0,R58&gt;0),1,0),"")</f>
        <v>1</v>
      </c>
    </row>
    <row r="59" spans="1:38">
      <c r="A59">
        <v>20604</v>
      </c>
      <c r="B59" t="s">
        <v>89</v>
      </c>
      <c r="C59" t="s">
        <v>37</v>
      </c>
      <c r="D59" t="s">
        <v>24</v>
      </c>
      <c r="E59">
        <v>28</v>
      </c>
      <c r="F59">
        <v>1700000</v>
      </c>
      <c r="G59" t="s">
        <v>25</v>
      </c>
      <c r="H59" t="s">
        <v>26</v>
      </c>
      <c r="I59" t="s">
        <v>26</v>
      </c>
      <c r="J59" t="s">
        <v>26</v>
      </c>
      <c r="K59" t="s">
        <v>26</v>
      </c>
      <c r="L59" t="s">
        <v>26</v>
      </c>
      <c r="M59" t="s">
        <v>26</v>
      </c>
      <c r="N59" t="s">
        <v>26</v>
      </c>
      <c r="O59" t="s">
        <v>26</v>
      </c>
      <c r="P59">
        <v>1</v>
      </c>
      <c r="Q59">
        <v>0</v>
      </c>
      <c r="R59">
        <v>1</v>
      </c>
      <c r="S59">
        <v>0</v>
      </c>
      <c r="T59">
        <v>0.58819999999999995</v>
      </c>
      <c r="U59">
        <v>3.5700000000000003E-2</v>
      </c>
      <c r="V59">
        <v>1</v>
      </c>
      <c r="W59">
        <f>E59/100</f>
        <v>0.28000000000000003</v>
      </c>
      <c r="X59">
        <f>F59/1000000</f>
        <v>1.7</v>
      </c>
      <c r="Y59">
        <f>IF(D59="C",1,0)</f>
        <v>0</v>
      </c>
      <c r="Z59">
        <f>IF(G59="C",1,0)</f>
        <v>0</v>
      </c>
      <c r="AA59">
        <f>IF(G59="S",1,0)</f>
        <v>1</v>
      </c>
      <c r="AB59">
        <f>IF(G59="U",1,0)</f>
        <v>0</v>
      </c>
      <c r="AC59" s="5">
        <f>IF(AND(ISNUMBER(H59),NOT(ISNUMBER(P59))),1,0)</f>
        <v>0</v>
      </c>
      <c r="AD59" s="5">
        <f>IF(AND(ISNUMBER(H59),ISNUMBER(P59)),1,0)</f>
        <v>0</v>
      </c>
      <c r="AE59" s="5">
        <f>W59</f>
        <v>0.28000000000000003</v>
      </c>
      <c r="AF59" s="5">
        <f>X59</f>
        <v>1.7</v>
      </c>
      <c r="AG59" s="5">
        <f>Y59</f>
        <v>0</v>
      </c>
      <c r="AH59" s="5">
        <f>IF(OR(G59="C",G59="S",G59="U"),1,0)</f>
        <v>1</v>
      </c>
      <c r="AI59" s="5">
        <f>IF(ISNUMBER(H59),1,0)</f>
        <v>0</v>
      </c>
      <c r="AJ59" s="5">
        <f>IF(ISNUMBER(P59),1,0)</f>
        <v>1</v>
      </c>
      <c r="AK59" s="5" t="str">
        <f>IF(AI59=1,IF(J59&gt;0,1,0),"")</f>
        <v/>
      </c>
      <c r="AL59" s="5">
        <f>IF(AJ59=1,IF(OR(Q59&gt;0,R59&gt;0),1,0),"")</f>
        <v>1</v>
      </c>
    </row>
    <row r="60" spans="1:38">
      <c r="A60">
        <v>20622</v>
      </c>
      <c r="B60" t="s">
        <v>91</v>
      </c>
      <c r="C60" t="s">
        <v>37</v>
      </c>
      <c r="D60" t="s">
        <v>24</v>
      </c>
      <c r="E60">
        <v>142</v>
      </c>
      <c r="F60">
        <v>2863583</v>
      </c>
      <c r="G60" t="s">
        <v>25</v>
      </c>
      <c r="H60" t="s">
        <v>26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>
        <v>1</v>
      </c>
      <c r="Q60">
        <v>0</v>
      </c>
      <c r="R60">
        <v>0</v>
      </c>
      <c r="S60">
        <v>1</v>
      </c>
      <c r="T60">
        <v>0.34920000000000001</v>
      </c>
      <c r="U60">
        <v>7.0000000000000001E-3</v>
      </c>
      <c r="V60">
        <v>0</v>
      </c>
      <c r="W60">
        <f>E60/100</f>
        <v>1.42</v>
      </c>
      <c r="X60">
        <f>F60/1000000</f>
        <v>2.8635830000000002</v>
      </c>
      <c r="Y60">
        <f>IF(D60="C",1,0)</f>
        <v>0</v>
      </c>
      <c r="Z60">
        <f>IF(G60="C",1,0)</f>
        <v>0</v>
      </c>
      <c r="AA60">
        <f>IF(G60="S",1,0)</f>
        <v>1</v>
      </c>
      <c r="AB60">
        <f>IF(G60="U",1,0)</f>
        <v>0</v>
      </c>
      <c r="AC60" s="5">
        <f>IF(AND(ISNUMBER(H60),NOT(ISNUMBER(P60))),1,0)</f>
        <v>0</v>
      </c>
      <c r="AD60" s="5">
        <f>IF(AND(ISNUMBER(H60),ISNUMBER(P60)),1,0)</f>
        <v>0</v>
      </c>
      <c r="AE60" s="5">
        <f>W60</f>
        <v>1.42</v>
      </c>
      <c r="AF60" s="5">
        <f>X60</f>
        <v>2.8635830000000002</v>
      </c>
      <c r="AG60" s="5">
        <f>Y60</f>
        <v>0</v>
      </c>
      <c r="AH60" s="5">
        <f>IF(OR(G60="C",G60="S",G60="U"),1,0)</f>
        <v>1</v>
      </c>
      <c r="AI60" s="5">
        <f>IF(ISNUMBER(H60),1,0)</f>
        <v>0</v>
      </c>
      <c r="AJ60" s="5">
        <f>IF(ISNUMBER(P60),1,0)</f>
        <v>1</v>
      </c>
      <c r="AK60" s="5" t="str">
        <f>IF(AI60=1,IF(J60&gt;0,1,0),"")</f>
        <v/>
      </c>
      <c r="AL60" s="5">
        <f>IF(AJ60=1,IF(OR(Q60&gt;0,R60&gt;0),1,0),"")</f>
        <v>0</v>
      </c>
    </row>
    <row r="61" spans="1:38">
      <c r="A61">
        <v>20707</v>
      </c>
      <c r="B61" t="s">
        <v>92</v>
      </c>
      <c r="C61" t="s">
        <v>93</v>
      </c>
      <c r="D61" t="s">
        <v>24</v>
      </c>
      <c r="E61">
        <v>5</v>
      </c>
      <c r="F61">
        <v>63941</v>
      </c>
      <c r="G61" t="s">
        <v>25</v>
      </c>
      <c r="H61" t="s">
        <v>26</v>
      </c>
      <c r="I61" t="s">
        <v>26</v>
      </c>
      <c r="J61" t="s">
        <v>26</v>
      </c>
      <c r="K61" t="s">
        <v>26</v>
      </c>
      <c r="L61" t="s">
        <v>26</v>
      </c>
      <c r="M61" t="s">
        <v>26</v>
      </c>
      <c r="N61" t="s">
        <v>26</v>
      </c>
      <c r="O61" t="s">
        <v>26</v>
      </c>
      <c r="P61">
        <v>1</v>
      </c>
      <c r="Q61">
        <v>0</v>
      </c>
      <c r="R61">
        <v>0</v>
      </c>
      <c r="S61">
        <v>1</v>
      </c>
      <c r="T61">
        <v>15.6394</v>
      </c>
      <c r="U61">
        <v>0.2</v>
      </c>
      <c r="V61">
        <v>0</v>
      </c>
      <c r="W61">
        <f>E61/100</f>
        <v>0.05</v>
      </c>
      <c r="X61">
        <f>F61/1000000</f>
        <v>6.3940999999999998E-2</v>
      </c>
      <c r="Y61">
        <f>IF(D61="C",1,0)</f>
        <v>0</v>
      </c>
      <c r="Z61">
        <f>IF(G61="C",1,0)</f>
        <v>0</v>
      </c>
      <c r="AA61">
        <f>IF(G61="S",1,0)</f>
        <v>1</v>
      </c>
      <c r="AB61">
        <f>IF(G61="U",1,0)</f>
        <v>0</v>
      </c>
      <c r="AC61" s="5">
        <f>IF(AND(ISNUMBER(H61),NOT(ISNUMBER(P61))),1,0)</f>
        <v>0</v>
      </c>
      <c r="AD61" s="5">
        <f>IF(AND(ISNUMBER(H61),ISNUMBER(P61)),1,0)</f>
        <v>0</v>
      </c>
      <c r="AE61" s="5">
        <f>W61</f>
        <v>0.05</v>
      </c>
      <c r="AF61" s="5">
        <f>X61</f>
        <v>6.3940999999999998E-2</v>
      </c>
      <c r="AG61" s="5">
        <f>Y61</f>
        <v>0</v>
      </c>
      <c r="AH61" s="5">
        <f>IF(OR(G61="C",G61="S",G61="U"),1,0)</f>
        <v>1</v>
      </c>
      <c r="AI61" s="5">
        <f>IF(ISNUMBER(H61),1,0)</f>
        <v>0</v>
      </c>
      <c r="AJ61" s="5">
        <f>IF(ISNUMBER(P61),1,0)</f>
        <v>1</v>
      </c>
      <c r="AK61" s="5" t="str">
        <f>IF(AI61=1,IF(J61&gt;0,1,0),"")</f>
        <v/>
      </c>
      <c r="AL61" s="5">
        <f>IF(AJ61=1,IF(OR(Q61&gt;0,R61&gt;0),1,0),"")</f>
        <v>0</v>
      </c>
    </row>
    <row r="62" spans="1:38">
      <c r="A62">
        <v>22578</v>
      </c>
      <c r="B62" t="s">
        <v>95</v>
      </c>
      <c r="C62" t="s">
        <v>37</v>
      </c>
      <c r="D62" t="s">
        <v>24</v>
      </c>
      <c r="E62">
        <v>72</v>
      </c>
      <c r="F62">
        <v>4625000</v>
      </c>
      <c r="G62" t="s">
        <v>25</v>
      </c>
      <c r="H62" t="s">
        <v>26</v>
      </c>
      <c r="I62" t="s">
        <v>26</v>
      </c>
      <c r="J62" t="s">
        <v>26</v>
      </c>
      <c r="K62" t="s">
        <v>26</v>
      </c>
      <c r="L62" t="s">
        <v>26</v>
      </c>
      <c r="M62" t="s">
        <v>26</v>
      </c>
      <c r="N62" t="s">
        <v>26</v>
      </c>
      <c r="O62" t="s">
        <v>26</v>
      </c>
      <c r="P62">
        <v>2</v>
      </c>
      <c r="Q62">
        <v>0</v>
      </c>
      <c r="R62">
        <v>0</v>
      </c>
      <c r="S62">
        <v>2</v>
      </c>
      <c r="T62">
        <v>0.43240000000000001</v>
      </c>
      <c r="U62">
        <v>2.7799999999999998E-2</v>
      </c>
      <c r="V62">
        <v>0</v>
      </c>
      <c r="W62">
        <f>E62/100</f>
        <v>0.72</v>
      </c>
      <c r="X62">
        <f>F62/1000000</f>
        <v>4.625</v>
      </c>
      <c r="Y62">
        <f>IF(D62="C",1,0)</f>
        <v>0</v>
      </c>
      <c r="Z62">
        <f>IF(G62="C",1,0)</f>
        <v>0</v>
      </c>
      <c r="AA62">
        <f>IF(G62="S",1,0)</f>
        <v>1</v>
      </c>
      <c r="AB62">
        <f>IF(G62="U",1,0)</f>
        <v>0</v>
      </c>
      <c r="AC62" s="5">
        <f>IF(AND(ISNUMBER(H62),NOT(ISNUMBER(P62))),1,0)</f>
        <v>0</v>
      </c>
      <c r="AD62" s="5">
        <f>IF(AND(ISNUMBER(H62),ISNUMBER(P62)),1,0)</f>
        <v>0</v>
      </c>
      <c r="AE62" s="5">
        <f>W62</f>
        <v>0.72</v>
      </c>
      <c r="AF62" s="5">
        <f>X62</f>
        <v>4.625</v>
      </c>
      <c r="AG62" s="5">
        <f>Y62</f>
        <v>0</v>
      </c>
      <c r="AH62" s="5">
        <f>IF(OR(G62="C",G62="S",G62="U"),1,0)</f>
        <v>1</v>
      </c>
      <c r="AI62" s="5">
        <f>IF(ISNUMBER(H62),1,0)</f>
        <v>0</v>
      </c>
      <c r="AJ62" s="5">
        <f>IF(ISNUMBER(P62),1,0)</f>
        <v>1</v>
      </c>
      <c r="AK62" s="5" t="str">
        <f>IF(AI62=1,IF(J62&gt;0,1,0),"")</f>
        <v/>
      </c>
      <c r="AL62" s="5">
        <f>IF(AJ62=1,IF(OR(Q62&gt;0,R62&gt;0),1,0),"")</f>
        <v>0</v>
      </c>
    </row>
    <row r="63" spans="1:38">
      <c r="A63">
        <v>23362</v>
      </c>
      <c r="B63" t="s">
        <v>96</v>
      </c>
      <c r="C63" t="s">
        <v>82</v>
      </c>
      <c r="D63" t="s">
        <v>24</v>
      </c>
      <c r="E63">
        <v>28</v>
      </c>
      <c r="F63">
        <v>405691</v>
      </c>
      <c r="G63" t="s">
        <v>33</v>
      </c>
      <c r="H63" t="s">
        <v>26</v>
      </c>
      <c r="I63" t="s">
        <v>26</v>
      </c>
      <c r="J63" t="s">
        <v>26</v>
      </c>
      <c r="K63" t="s">
        <v>26</v>
      </c>
      <c r="L63" t="s">
        <v>26</v>
      </c>
      <c r="M63" t="s">
        <v>26</v>
      </c>
      <c r="N63" t="s">
        <v>26</v>
      </c>
      <c r="O63" t="s">
        <v>26</v>
      </c>
      <c r="P63">
        <v>1</v>
      </c>
      <c r="Q63">
        <v>0</v>
      </c>
      <c r="R63">
        <v>1</v>
      </c>
      <c r="S63">
        <v>1</v>
      </c>
      <c r="T63">
        <v>2.4649000000000001</v>
      </c>
      <c r="U63">
        <v>3.5700000000000003E-2</v>
      </c>
      <c r="V63">
        <v>1</v>
      </c>
      <c r="W63">
        <f>E63/100</f>
        <v>0.28000000000000003</v>
      </c>
      <c r="X63">
        <f>F63/1000000</f>
        <v>0.40569100000000002</v>
      </c>
      <c r="Y63">
        <f>IF(D63="C",1,0)</f>
        <v>0</v>
      </c>
      <c r="Z63">
        <f>IF(G63="C",1,0)</f>
        <v>1</v>
      </c>
      <c r="AA63">
        <f>IF(G63="S",1,0)</f>
        <v>0</v>
      </c>
      <c r="AB63">
        <f>IF(G63="U",1,0)</f>
        <v>0</v>
      </c>
      <c r="AC63" s="5">
        <f>IF(AND(ISNUMBER(H63),NOT(ISNUMBER(P63))),1,0)</f>
        <v>0</v>
      </c>
      <c r="AD63" s="5">
        <f>IF(AND(ISNUMBER(H63),ISNUMBER(P63)),1,0)</f>
        <v>0</v>
      </c>
      <c r="AE63" s="5">
        <f>W63</f>
        <v>0.28000000000000003</v>
      </c>
      <c r="AF63" s="5">
        <f>X63</f>
        <v>0.40569100000000002</v>
      </c>
      <c r="AG63" s="5">
        <f>Y63</f>
        <v>0</v>
      </c>
      <c r="AH63" s="5">
        <f>IF(OR(G63="C",G63="S",G63="U"),1,0)</f>
        <v>1</v>
      </c>
      <c r="AI63" s="5">
        <f>IF(ISNUMBER(H63),1,0)</f>
        <v>0</v>
      </c>
      <c r="AJ63" s="5">
        <f>IF(ISNUMBER(P63),1,0)</f>
        <v>1</v>
      </c>
      <c r="AK63" s="5" t="str">
        <f>IF(AI63=1,IF(J63&gt;0,1,0),"")</f>
        <v/>
      </c>
      <c r="AL63" s="5">
        <f>IF(AJ63=1,IF(OR(Q63&gt;0,R63&gt;0),1,0),"")</f>
        <v>1</v>
      </c>
    </row>
    <row r="64" spans="1:38">
      <c r="A64">
        <v>25509</v>
      </c>
      <c r="B64" t="s">
        <v>97</v>
      </c>
      <c r="C64" t="s">
        <v>82</v>
      </c>
      <c r="D64" t="s">
        <v>24</v>
      </c>
      <c r="E64">
        <v>21</v>
      </c>
      <c r="F64">
        <v>1181577</v>
      </c>
      <c r="G64" t="s">
        <v>25</v>
      </c>
      <c r="H64" t="s">
        <v>26</v>
      </c>
      <c r="I64" t="s">
        <v>26</v>
      </c>
      <c r="J64" t="s">
        <v>26</v>
      </c>
      <c r="K64" t="s">
        <v>26</v>
      </c>
      <c r="L64" t="s">
        <v>26</v>
      </c>
      <c r="M64" t="s">
        <v>26</v>
      </c>
      <c r="N64" t="s">
        <v>26</v>
      </c>
      <c r="O64" t="s">
        <v>26</v>
      </c>
      <c r="P64">
        <v>1</v>
      </c>
      <c r="Q64">
        <v>0</v>
      </c>
      <c r="R64">
        <v>1</v>
      </c>
      <c r="S64">
        <v>1</v>
      </c>
      <c r="T64">
        <v>0.84630000000000005</v>
      </c>
      <c r="U64">
        <v>4.7600000000000003E-2</v>
      </c>
      <c r="V64">
        <v>1</v>
      </c>
      <c r="W64">
        <f>E64/100</f>
        <v>0.21</v>
      </c>
      <c r="X64">
        <f>F64/1000000</f>
        <v>1.1815770000000001</v>
      </c>
      <c r="Y64">
        <f>IF(D64="C",1,0)</f>
        <v>0</v>
      </c>
      <c r="Z64">
        <f>IF(G64="C",1,0)</f>
        <v>0</v>
      </c>
      <c r="AA64">
        <f>IF(G64="S",1,0)</f>
        <v>1</v>
      </c>
      <c r="AB64">
        <f>IF(G64="U",1,0)</f>
        <v>0</v>
      </c>
      <c r="AC64" s="5">
        <f>IF(AND(ISNUMBER(H64),NOT(ISNUMBER(P64))),1,0)</f>
        <v>0</v>
      </c>
      <c r="AD64" s="5">
        <f>IF(AND(ISNUMBER(H64),ISNUMBER(P64)),1,0)</f>
        <v>0</v>
      </c>
      <c r="AE64" s="5">
        <f>W64</f>
        <v>0.21</v>
      </c>
      <c r="AF64" s="5">
        <f>X64</f>
        <v>1.1815770000000001</v>
      </c>
      <c r="AG64" s="5">
        <f>Y64</f>
        <v>0</v>
      </c>
      <c r="AH64" s="5">
        <f>IF(OR(G64="C",G64="S",G64="U"),1,0)</f>
        <v>1</v>
      </c>
      <c r="AI64" s="5">
        <f>IF(ISNUMBER(H64),1,0)</f>
        <v>0</v>
      </c>
      <c r="AJ64" s="5">
        <f>IF(ISNUMBER(P64),1,0)</f>
        <v>1</v>
      </c>
      <c r="AK64" s="5" t="str">
        <f>IF(AI64=1,IF(J64&gt;0,1,0),"")</f>
        <v/>
      </c>
      <c r="AL64" s="5">
        <f>IF(AJ64=1,IF(OR(Q64&gt;0,R64&gt;0),1,0),"")</f>
        <v>1</v>
      </c>
    </row>
    <row r="65" spans="1:38">
      <c r="A65">
        <v>26393</v>
      </c>
      <c r="B65" t="s">
        <v>98</v>
      </c>
      <c r="C65" t="s">
        <v>37</v>
      </c>
      <c r="D65" t="s">
        <v>33</v>
      </c>
      <c r="E65">
        <v>79</v>
      </c>
      <c r="F65">
        <v>850000</v>
      </c>
      <c r="G65" t="s">
        <v>25</v>
      </c>
      <c r="H65" t="s">
        <v>26</v>
      </c>
      <c r="I65" t="s">
        <v>26</v>
      </c>
      <c r="J65" t="s">
        <v>26</v>
      </c>
      <c r="K65" t="s">
        <v>26</v>
      </c>
      <c r="L65" t="s">
        <v>26</v>
      </c>
      <c r="M65" t="s">
        <v>26</v>
      </c>
      <c r="N65" t="s">
        <v>26</v>
      </c>
      <c r="O65" t="s">
        <v>26</v>
      </c>
      <c r="P65">
        <v>1</v>
      </c>
      <c r="Q65">
        <v>0</v>
      </c>
      <c r="R65">
        <v>0</v>
      </c>
      <c r="S65">
        <v>1</v>
      </c>
      <c r="T65">
        <v>1.1765000000000001</v>
      </c>
      <c r="U65">
        <v>1.2699999999999999E-2</v>
      </c>
      <c r="V65">
        <v>0</v>
      </c>
      <c r="W65">
        <f>E65/100</f>
        <v>0.79</v>
      </c>
      <c r="X65">
        <f>F65/1000000</f>
        <v>0.85</v>
      </c>
      <c r="Y65">
        <f>IF(D65="C",1,0)</f>
        <v>1</v>
      </c>
      <c r="Z65">
        <f>IF(G65="C",1,0)</f>
        <v>0</v>
      </c>
      <c r="AA65">
        <f>IF(G65="S",1,0)</f>
        <v>1</v>
      </c>
      <c r="AB65">
        <f>IF(G65="U",1,0)</f>
        <v>0</v>
      </c>
      <c r="AC65" s="5">
        <f>IF(AND(ISNUMBER(H65),NOT(ISNUMBER(P65))),1,0)</f>
        <v>0</v>
      </c>
      <c r="AD65" s="5">
        <f>IF(AND(ISNUMBER(H65),ISNUMBER(P65)),1,0)</f>
        <v>0</v>
      </c>
      <c r="AE65" s="5">
        <f>W65</f>
        <v>0.79</v>
      </c>
      <c r="AF65" s="5">
        <f>X65</f>
        <v>0.85</v>
      </c>
      <c r="AG65" s="5">
        <f>Y65</f>
        <v>1</v>
      </c>
      <c r="AH65" s="5">
        <f>IF(OR(G65="C",G65="S",G65="U"),1,0)</f>
        <v>1</v>
      </c>
      <c r="AI65" s="5">
        <f>IF(ISNUMBER(H65),1,0)</f>
        <v>0</v>
      </c>
      <c r="AJ65" s="5">
        <f>IF(ISNUMBER(P65),1,0)</f>
        <v>1</v>
      </c>
      <c r="AK65" s="5" t="str">
        <f>IF(AI65=1,IF(J65&gt;0,1,0),"")</f>
        <v/>
      </c>
      <c r="AL65" s="5">
        <f>IF(AJ65=1,IF(OR(Q65&gt;0,R65&gt;0),1,0),"")</f>
        <v>0</v>
      </c>
    </row>
    <row r="66" spans="1:38">
      <c r="A66">
        <v>26457</v>
      </c>
      <c r="B66" t="s">
        <v>99</v>
      </c>
      <c r="C66" t="s">
        <v>37</v>
      </c>
      <c r="D66" t="s">
        <v>24</v>
      </c>
      <c r="E66">
        <v>1</v>
      </c>
      <c r="F66">
        <v>1576002</v>
      </c>
      <c r="G66" t="s">
        <v>33</v>
      </c>
      <c r="H66" t="s">
        <v>26</v>
      </c>
      <c r="I66" t="s">
        <v>26</v>
      </c>
      <c r="J66" t="s">
        <v>26</v>
      </c>
      <c r="K66" t="s">
        <v>26</v>
      </c>
      <c r="L66" t="s">
        <v>26</v>
      </c>
      <c r="M66" t="s">
        <v>26</v>
      </c>
      <c r="N66" t="s">
        <v>26</v>
      </c>
      <c r="O66" t="s">
        <v>26</v>
      </c>
      <c r="P66">
        <v>2</v>
      </c>
      <c r="Q66">
        <v>0</v>
      </c>
      <c r="R66">
        <v>2</v>
      </c>
      <c r="S66">
        <v>0</v>
      </c>
      <c r="T66">
        <v>1.2689999999999999</v>
      </c>
      <c r="U66">
        <v>2</v>
      </c>
      <c r="V66">
        <v>1</v>
      </c>
      <c r="W66">
        <f>E66/100</f>
        <v>0.01</v>
      </c>
      <c r="X66">
        <f>F66/1000000</f>
        <v>1.5760019999999999</v>
      </c>
      <c r="Y66">
        <f>IF(D66="C",1,0)</f>
        <v>0</v>
      </c>
      <c r="Z66">
        <f>IF(G66="C",1,0)</f>
        <v>1</v>
      </c>
      <c r="AA66">
        <f>IF(G66="S",1,0)</f>
        <v>0</v>
      </c>
      <c r="AB66">
        <f>IF(G66="U",1,0)</f>
        <v>0</v>
      </c>
      <c r="AC66" s="5">
        <f>IF(AND(ISNUMBER(H66),NOT(ISNUMBER(P66))),1,0)</f>
        <v>0</v>
      </c>
      <c r="AD66" s="5">
        <f>IF(AND(ISNUMBER(H66),ISNUMBER(P66)),1,0)</f>
        <v>0</v>
      </c>
      <c r="AE66" s="5">
        <f>W66</f>
        <v>0.01</v>
      </c>
      <c r="AF66" s="5">
        <f>X66</f>
        <v>1.5760019999999999</v>
      </c>
      <c r="AG66" s="5">
        <f>Y66</f>
        <v>0</v>
      </c>
      <c r="AH66" s="5">
        <f>IF(OR(G66="C",G66="S",G66="U"),1,0)</f>
        <v>1</v>
      </c>
      <c r="AI66" s="5">
        <f>IF(ISNUMBER(H66),1,0)</f>
        <v>0</v>
      </c>
      <c r="AJ66" s="5">
        <f>IF(ISNUMBER(P66),1,0)</f>
        <v>1</v>
      </c>
      <c r="AK66" s="5" t="str">
        <f>IF(AI66=1,IF(J66&gt;0,1,0),"")</f>
        <v/>
      </c>
      <c r="AL66" s="5">
        <f>IF(AJ66=1,IF(OR(Q66&gt;0,R66&gt;0),1,0),"")</f>
        <v>1</v>
      </c>
    </row>
    <row r="67" spans="1:38">
      <c r="A67">
        <v>29653</v>
      </c>
      <c r="B67" t="s">
        <v>100</v>
      </c>
      <c r="C67" t="s">
        <v>101</v>
      </c>
      <c r="D67" t="s">
        <v>24</v>
      </c>
      <c r="E67">
        <v>53</v>
      </c>
      <c r="F67">
        <v>2860984</v>
      </c>
      <c r="G67" t="s">
        <v>25</v>
      </c>
      <c r="H67" t="s">
        <v>26</v>
      </c>
      <c r="I67" t="s">
        <v>26</v>
      </c>
      <c r="J67" t="s">
        <v>26</v>
      </c>
      <c r="K67" t="s">
        <v>26</v>
      </c>
      <c r="L67" t="s">
        <v>26</v>
      </c>
      <c r="M67" t="s">
        <v>26</v>
      </c>
      <c r="N67" t="s">
        <v>26</v>
      </c>
      <c r="O67" t="s">
        <v>26</v>
      </c>
      <c r="P67">
        <v>1</v>
      </c>
      <c r="Q67">
        <v>0</v>
      </c>
      <c r="R67">
        <v>0</v>
      </c>
      <c r="S67">
        <v>1</v>
      </c>
      <c r="T67">
        <v>0.34949999999999998</v>
      </c>
      <c r="U67">
        <v>1.89E-2</v>
      </c>
      <c r="V67">
        <v>0</v>
      </c>
      <c r="W67">
        <f>E67/100</f>
        <v>0.53</v>
      </c>
      <c r="X67">
        <f>F67/1000000</f>
        <v>2.8609840000000002</v>
      </c>
      <c r="Y67">
        <f>IF(D67="C",1,0)</f>
        <v>0</v>
      </c>
      <c r="Z67">
        <f>IF(G67="C",1,0)</f>
        <v>0</v>
      </c>
      <c r="AA67">
        <f>IF(G67="S",1,0)</f>
        <v>1</v>
      </c>
      <c r="AB67">
        <f>IF(G67="U",1,0)</f>
        <v>0</v>
      </c>
      <c r="AC67" s="5">
        <f>IF(AND(ISNUMBER(H67),NOT(ISNUMBER(P67))),1,0)</f>
        <v>0</v>
      </c>
      <c r="AD67" s="5">
        <f>IF(AND(ISNUMBER(H67),ISNUMBER(P67)),1,0)</f>
        <v>0</v>
      </c>
      <c r="AE67" s="5">
        <f>W67</f>
        <v>0.53</v>
      </c>
      <c r="AF67" s="5">
        <f>X67</f>
        <v>2.8609840000000002</v>
      </c>
      <c r="AG67" s="5">
        <f>Y67</f>
        <v>0</v>
      </c>
      <c r="AH67" s="5">
        <f>IF(OR(G67="C",G67="S",G67="U"),1,0)</f>
        <v>1</v>
      </c>
      <c r="AI67" s="5">
        <f>IF(ISNUMBER(H67),1,0)</f>
        <v>0</v>
      </c>
      <c r="AJ67" s="5">
        <f>IF(ISNUMBER(P67),1,0)</f>
        <v>1</v>
      </c>
      <c r="AK67" s="5" t="str">
        <f>IF(AI67=1,IF(J67&gt;0,1,0),"")</f>
        <v/>
      </c>
      <c r="AL67" s="5">
        <f>IF(AJ67=1,IF(OR(Q67&gt;0,R67&gt;0),1,0),"")</f>
        <v>0</v>
      </c>
    </row>
    <row r="68" spans="1:38">
      <c r="A68">
        <v>29666</v>
      </c>
      <c r="B68" t="s">
        <v>102</v>
      </c>
      <c r="C68" t="s">
        <v>23</v>
      </c>
      <c r="D68" t="s">
        <v>24</v>
      </c>
      <c r="E68">
        <v>3</v>
      </c>
      <c r="F68">
        <v>1142181</v>
      </c>
      <c r="G68" t="s">
        <v>33</v>
      </c>
      <c r="H68" t="s">
        <v>26</v>
      </c>
      <c r="I68" t="s">
        <v>26</v>
      </c>
      <c r="J68" t="s">
        <v>26</v>
      </c>
      <c r="K68" t="s">
        <v>26</v>
      </c>
      <c r="L68" t="s">
        <v>26</v>
      </c>
      <c r="M68" t="s">
        <v>26</v>
      </c>
      <c r="N68" t="s">
        <v>26</v>
      </c>
      <c r="O68" t="s">
        <v>26</v>
      </c>
      <c r="P68">
        <v>1</v>
      </c>
      <c r="Q68">
        <v>0</v>
      </c>
      <c r="R68">
        <v>0</v>
      </c>
      <c r="S68">
        <v>0</v>
      </c>
      <c r="T68">
        <v>0.87549999999999994</v>
      </c>
      <c r="U68">
        <v>0.33329999999999999</v>
      </c>
      <c r="V68">
        <v>0</v>
      </c>
      <c r="W68">
        <f>E68/100</f>
        <v>0.03</v>
      </c>
      <c r="X68">
        <f>F68/1000000</f>
        <v>1.1421809999999999</v>
      </c>
      <c r="Y68">
        <f>IF(D68="C",1,0)</f>
        <v>0</v>
      </c>
      <c r="Z68">
        <f>IF(G68="C",1,0)</f>
        <v>1</v>
      </c>
      <c r="AA68">
        <f>IF(G68="S",1,0)</f>
        <v>0</v>
      </c>
      <c r="AB68">
        <f>IF(G68="U",1,0)</f>
        <v>0</v>
      </c>
      <c r="AC68" s="5">
        <f>IF(AND(ISNUMBER(H68),NOT(ISNUMBER(P68))),1,0)</f>
        <v>0</v>
      </c>
      <c r="AD68" s="5">
        <f>IF(AND(ISNUMBER(H68),ISNUMBER(P68)),1,0)</f>
        <v>0</v>
      </c>
      <c r="AE68" s="5">
        <f>W68</f>
        <v>0.03</v>
      </c>
      <c r="AF68" s="5">
        <f>X68</f>
        <v>1.1421809999999999</v>
      </c>
      <c r="AG68" s="5">
        <f>Y68</f>
        <v>0</v>
      </c>
      <c r="AH68" s="5">
        <f>IF(OR(G68="C",G68="S",G68="U"),1,0)</f>
        <v>1</v>
      </c>
      <c r="AI68" s="5">
        <f>IF(ISNUMBER(H68),1,0)</f>
        <v>0</v>
      </c>
      <c r="AJ68" s="5">
        <f>IF(ISNUMBER(P68),1,0)</f>
        <v>1</v>
      </c>
      <c r="AK68" s="5" t="str">
        <f>IF(AI68=1,IF(J68&gt;0,1,0),"")</f>
        <v/>
      </c>
      <c r="AL68" s="5">
        <f>IF(AJ68=1,IF(OR(Q68&gt;0,R68&gt;0),1,0),"")</f>
        <v>0</v>
      </c>
    </row>
    <row r="69" spans="1:38">
      <c r="A69">
        <v>31800</v>
      </c>
      <c r="B69" t="s">
        <v>103</v>
      </c>
      <c r="C69" t="s">
        <v>82</v>
      </c>
      <c r="D69" t="s">
        <v>24</v>
      </c>
      <c r="E69">
        <v>8</v>
      </c>
      <c r="F69">
        <v>520000</v>
      </c>
      <c r="G69" t="s">
        <v>25</v>
      </c>
      <c r="H69" t="s">
        <v>26</v>
      </c>
      <c r="I69" t="s">
        <v>26</v>
      </c>
      <c r="J69" t="s">
        <v>26</v>
      </c>
      <c r="K69" t="s">
        <v>26</v>
      </c>
      <c r="L69" t="s">
        <v>26</v>
      </c>
      <c r="M69" t="s">
        <v>26</v>
      </c>
      <c r="N69" t="s">
        <v>26</v>
      </c>
      <c r="O69" t="s">
        <v>26</v>
      </c>
      <c r="P69">
        <v>1</v>
      </c>
      <c r="Q69">
        <v>0</v>
      </c>
      <c r="R69">
        <v>1</v>
      </c>
      <c r="S69">
        <v>0</v>
      </c>
      <c r="T69">
        <v>1.9231</v>
      </c>
      <c r="U69">
        <v>0.125</v>
      </c>
      <c r="V69">
        <v>1</v>
      </c>
      <c r="W69">
        <f>E69/100</f>
        <v>0.08</v>
      </c>
      <c r="X69">
        <f>F69/1000000</f>
        <v>0.52</v>
      </c>
      <c r="Y69">
        <f>IF(D69="C",1,0)</f>
        <v>0</v>
      </c>
      <c r="Z69">
        <f>IF(G69="C",1,0)</f>
        <v>0</v>
      </c>
      <c r="AA69">
        <f>IF(G69="S",1,0)</f>
        <v>1</v>
      </c>
      <c r="AB69">
        <f>IF(G69="U",1,0)</f>
        <v>0</v>
      </c>
      <c r="AC69" s="5">
        <f>IF(AND(ISNUMBER(H69),NOT(ISNUMBER(P69))),1,0)</f>
        <v>0</v>
      </c>
      <c r="AD69" s="5">
        <f>IF(AND(ISNUMBER(H69),ISNUMBER(P69)),1,0)</f>
        <v>0</v>
      </c>
      <c r="AE69" s="5">
        <f>W69</f>
        <v>0.08</v>
      </c>
      <c r="AF69" s="5">
        <f>X69</f>
        <v>0.52</v>
      </c>
      <c r="AG69" s="5">
        <f>Y69</f>
        <v>0</v>
      </c>
      <c r="AH69" s="5">
        <f>IF(OR(G69="C",G69="S",G69="U"),1,0)</f>
        <v>1</v>
      </c>
      <c r="AI69" s="5">
        <f>IF(ISNUMBER(H69),1,0)</f>
        <v>0</v>
      </c>
      <c r="AJ69" s="5">
        <f>IF(ISNUMBER(P69),1,0)</f>
        <v>1</v>
      </c>
      <c r="AK69" s="5" t="str">
        <f>IF(AI69=1,IF(J69&gt;0,1,0),"")</f>
        <v/>
      </c>
      <c r="AL69" s="5">
        <f>IF(AJ69=1,IF(OR(Q69&gt;0,R69&gt;0),1,0),"")</f>
        <v>1</v>
      </c>
    </row>
    <row r="70" spans="1:38">
      <c r="A70">
        <v>32867</v>
      </c>
      <c r="B70" t="s">
        <v>106</v>
      </c>
      <c r="C70" t="s">
        <v>23</v>
      </c>
      <c r="D70" t="s">
        <v>24</v>
      </c>
      <c r="E70">
        <v>8</v>
      </c>
      <c r="F70">
        <v>200000</v>
      </c>
      <c r="G70" t="s">
        <v>25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>
        <v>1</v>
      </c>
      <c r="Q70">
        <v>0</v>
      </c>
      <c r="R70">
        <v>1</v>
      </c>
      <c r="S70">
        <v>1</v>
      </c>
      <c r="T70">
        <v>5</v>
      </c>
      <c r="U70">
        <v>0.125</v>
      </c>
      <c r="V70">
        <v>1</v>
      </c>
      <c r="W70">
        <f>E70/100</f>
        <v>0.08</v>
      </c>
      <c r="X70">
        <f>F70/1000000</f>
        <v>0.2</v>
      </c>
      <c r="Y70">
        <f>IF(D70="C",1,0)</f>
        <v>0</v>
      </c>
      <c r="Z70">
        <f>IF(G70="C",1,0)</f>
        <v>0</v>
      </c>
      <c r="AA70">
        <f>IF(G70="S",1,0)</f>
        <v>1</v>
      </c>
      <c r="AB70">
        <f>IF(G70="U",1,0)</f>
        <v>0</v>
      </c>
      <c r="AC70" s="5">
        <f>IF(AND(ISNUMBER(H70),NOT(ISNUMBER(P70))),1,0)</f>
        <v>0</v>
      </c>
      <c r="AD70" s="5">
        <f>IF(AND(ISNUMBER(H70),ISNUMBER(P70)),1,0)</f>
        <v>0</v>
      </c>
      <c r="AE70" s="5">
        <f>W70</f>
        <v>0.08</v>
      </c>
      <c r="AF70" s="5">
        <f>X70</f>
        <v>0.2</v>
      </c>
      <c r="AG70" s="5">
        <f>Y70</f>
        <v>0</v>
      </c>
      <c r="AH70" s="5">
        <f>IF(OR(G70="C",G70="S",G70="U"),1,0)</f>
        <v>1</v>
      </c>
      <c r="AI70" s="5">
        <f>IF(ISNUMBER(H70),1,0)</f>
        <v>0</v>
      </c>
      <c r="AJ70" s="5">
        <f>IF(ISNUMBER(P70),1,0)</f>
        <v>1</v>
      </c>
      <c r="AK70" s="5" t="str">
        <f>IF(AI70=1,IF(J70&gt;0,1,0),"")</f>
        <v/>
      </c>
      <c r="AL70" s="5">
        <f>IF(AJ70=1,IF(OR(Q70&gt;0,R70&gt;0),1,0),"")</f>
        <v>1</v>
      </c>
    </row>
    <row r="71" spans="1:38">
      <c r="A71">
        <v>33193</v>
      </c>
      <c r="B71" t="s">
        <v>107</v>
      </c>
      <c r="C71" t="s">
        <v>23</v>
      </c>
      <c r="D71" t="s">
        <v>24</v>
      </c>
      <c r="E71">
        <v>20</v>
      </c>
      <c r="F71">
        <v>1047000</v>
      </c>
      <c r="G71" t="s">
        <v>25</v>
      </c>
      <c r="H71" t="s">
        <v>26</v>
      </c>
      <c r="I71" t="s">
        <v>26</v>
      </c>
      <c r="J71" t="s">
        <v>26</v>
      </c>
      <c r="K71" t="s">
        <v>26</v>
      </c>
      <c r="L71" t="s">
        <v>26</v>
      </c>
      <c r="M71" t="s">
        <v>26</v>
      </c>
      <c r="N71" t="s">
        <v>26</v>
      </c>
      <c r="O71" t="s">
        <v>26</v>
      </c>
      <c r="P71">
        <v>2</v>
      </c>
      <c r="Q71">
        <v>1</v>
      </c>
      <c r="R71">
        <v>1</v>
      </c>
      <c r="S71">
        <v>2</v>
      </c>
      <c r="T71">
        <v>1.9101999999999999</v>
      </c>
      <c r="U71">
        <v>0.1</v>
      </c>
      <c r="V71">
        <v>1</v>
      </c>
      <c r="W71">
        <f>E71/100</f>
        <v>0.2</v>
      </c>
      <c r="X71">
        <f>F71/1000000</f>
        <v>1.0469999999999999</v>
      </c>
      <c r="Y71">
        <f>IF(D71="C",1,0)</f>
        <v>0</v>
      </c>
      <c r="Z71">
        <f>IF(G71="C",1,0)</f>
        <v>0</v>
      </c>
      <c r="AA71">
        <f>IF(G71="S",1,0)</f>
        <v>1</v>
      </c>
      <c r="AB71">
        <f>IF(G71="U",1,0)</f>
        <v>0</v>
      </c>
      <c r="AC71" s="5">
        <f>IF(AND(ISNUMBER(H71),NOT(ISNUMBER(P71))),1,0)</f>
        <v>0</v>
      </c>
      <c r="AD71" s="5">
        <f>IF(AND(ISNUMBER(H71),ISNUMBER(P71)),1,0)</f>
        <v>0</v>
      </c>
      <c r="AE71" s="5">
        <f>W71</f>
        <v>0.2</v>
      </c>
      <c r="AF71" s="5">
        <f>X71</f>
        <v>1.0469999999999999</v>
      </c>
      <c r="AG71" s="5">
        <f>Y71</f>
        <v>0</v>
      </c>
      <c r="AH71" s="5">
        <f>IF(OR(G71="C",G71="S",G71="U"),1,0)</f>
        <v>1</v>
      </c>
      <c r="AI71" s="5">
        <f>IF(ISNUMBER(H71),1,0)</f>
        <v>0</v>
      </c>
      <c r="AJ71" s="5">
        <f>IF(ISNUMBER(P71),1,0)</f>
        <v>1</v>
      </c>
      <c r="AK71" s="5" t="str">
        <f>IF(AI71=1,IF(J71&gt;0,1,0),"")</f>
        <v/>
      </c>
      <c r="AL71" s="5">
        <f>IF(AJ71=1,IF(OR(Q71&gt;0,R71&gt;0),1,0),"")</f>
        <v>1</v>
      </c>
    </row>
    <row r="72" spans="1:38">
      <c r="A72">
        <v>33310</v>
      </c>
      <c r="B72" t="s">
        <v>108</v>
      </c>
      <c r="C72" t="s">
        <v>23</v>
      </c>
      <c r="D72" t="s">
        <v>24</v>
      </c>
      <c r="E72">
        <v>28</v>
      </c>
      <c r="F72">
        <v>984697</v>
      </c>
      <c r="G72" t="s">
        <v>25</v>
      </c>
      <c r="H72" t="s">
        <v>26</v>
      </c>
      <c r="I72" t="s">
        <v>26</v>
      </c>
      <c r="J72" t="s">
        <v>26</v>
      </c>
      <c r="K72" t="s">
        <v>26</v>
      </c>
      <c r="L72" t="s">
        <v>26</v>
      </c>
      <c r="M72" t="s">
        <v>26</v>
      </c>
      <c r="N72" t="s">
        <v>26</v>
      </c>
      <c r="O72" t="s">
        <v>26</v>
      </c>
      <c r="P72">
        <v>1</v>
      </c>
      <c r="Q72">
        <v>0</v>
      </c>
      <c r="R72">
        <v>1</v>
      </c>
      <c r="S72">
        <v>1</v>
      </c>
      <c r="T72">
        <v>1.0155000000000001</v>
      </c>
      <c r="U72">
        <v>3.5700000000000003E-2</v>
      </c>
      <c r="V72">
        <v>1</v>
      </c>
      <c r="W72">
        <f>E72/100</f>
        <v>0.28000000000000003</v>
      </c>
      <c r="X72">
        <f>F72/1000000</f>
        <v>0.98469700000000004</v>
      </c>
      <c r="Y72">
        <f>IF(D72="C",1,0)</f>
        <v>0</v>
      </c>
      <c r="Z72">
        <f>IF(G72="C",1,0)</f>
        <v>0</v>
      </c>
      <c r="AA72">
        <f>IF(G72="S",1,0)</f>
        <v>1</v>
      </c>
      <c r="AB72">
        <f>IF(G72="U",1,0)</f>
        <v>0</v>
      </c>
      <c r="AC72" s="5">
        <f>IF(AND(ISNUMBER(H72),NOT(ISNUMBER(P72))),1,0)</f>
        <v>0</v>
      </c>
      <c r="AD72" s="5">
        <f>IF(AND(ISNUMBER(H72),ISNUMBER(P72)),1,0)</f>
        <v>0</v>
      </c>
      <c r="AE72" s="5">
        <f>W72</f>
        <v>0.28000000000000003</v>
      </c>
      <c r="AF72" s="5">
        <f>X72</f>
        <v>0.98469700000000004</v>
      </c>
      <c r="AG72" s="5">
        <f>Y72</f>
        <v>0</v>
      </c>
      <c r="AH72" s="5">
        <f>IF(OR(G72="C",G72="S",G72="U"),1,0)</f>
        <v>1</v>
      </c>
      <c r="AI72" s="5">
        <f>IF(ISNUMBER(H72),1,0)</f>
        <v>0</v>
      </c>
      <c r="AJ72" s="5">
        <f>IF(ISNUMBER(P72),1,0)</f>
        <v>1</v>
      </c>
      <c r="AK72" s="5" t="str">
        <f>IF(AI72=1,IF(J72&gt;0,1,0),"")</f>
        <v/>
      </c>
      <c r="AL72" s="5">
        <f>IF(AJ72=1,IF(OR(Q72&gt;0,R72&gt;0),1,0),"")</f>
        <v>1</v>
      </c>
    </row>
    <row r="73" spans="1:38">
      <c r="A73">
        <v>33695</v>
      </c>
      <c r="B73" t="s">
        <v>110</v>
      </c>
      <c r="C73" t="s">
        <v>40</v>
      </c>
      <c r="D73" t="s">
        <v>24</v>
      </c>
      <c r="E73">
        <v>71</v>
      </c>
      <c r="F73">
        <v>554624</v>
      </c>
      <c r="G73" t="s">
        <v>25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>
        <v>1</v>
      </c>
      <c r="Q73">
        <v>0</v>
      </c>
      <c r="R73">
        <v>0</v>
      </c>
      <c r="S73">
        <v>1</v>
      </c>
      <c r="T73">
        <v>1.8029999999999999</v>
      </c>
      <c r="U73">
        <v>1.41E-2</v>
      </c>
      <c r="V73">
        <v>0</v>
      </c>
      <c r="W73">
        <f>E73/100</f>
        <v>0.71</v>
      </c>
      <c r="X73">
        <f>F73/1000000</f>
        <v>0.55462400000000001</v>
      </c>
      <c r="Y73">
        <f>IF(D73="C",1,0)</f>
        <v>0</v>
      </c>
      <c r="Z73">
        <f>IF(G73="C",1,0)</f>
        <v>0</v>
      </c>
      <c r="AA73">
        <f>IF(G73="S",1,0)</f>
        <v>1</v>
      </c>
      <c r="AB73">
        <f>IF(G73="U",1,0)</f>
        <v>0</v>
      </c>
      <c r="AC73" s="5">
        <f>IF(AND(ISNUMBER(H73),NOT(ISNUMBER(P73))),1,0)</f>
        <v>0</v>
      </c>
      <c r="AD73" s="5">
        <f>IF(AND(ISNUMBER(H73),ISNUMBER(P73)),1,0)</f>
        <v>0</v>
      </c>
      <c r="AE73" s="5">
        <f>W73</f>
        <v>0.71</v>
      </c>
      <c r="AF73" s="5">
        <f>X73</f>
        <v>0.55462400000000001</v>
      </c>
      <c r="AG73" s="5">
        <f>Y73</f>
        <v>0</v>
      </c>
      <c r="AH73" s="5">
        <f>IF(OR(G73="C",G73="S",G73="U"),1,0)</f>
        <v>1</v>
      </c>
      <c r="AI73" s="5">
        <f>IF(ISNUMBER(H73),1,0)</f>
        <v>0</v>
      </c>
      <c r="AJ73" s="5">
        <f>IF(ISNUMBER(P73),1,0)</f>
        <v>1</v>
      </c>
      <c r="AK73" s="5" t="str">
        <f>IF(AI73=1,IF(J73&gt;0,1,0),"")</f>
        <v/>
      </c>
      <c r="AL73" s="5">
        <f>IF(AJ73=1,IF(OR(Q73&gt;0,R73&gt;0),1,0),"")</f>
        <v>0</v>
      </c>
    </row>
    <row r="74" spans="1:38">
      <c r="A74">
        <v>33716</v>
      </c>
      <c r="B74" t="s">
        <v>111</v>
      </c>
      <c r="C74" t="s">
        <v>40</v>
      </c>
      <c r="D74" t="s">
        <v>24</v>
      </c>
      <c r="E74">
        <v>427</v>
      </c>
      <c r="F74">
        <v>4098947</v>
      </c>
      <c r="H74" t="s">
        <v>26</v>
      </c>
      <c r="I74" t="s">
        <v>26</v>
      </c>
      <c r="J74" t="s">
        <v>26</v>
      </c>
      <c r="K74" t="s">
        <v>26</v>
      </c>
      <c r="L74" t="s">
        <v>26</v>
      </c>
      <c r="M74" t="s">
        <v>26</v>
      </c>
      <c r="N74" t="s">
        <v>26</v>
      </c>
      <c r="O74" t="s">
        <v>26</v>
      </c>
      <c r="P74">
        <v>1</v>
      </c>
      <c r="Q74">
        <v>0</v>
      </c>
      <c r="R74">
        <v>0</v>
      </c>
      <c r="S74">
        <v>1</v>
      </c>
      <c r="T74">
        <v>0.24399999999999999</v>
      </c>
      <c r="U74">
        <v>2.3E-3</v>
      </c>
      <c r="V74">
        <v>0</v>
      </c>
      <c r="W74">
        <f>E74/100</f>
        <v>4.2699999999999996</v>
      </c>
      <c r="X74">
        <f>F74/1000000</f>
        <v>4.0989469999999999</v>
      </c>
      <c r="Y74">
        <f>IF(D74="C",1,0)</f>
        <v>0</v>
      </c>
      <c r="Z74">
        <f>IF(G74="C",1,0)</f>
        <v>0</v>
      </c>
      <c r="AA74">
        <f>IF(G74="S",1,0)</f>
        <v>0</v>
      </c>
      <c r="AB74">
        <f>IF(G74="U",1,0)</f>
        <v>0</v>
      </c>
      <c r="AC74" s="5">
        <f>IF(AND(ISNUMBER(H74),NOT(ISNUMBER(P74))),1,0)</f>
        <v>0</v>
      </c>
      <c r="AD74" s="5">
        <f>IF(AND(ISNUMBER(H74),ISNUMBER(P74)),1,0)</f>
        <v>0</v>
      </c>
      <c r="AE74" s="5">
        <f>W74</f>
        <v>4.2699999999999996</v>
      </c>
      <c r="AF74" s="5">
        <f>X74</f>
        <v>4.0989469999999999</v>
      </c>
      <c r="AG74" s="5">
        <f>Y74</f>
        <v>0</v>
      </c>
      <c r="AH74" s="5">
        <f>IF(OR(G74="C",G74="S",G74="U"),1,0)</f>
        <v>0</v>
      </c>
      <c r="AI74" s="5">
        <f>IF(ISNUMBER(H74),1,0)</f>
        <v>0</v>
      </c>
      <c r="AJ74" s="5">
        <f>IF(ISNUMBER(P74),1,0)</f>
        <v>1</v>
      </c>
      <c r="AK74" s="5" t="str">
        <f>IF(AI74=1,IF(J74&gt;0,1,0),"")</f>
        <v/>
      </c>
      <c r="AL74" s="5">
        <f>IF(AJ74=1,IF(OR(Q74&gt;0,R74&gt;0),1,0),"")</f>
        <v>0</v>
      </c>
    </row>
    <row r="75" spans="1:38">
      <c r="A75">
        <v>33819</v>
      </c>
      <c r="B75" t="s">
        <v>113</v>
      </c>
      <c r="C75" t="s">
        <v>23</v>
      </c>
      <c r="D75" t="s">
        <v>33</v>
      </c>
      <c r="E75">
        <v>10</v>
      </c>
      <c r="F75">
        <v>10000</v>
      </c>
      <c r="H75" t="s">
        <v>26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>
        <v>1</v>
      </c>
      <c r="Q75">
        <v>0</v>
      </c>
      <c r="R75">
        <v>1</v>
      </c>
      <c r="S75">
        <v>1</v>
      </c>
      <c r="T75">
        <v>100</v>
      </c>
      <c r="U75">
        <v>0.1</v>
      </c>
      <c r="V75">
        <v>1</v>
      </c>
      <c r="W75">
        <f>E75/100</f>
        <v>0.1</v>
      </c>
      <c r="X75">
        <f>F75/1000000</f>
        <v>0.01</v>
      </c>
      <c r="Y75">
        <f>IF(D75="C",1,0)</f>
        <v>1</v>
      </c>
      <c r="Z75">
        <f>IF(G75="C",1,0)</f>
        <v>0</v>
      </c>
      <c r="AA75">
        <f>IF(G75="S",1,0)</f>
        <v>0</v>
      </c>
      <c r="AB75">
        <f>IF(G75="U",1,0)</f>
        <v>0</v>
      </c>
      <c r="AC75" s="5">
        <f>IF(AND(ISNUMBER(H75),NOT(ISNUMBER(P75))),1,0)</f>
        <v>0</v>
      </c>
      <c r="AD75" s="5">
        <f>IF(AND(ISNUMBER(H75),ISNUMBER(P75)),1,0)</f>
        <v>0</v>
      </c>
      <c r="AE75" s="5">
        <f>W75</f>
        <v>0.1</v>
      </c>
      <c r="AF75" s="5">
        <f>X75</f>
        <v>0.01</v>
      </c>
      <c r="AG75" s="5">
        <f>Y75</f>
        <v>1</v>
      </c>
      <c r="AH75" s="5">
        <f>IF(OR(G75="C",G75="S",G75="U"),1,0)</f>
        <v>0</v>
      </c>
      <c r="AI75" s="5">
        <f>IF(ISNUMBER(H75),1,0)</f>
        <v>0</v>
      </c>
      <c r="AJ75" s="5">
        <f>IF(ISNUMBER(P75),1,0)</f>
        <v>1</v>
      </c>
      <c r="AK75" s="5" t="str">
        <f>IF(AI75=1,IF(J75&gt;0,1,0),"")</f>
        <v/>
      </c>
      <c r="AL75" s="5">
        <f>IF(AJ75=1,IF(OR(Q75&gt;0,R75&gt;0),1,0),"")</f>
        <v>1</v>
      </c>
    </row>
    <row r="76" spans="1:38">
      <c r="A76">
        <v>33955</v>
      </c>
      <c r="B76" t="s">
        <v>114</v>
      </c>
      <c r="C76" t="s">
        <v>82</v>
      </c>
      <c r="D76" t="s">
        <v>24</v>
      </c>
      <c r="E76">
        <v>130</v>
      </c>
      <c r="F76">
        <v>1505315</v>
      </c>
      <c r="G76" t="s">
        <v>25</v>
      </c>
      <c r="H76" t="s">
        <v>26</v>
      </c>
      <c r="I76" t="s">
        <v>26</v>
      </c>
      <c r="J76" t="s">
        <v>26</v>
      </c>
      <c r="K76" t="s">
        <v>26</v>
      </c>
      <c r="L76" t="s">
        <v>26</v>
      </c>
      <c r="M76" t="s">
        <v>26</v>
      </c>
      <c r="N76" t="s">
        <v>26</v>
      </c>
      <c r="O76" t="s">
        <v>26</v>
      </c>
      <c r="P76">
        <v>1</v>
      </c>
      <c r="Q76">
        <v>0</v>
      </c>
      <c r="R76">
        <v>1</v>
      </c>
      <c r="S76">
        <v>0</v>
      </c>
      <c r="T76">
        <v>0.6643</v>
      </c>
      <c r="U76">
        <v>7.7000000000000002E-3</v>
      </c>
      <c r="V76">
        <v>1</v>
      </c>
      <c r="W76">
        <f>E76/100</f>
        <v>1.3</v>
      </c>
      <c r="X76">
        <f>F76/1000000</f>
        <v>1.505315</v>
      </c>
      <c r="Y76">
        <f>IF(D76="C",1,0)</f>
        <v>0</v>
      </c>
      <c r="Z76">
        <f>IF(G76="C",1,0)</f>
        <v>0</v>
      </c>
      <c r="AA76">
        <f>IF(G76="S",1,0)</f>
        <v>1</v>
      </c>
      <c r="AB76">
        <f>IF(G76="U",1,0)</f>
        <v>0</v>
      </c>
      <c r="AC76" s="5">
        <f>IF(AND(ISNUMBER(H76),NOT(ISNUMBER(P76))),1,0)</f>
        <v>0</v>
      </c>
      <c r="AD76" s="5">
        <f>IF(AND(ISNUMBER(H76),ISNUMBER(P76)),1,0)</f>
        <v>0</v>
      </c>
      <c r="AE76" s="5">
        <f>W76</f>
        <v>1.3</v>
      </c>
      <c r="AF76" s="5">
        <f>X76</f>
        <v>1.505315</v>
      </c>
      <c r="AG76" s="5">
        <f>Y76</f>
        <v>0</v>
      </c>
      <c r="AH76" s="5">
        <f>IF(OR(G76="C",G76="S",G76="U"),1,0)</f>
        <v>1</v>
      </c>
      <c r="AI76" s="5">
        <f>IF(ISNUMBER(H76),1,0)</f>
        <v>0</v>
      </c>
      <c r="AJ76" s="5">
        <f>IF(ISNUMBER(P76),1,0)</f>
        <v>1</v>
      </c>
      <c r="AK76" s="5" t="str">
        <f>IF(AI76=1,IF(J76&gt;0,1,0),"")</f>
        <v/>
      </c>
      <c r="AL76" s="5">
        <f>IF(AJ76=1,IF(OR(Q76&gt;0,R76&gt;0),1,0),"")</f>
        <v>1</v>
      </c>
    </row>
    <row r="77" spans="1:38">
      <c r="A77">
        <v>35716</v>
      </c>
      <c r="B77" t="s">
        <v>115</v>
      </c>
      <c r="C77" t="s">
        <v>84</v>
      </c>
      <c r="D77" t="s">
        <v>24</v>
      </c>
      <c r="E77">
        <v>8</v>
      </c>
      <c r="F77">
        <v>65000</v>
      </c>
      <c r="G77" t="s">
        <v>25</v>
      </c>
      <c r="H77" t="s">
        <v>26</v>
      </c>
      <c r="I77" t="s">
        <v>26</v>
      </c>
      <c r="J77" t="s">
        <v>26</v>
      </c>
      <c r="K77" t="s">
        <v>26</v>
      </c>
      <c r="L77" t="s">
        <v>26</v>
      </c>
      <c r="M77" t="s">
        <v>26</v>
      </c>
      <c r="N77" t="s">
        <v>26</v>
      </c>
      <c r="O77" t="s">
        <v>26</v>
      </c>
      <c r="P77">
        <v>1</v>
      </c>
      <c r="Q77">
        <v>0</v>
      </c>
      <c r="R77">
        <v>0</v>
      </c>
      <c r="S77">
        <v>1</v>
      </c>
      <c r="T77">
        <v>15.384600000000001</v>
      </c>
      <c r="U77">
        <v>0.125</v>
      </c>
      <c r="V77">
        <v>0</v>
      </c>
      <c r="W77">
        <f>E77/100</f>
        <v>0.08</v>
      </c>
      <c r="X77">
        <f>F77/1000000</f>
        <v>6.5000000000000002E-2</v>
      </c>
      <c r="Y77">
        <f>IF(D77="C",1,0)</f>
        <v>0</v>
      </c>
      <c r="Z77">
        <f>IF(G77="C",1,0)</f>
        <v>0</v>
      </c>
      <c r="AA77">
        <f>IF(G77="S",1,0)</f>
        <v>1</v>
      </c>
      <c r="AB77">
        <f>IF(G77="U",1,0)</f>
        <v>0</v>
      </c>
      <c r="AC77" s="5">
        <f>IF(AND(ISNUMBER(H77),NOT(ISNUMBER(P77))),1,0)</f>
        <v>0</v>
      </c>
      <c r="AD77" s="5">
        <f>IF(AND(ISNUMBER(H77),ISNUMBER(P77)),1,0)</f>
        <v>0</v>
      </c>
      <c r="AE77" s="5">
        <f>W77</f>
        <v>0.08</v>
      </c>
      <c r="AF77" s="5">
        <f>X77</f>
        <v>6.5000000000000002E-2</v>
      </c>
      <c r="AG77" s="5">
        <f>Y77</f>
        <v>0</v>
      </c>
      <c r="AH77" s="5">
        <f>IF(OR(G77="C",G77="S",G77="U"),1,0)</f>
        <v>1</v>
      </c>
      <c r="AI77" s="5">
        <f>IF(ISNUMBER(H77),1,0)</f>
        <v>0</v>
      </c>
      <c r="AJ77" s="5">
        <f>IF(ISNUMBER(P77),1,0)</f>
        <v>1</v>
      </c>
      <c r="AK77" s="5" t="str">
        <f>IF(AI77=1,IF(J77&gt;0,1,0),"")</f>
        <v/>
      </c>
      <c r="AL77" s="5">
        <f>IF(AJ77=1,IF(OR(Q77&gt;0,R77&gt;0),1,0),"")</f>
        <v>0</v>
      </c>
    </row>
    <row r="78" spans="1:38">
      <c r="A78">
        <v>37593</v>
      </c>
      <c r="B78" t="s">
        <v>116</v>
      </c>
      <c r="C78" t="s">
        <v>23</v>
      </c>
      <c r="D78" t="s">
        <v>24</v>
      </c>
      <c r="E78">
        <v>12</v>
      </c>
      <c r="F78">
        <v>320812</v>
      </c>
      <c r="G78" t="s">
        <v>25</v>
      </c>
      <c r="H78" t="s">
        <v>26</v>
      </c>
      <c r="I78" t="s">
        <v>26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26</v>
      </c>
      <c r="P78">
        <v>1</v>
      </c>
      <c r="Q78">
        <v>0</v>
      </c>
      <c r="R78">
        <v>0</v>
      </c>
      <c r="S78">
        <v>1</v>
      </c>
      <c r="T78">
        <v>3.1171000000000002</v>
      </c>
      <c r="U78">
        <v>8.3299999999999999E-2</v>
      </c>
      <c r="V78">
        <v>0</v>
      </c>
      <c r="W78">
        <f>E78/100</f>
        <v>0.12</v>
      </c>
      <c r="X78">
        <f>F78/1000000</f>
        <v>0.32081199999999999</v>
      </c>
      <c r="Y78">
        <f>IF(D78="C",1,0)</f>
        <v>0</v>
      </c>
      <c r="Z78">
        <f>IF(G78="C",1,0)</f>
        <v>0</v>
      </c>
      <c r="AA78">
        <f>IF(G78="S",1,0)</f>
        <v>1</v>
      </c>
      <c r="AB78">
        <f>IF(G78="U",1,0)</f>
        <v>0</v>
      </c>
      <c r="AC78" s="5">
        <f>IF(AND(ISNUMBER(H78),NOT(ISNUMBER(P78))),1,0)</f>
        <v>0</v>
      </c>
      <c r="AD78" s="5">
        <f>IF(AND(ISNUMBER(H78),ISNUMBER(P78)),1,0)</f>
        <v>0</v>
      </c>
      <c r="AE78" s="5">
        <f>W78</f>
        <v>0.12</v>
      </c>
      <c r="AF78" s="5">
        <f>X78</f>
        <v>0.32081199999999999</v>
      </c>
      <c r="AG78" s="5">
        <f>Y78</f>
        <v>0</v>
      </c>
      <c r="AH78" s="5">
        <f>IF(OR(G78="C",G78="S",G78="U"),1,0)</f>
        <v>1</v>
      </c>
      <c r="AI78" s="5">
        <f>IF(ISNUMBER(H78),1,0)</f>
        <v>0</v>
      </c>
      <c r="AJ78" s="5">
        <f>IF(ISNUMBER(P78),1,0)</f>
        <v>1</v>
      </c>
      <c r="AK78" s="5" t="str">
        <f>IF(AI78=1,IF(J78&gt;0,1,0),"")</f>
        <v/>
      </c>
      <c r="AL78" s="5">
        <f>IF(AJ78=1,IF(OR(Q78&gt;0,R78&gt;0),1,0),"")</f>
        <v>0</v>
      </c>
    </row>
    <row r="79" spans="1:38">
      <c r="A79">
        <v>37683</v>
      </c>
      <c r="B79" t="s">
        <v>117</v>
      </c>
      <c r="C79" t="s">
        <v>30</v>
      </c>
      <c r="D79" t="s">
        <v>33</v>
      </c>
      <c r="E79">
        <v>3</v>
      </c>
      <c r="F79">
        <v>10000</v>
      </c>
      <c r="H79" t="s">
        <v>26</v>
      </c>
      <c r="I79" t="s">
        <v>26</v>
      </c>
      <c r="J79" t="s">
        <v>26</v>
      </c>
      <c r="K79" t="s">
        <v>26</v>
      </c>
      <c r="L79" t="s">
        <v>26</v>
      </c>
      <c r="M79" t="s">
        <v>26</v>
      </c>
      <c r="N79" t="s">
        <v>26</v>
      </c>
      <c r="O79" t="s">
        <v>26</v>
      </c>
      <c r="P79">
        <v>1</v>
      </c>
      <c r="Q79">
        <v>0</v>
      </c>
      <c r="R79">
        <v>1</v>
      </c>
      <c r="S79">
        <v>1</v>
      </c>
      <c r="T79">
        <v>100</v>
      </c>
      <c r="U79">
        <v>0.33329999999999999</v>
      </c>
      <c r="V79">
        <v>1</v>
      </c>
      <c r="W79">
        <f>E79/100</f>
        <v>0.03</v>
      </c>
      <c r="X79">
        <f>F79/1000000</f>
        <v>0.01</v>
      </c>
      <c r="Y79">
        <f>IF(D79="C",1,0)</f>
        <v>1</v>
      </c>
      <c r="Z79">
        <f>IF(G79="C",1,0)</f>
        <v>0</v>
      </c>
      <c r="AA79">
        <f>IF(G79="S",1,0)</f>
        <v>0</v>
      </c>
      <c r="AB79">
        <f>IF(G79="U",1,0)</f>
        <v>0</v>
      </c>
      <c r="AC79" s="5">
        <f>IF(AND(ISNUMBER(H79),NOT(ISNUMBER(P79))),1,0)</f>
        <v>0</v>
      </c>
      <c r="AD79" s="5">
        <f>IF(AND(ISNUMBER(H79),ISNUMBER(P79)),1,0)</f>
        <v>0</v>
      </c>
      <c r="AE79" s="5">
        <f>W79</f>
        <v>0.03</v>
      </c>
      <c r="AF79" s="5">
        <f>X79</f>
        <v>0.01</v>
      </c>
      <c r="AG79" s="5">
        <f>Y79</f>
        <v>1</v>
      </c>
      <c r="AH79" s="5">
        <f>IF(OR(G79="C",G79="S",G79="U"),1,0)</f>
        <v>0</v>
      </c>
      <c r="AI79" s="5">
        <f>IF(ISNUMBER(H79),1,0)</f>
        <v>0</v>
      </c>
      <c r="AJ79" s="5">
        <f>IF(ISNUMBER(P79),1,0)</f>
        <v>1</v>
      </c>
      <c r="AK79" s="5" t="str">
        <f>IF(AI79=1,IF(J79&gt;0,1,0),"")</f>
        <v/>
      </c>
      <c r="AL79" s="5">
        <f>IF(AJ79=1,IF(OR(Q79&gt;0,R79&gt;0),1,0),"")</f>
        <v>1</v>
      </c>
    </row>
    <row r="80" spans="1:38">
      <c r="A80">
        <v>38083</v>
      </c>
      <c r="B80" t="s">
        <v>118</v>
      </c>
      <c r="C80" t="s">
        <v>23</v>
      </c>
      <c r="D80" t="s">
        <v>24</v>
      </c>
      <c r="E80">
        <v>18</v>
      </c>
      <c r="F80">
        <v>1057785</v>
      </c>
      <c r="G80" t="s">
        <v>25</v>
      </c>
      <c r="H80" t="s">
        <v>26</v>
      </c>
      <c r="I80" t="s">
        <v>26</v>
      </c>
      <c r="J80" t="s">
        <v>26</v>
      </c>
      <c r="K80" t="s">
        <v>26</v>
      </c>
      <c r="L80" t="s">
        <v>26</v>
      </c>
      <c r="M80" t="s">
        <v>26</v>
      </c>
      <c r="N80" t="s">
        <v>26</v>
      </c>
      <c r="O80" t="s">
        <v>26</v>
      </c>
      <c r="P80">
        <v>1</v>
      </c>
      <c r="Q80">
        <v>0</v>
      </c>
      <c r="R80">
        <v>1</v>
      </c>
      <c r="S80">
        <v>1</v>
      </c>
      <c r="T80">
        <v>0.94540000000000002</v>
      </c>
      <c r="U80">
        <v>5.5599999999999997E-2</v>
      </c>
      <c r="V80">
        <v>1</v>
      </c>
      <c r="W80">
        <f>E80/100</f>
        <v>0.18</v>
      </c>
      <c r="X80">
        <f>F80/1000000</f>
        <v>1.057785</v>
      </c>
      <c r="Y80">
        <f>IF(D80="C",1,0)</f>
        <v>0</v>
      </c>
      <c r="Z80">
        <f>IF(G80="C",1,0)</f>
        <v>0</v>
      </c>
      <c r="AA80">
        <f>IF(G80="S",1,0)</f>
        <v>1</v>
      </c>
      <c r="AB80">
        <f>IF(G80="U",1,0)</f>
        <v>0</v>
      </c>
      <c r="AC80" s="5">
        <f>IF(AND(ISNUMBER(H80),NOT(ISNUMBER(P80))),1,0)</f>
        <v>0</v>
      </c>
      <c r="AD80" s="5">
        <f>IF(AND(ISNUMBER(H80),ISNUMBER(P80)),1,0)</f>
        <v>0</v>
      </c>
      <c r="AE80" s="5">
        <f>W80</f>
        <v>0.18</v>
      </c>
      <c r="AF80" s="5">
        <f>X80</f>
        <v>1.057785</v>
      </c>
      <c r="AG80" s="5">
        <f>Y80</f>
        <v>0</v>
      </c>
      <c r="AH80" s="5">
        <f>IF(OR(G80="C",G80="S",G80="U"),1,0)</f>
        <v>1</v>
      </c>
      <c r="AI80" s="5">
        <f>IF(ISNUMBER(H80),1,0)</f>
        <v>0</v>
      </c>
      <c r="AJ80" s="5">
        <f>IF(ISNUMBER(P80),1,0)</f>
        <v>1</v>
      </c>
      <c r="AK80" s="5" t="str">
        <f>IF(AI80=1,IF(J80&gt;0,1,0),"")</f>
        <v/>
      </c>
      <c r="AL80" s="5">
        <f>IF(AJ80=1,IF(OR(Q80&gt;0,R80&gt;0),1,0),"")</f>
        <v>1</v>
      </c>
    </row>
    <row r="81" spans="1:38">
      <c r="A81">
        <v>38104</v>
      </c>
      <c r="B81" t="s">
        <v>119</v>
      </c>
      <c r="C81" t="s">
        <v>23</v>
      </c>
      <c r="D81" t="s">
        <v>24</v>
      </c>
      <c r="E81">
        <v>15</v>
      </c>
      <c r="F81">
        <v>1602329</v>
      </c>
      <c r="G81" t="s">
        <v>33</v>
      </c>
      <c r="H81" t="s">
        <v>26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>
        <v>2</v>
      </c>
      <c r="Q81">
        <v>0</v>
      </c>
      <c r="R81">
        <v>1</v>
      </c>
      <c r="S81">
        <v>1</v>
      </c>
      <c r="T81">
        <v>1.2482</v>
      </c>
      <c r="U81">
        <v>0.1333</v>
      </c>
      <c r="V81">
        <v>1</v>
      </c>
      <c r="W81">
        <f>E81/100</f>
        <v>0.15</v>
      </c>
      <c r="X81">
        <f>F81/1000000</f>
        <v>1.6023289999999999</v>
      </c>
      <c r="Y81">
        <f>IF(D81="C",1,0)</f>
        <v>0</v>
      </c>
      <c r="Z81">
        <f>IF(G81="C",1,0)</f>
        <v>1</v>
      </c>
      <c r="AA81">
        <f>IF(G81="S",1,0)</f>
        <v>0</v>
      </c>
      <c r="AB81">
        <f>IF(G81="U",1,0)</f>
        <v>0</v>
      </c>
      <c r="AC81" s="5">
        <f>IF(AND(ISNUMBER(H81),NOT(ISNUMBER(P81))),1,0)</f>
        <v>0</v>
      </c>
      <c r="AD81" s="5">
        <f>IF(AND(ISNUMBER(H81),ISNUMBER(P81)),1,0)</f>
        <v>0</v>
      </c>
      <c r="AE81" s="5">
        <f>W81</f>
        <v>0.15</v>
      </c>
      <c r="AF81" s="5">
        <f>X81</f>
        <v>1.6023289999999999</v>
      </c>
      <c r="AG81" s="5">
        <f>Y81</f>
        <v>0</v>
      </c>
      <c r="AH81" s="5">
        <f>IF(OR(G81="C",G81="S",G81="U"),1,0)</f>
        <v>1</v>
      </c>
      <c r="AI81" s="5">
        <f>IF(ISNUMBER(H81),1,0)</f>
        <v>0</v>
      </c>
      <c r="AJ81" s="5">
        <f>IF(ISNUMBER(P81),1,0)</f>
        <v>1</v>
      </c>
      <c r="AK81" s="5" t="str">
        <f>IF(AI81=1,IF(J81&gt;0,1,0),"")</f>
        <v/>
      </c>
      <c r="AL81" s="5">
        <f>IF(AJ81=1,IF(OR(Q81&gt;0,R81&gt;0),1,0),"")</f>
        <v>1</v>
      </c>
    </row>
    <row r="82" spans="1:38">
      <c r="A82">
        <v>38116</v>
      </c>
      <c r="B82" t="s">
        <v>120</v>
      </c>
      <c r="C82" t="s">
        <v>23</v>
      </c>
      <c r="D82" t="s">
        <v>24</v>
      </c>
      <c r="E82">
        <v>39</v>
      </c>
      <c r="F82">
        <v>3337849</v>
      </c>
      <c r="G82" t="s">
        <v>25</v>
      </c>
      <c r="H82" t="s">
        <v>26</v>
      </c>
      <c r="I82" t="s">
        <v>26</v>
      </c>
      <c r="J82" t="s">
        <v>26</v>
      </c>
      <c r="K82" t="s">
        <v>26</v>
      </c>
      <c r="L82" t="s">
        <v>26</v>
      </c>
      <c r="M82" t="s">
        <v>26</v>
      </c>
      <c r="N82" t="s">
        <v>26</v>
      </c>
      <c r="O82" t="s">
        <v>26</v>
      </c>
      <c r="P82">
        <v>1</v>
      </c>
      <c r="Q82">
        <v>0</v>
      </c>
      <c r="R82">
        <v>1</v>
      </c>
      <c r="S82">
        <v>1</v>
      </c>
      <c r="T82">
        <v>0.29959999999999998</v>
      </c>
      <c r="U82">
        <v>2.5600000000000001E-2</v>
      </c>
      <c r="V82">
        <v>1</v>
      </c>
      <c r="W82">
        <f>E82/100</f>
        <v>0.39</v>
      </c>
      <c r="X82">
        <f>F82/1000000</f>
        <v>3.3378489999999998</v>
      </c>
      <c r="Y82">
        <f>IF(D82="C",1,0)</f>
        <v>0</v>
      </c>
      <c r="Z82">
        <f>IF(G82="C",1,0)</f>
        <v>0</v>
      </c>
      <c r="AA82">
        <f>IF(G82="S",1,0)</f>
        <v>1</v>
      </c>
      <c r="AB82">
        <f>IF(G82="U",1,0)</f>
        <v>0</v>
      </c>
      <c r="AC82" s="5">
        <f>IF(AND(ISNUMBER(H82),NOT(ISNUMBER(P82))),1,0)</f>
        <v>0</v>
      </c>
      <c r="AD82" s="5">
        <f>IF(AND(ISNUMBER(H82),ISNUMBER(P82)),1,0)</f>
        <v>0</v>
      </c>
      <c r="AE82" s="5">
        <f>W82</f>
        <v>0.39</v>
      </c>
      <c r="AF82" s="5">
        <f>X82</f>
        <v>3.3378489999999998</v>
      </c>
      <c r="AG82" s="5">
        <f>Y82</f>
        <v>0</v>
      </c>
      <c r="AH82" s="5">
        <f>IF(OR(G82="C",G82="S",G82="U"),1,0)</f>
        <v>1</v>
      </c>
      <c r="AI82" s="5">
        <f>IF(ISNUMBER(H82),1,0)</f>
        <v>0</v>
      </c>
      <c r="AJ82" s="5">
        <f>IF(ISNUMBER(P82),1,0)</f>
        <v>1</v>
      </c>
      <c r="AK82" s="5" t="str">
        <f>IF(AI82=1,IF(J82&gt;0,1,0),"")</f>
        <v/>
      </c>
      <c r="AL82" s="5">
        <f>IF(AJ82=1,IF(OR(Q82&gt;0,R82&gt;0),1,0),"")</f>
        <v>1</v>
      </c>
    </row>
    <row r="83" spans="1:38">
      <c r="A83">
        <v>38186</v>
      </c>
      <c r="B83" t="s">
        <v>121</v>
      </c>
      <c r="C83" t="s">
        <v>23</v>
      </c>
      <c r="D83" t="s">
        <v>24</v>
      </c>
      <c r="E83">
        <v>38</v>
      </c>
      <c r="F83">
        <v>2044078</v>
      </c>
      <c r="G83" t="s">
        <v>25</v>
      </c>
      <c r="H83" t="s">
        <v>26</v>
      </c>
      <c r="I83" t="s">
        <v>26</v>
      </c>
      <c r="J83" t="s">
        <v>26</v>
      </c>
      <c r="K83" t="s">
        <v>26</v>
      </c>
      <c r="L83" t="s">
        <v>26</v>
      </c>
      <c r="M83" t="s">
        <v>26</v>
      </c>
      <c r="N83" t="s">
        <v>26</v>
      </c>
      <c r="O83" t="s">
        <v>26</v>
      </c>
      <c r="P83">
        <v>1</v>
      </c>
      <c r="Q83">
        <v>0</v>
      </c>
      <c r="R83">
        <v>1</v>
      </c>
      <c r="S83">
        <v>0</v>
      </c>
      <c r="T83">
        <v>0.48920000000000002</v>
      </c>
      <c r="U83">
        <v>2.63E-2</v>
      </c>
      <c r="V83">
        <v>1</v>
      </c>
      <c r="W83">
        <f>E83/100</f>
        <v>0.38</v>
      </c>
      <c r="X83">
        <f>F83/1000000</f>
        <v>2.0440779999999998</v>
      </c>
      <c r="Y83">
        <f>IF(D83="C",1,0)</f>
        <v>0</v>
      </c>
      <c r="Z83">
        <f>IF(G83="C",1,0)</f>
        <v>0</v>
      </c>
      <c r="AA83">
        <f>IF(G83="S",1,0)</f>
        <v>1</v>
      </c>
      <c r="AB83">
        <f>IF(G83="U",1,0)</f>
        <v>0</v>
      </c>
      <c r="AC83" s="5">
        <f>IF(AND(ISNUMBER(H83),NOT(ISNUMBER(P83))),1,0)</f>
        <v>0</v>
      </c>
      <c r="AD83" s="5">
        <f>IF(AND(ISNUMBER(H83),ISNUMBER(P83)),1,0)</f>
        <v>0</v>
      </c>
      <c r="AE83" s="5">
        <f>W83</f>
        <v>0.38</v>
      </c>
      <c r="AF83" s="5">
        <f>X83</f>
        <v>2.0440779999999998</v>
      </c>
      <c r="AG83" s="5">
        <f>Y83</f>
        <v>0</v>
      </c>
      <c r="AH83" s="5">
        <f>IF(OR(G83="C",G83="S",G83="U"),1,0)</f>
        <v>1</v>
      </c>
      <c r="AI83" s="5">
        <f>IF(ISNUMBER(H83),1,0)</f>
        <v>0</v>
      </c>
      <c r="AJ83" s="5">
        <f>IF(ISNUMBER(P83),1,0)</f>
        <v>1</v>
      </c>
      <c r="AK83" s="5" t="str">
        <f>IF(AI83=1,IF(J83&gt;0,1,0),"")</f>
        <v/>
      </c>
      <c r="AL83" s="5">
        <f>IF(AJ83=1,IF(OR(Q83&gt;0,R83&gt;0),1,0),"")</f>
        <v>1</v>
      </c>
    </row>
    <row r="84" spans="1:38">
      <c r="A84">
        <v>38206</v>
      </c>
      <c r="B84" t="s">
        <v>122</v>
      </c>
      <c r="C84" t="s">
        <v>23</v>
      </c>
      <c r="D84" t="s">
        <v>24</v>
      </c>
      <c r="E84">
        <v>14</v>
      </c>
      <c r="F84">
        <v>713407</v>
      </c>
      <c r="G84" t="s">
        <v>25</v>
      </c>
      <c r="H84" t="s">
        <v>26</v>
      </c>
      <c r="I84" t="s">
        <v>26</v>
      </c>
      <c r="J84" t="s">
        <v>26</v>
      </c>
      <c r="K84" t="s">
        <v>26</v>
      </c>
      <c r="L84" t="s">
        <v>26</v>
      </c>
      <c r="M84" t="s">
        <v>26</v>
      </c>
      <c r="N84" t="s">
        <v>26</v>
      </c>
      <c r="O84" t="s">
        <v>26</v>
      </c>
      <c r="P84">
        <v>1</v>
      </c>
      <c r="Q84">
        <v>0</v>
      </c>
      <c r="R84">
        <v>1</v>
      </c>
      <c r="S84">
        <v>1</v>
      </c>
      <c r="T84">
        <v>1.4016999999999999</v>
      </c>
      <c r="U84">
        <v>7.1400000000000005E-2</v>
      </c>
      <c r="V84">
        <v>1</v>
      </c>
      <c r="W84">
        <f>E84/100</f>
        <v>0.14000000000000001</v>
      </c>
      <c r="X84">
        <f>F84/1000000</f>
        <v>0.71340700000000001</v>
      </c>
      <c r="Y84">
        <f>IF(D84="C",1,0)</f>
        <v>0</v>
      </c>
      <c r="Z84">
        <f>IF(G84="C",1,0)</f>
        <v>0</v>
      </c>
      <c r="AA84">
        <f>IF(G84="S",1,0)</f>
        <v>1</v>
      </c>
      <c r="AB84">
        <f>IF(G84="U",1,0)</f>
        <v>0</v>
      </c>
      <c r="AC84" s="5">
        <f>IF(AND(ISNUMBER(H84),NOT(ISNUMBER(P84))),1,0)</f>
        <v>0</v>
      </c>
      <c r="AD84" s="5">
        <f>IF(AND(ISNUMBER(H84),ISNUMBER(P84)),1,0)</f>
        <v>0</v>
      </c>
      <c r="AE84" s="5">
        <f>W84</f>
        <v>0.14000000000000001</v>
      </c>
      <c r="AF84" s="5">
        <f>X84</f>
        <v>0.71340700000000001</v>
      </c>
      <c r="AG84" s="5">
        <f>Y84</f>
        <v>0</v>
      </c>
      <c r="AH84" s="5">
        <f>IF(OR(G84="C",G84="S",G84="U"),1,0)</f>
        <v>1</v>
      </c>
      <c r="AI84" s="5">
        <f>IF(ISNUMBER(H84),1,0)</f>
        <v>0</v>
      </c>
      <c r="AJ84" s="5">
        <f>IF(ISNUMBER(P84),1,0)</f>
        <v>1</v>
      </c>
      <c r="AK84" s="5" t="str">
        <f>IF(AI84=1,IF(J84&gt;0,1,0),"")</f>
        <v/>
      </c>
      <c r="AL84" s="5">
        <f>IF(AJ84=1,IF(OR(Q84&gt;0,R84&gt;0),1,0),"")</f>
        <v>1</v>
      </c>
    </row>
    <row r="85" spans="1:38">
      <c r="A85">
        <v>38269</v>
      </c>
      <c r="B85" t="s">
        <v>123</v>
      </c>
      <c r="C85" t="s">
        <v>23</v>
      </c>
      <c r="D85" t="s">
        <v>24</v>
      </c>
      <c r="E85">
        <v>7</v>
      </c>
      <c r="F85">
        <v>40585</v>
      </c>
      <c r="G85" t="s">
        <v>25</v>
      </c>
      <c r="H85" t="s">
        <v>26</v>
      </c>
      <c r="I85" t="s">
        <v>26</v>
      </c>
      <c r="J85" t="s">
        <v>26</v>
      </c>
      <c r="K85" t="s">
        <v>26</v>
      </c>
      <c r="L85" t="s">
        <v>26</v>
      </c>
      <c r="M85" t="s">
        <v>26</v>
      </c>
      <c r="N85" t="s">
        <v>26</v>
      </c>
      <c r="O85" t="s">
        <v>26</v>
      </c>
      <c r="P85">
        <v>1</v>
      </c>
      <c r="Q85">
        <v>0</v>
      </c>
      <c r="R85">
        <v>1</v>
      </c>
      <c r="S85">
        <v>1</v>
      </c>
      <c r="T85">
        <v>24.639600000000002</v>
      </c>
      <c r="U85">
        <v>0.1429</v>
      </c>
      <c r="V85">
        <v>1</v>
      </c>
      <c r="W85">
        <f>E85/100</f>
        <v>7.0000000000000007E-2</v>
      </c>
      <c r="X85">
        <f>F85/1000000</f>
        <v>4.0585000000000003E-2</v>
      </c>
      <c r="Y85">
        <f>IF(D85="C",1,0)</f>
        <v>0</v>
      </c>
      <c r="Z85">
        <f>IF(G85="C",1,0)</f>
        <v>0</v>
      </c>
      <c r="AA85">
        <f>IF(G85="S",1,0)</f>
        <v>1</v>
      </c>
      <c r="AB85">
        <f>IF(G85="U",1,0)</f>
        <v>0</v>
      </c>
      <c r="AC85" s="5">
        <f>IF(AND(ISNUMBER(H85),NOT(ISNUMBER(P85))),1,0)</f>
        <v>0</v>
      </c>
      <c r="AD85" s="5">
        <f>IF(AND(ISNUMBER(H85),ISNUMBER(P85)),1,0)</f>
        <v>0</v>
      </c>
      <c r="AE85" s="5">
        <f>W85</f>
        <v>7.0000000000000007E-2</v>
      </c>
      <c r="AF85" s="5">
        <f>X85</f>
        <v>4.0585000000000003E-2</v>
      </c>
      <c r="AG85" s="5">
        <f>Y85</f>
        <v>0</v>
      </c>
      <c r="AH85" s="5">
        <f>IF(OR(G85="C",G85="S",G85="U"),1,0)</f>
        <v>1</v>
      </c>
      <c r="AI85" s="5">
        <f>IF(ISNUMBER(H85),1,0)</f>
        <v>0</v>
      </c>
      <c r="AJ85" s="5">
        <f>IF(ISNUMBER(P85),1,0)</f>
        <v>1</v>
      </c>
      <c r="AK85" s="5" t="str">
        <f>IF(AI85=1,IF(J85&gt;0,1,0),"")</f>
        <v/>
      </c>
      <c r="AL85" s="5">
        <f>IF(AJ85=1,IF(OR(Q85&gt;0,R85&gt;0),1,0),"")</f>
        <v>1</v>
      </c>
    </row>
    <row r="86" spans="1:38">
      <c r="A86">
        <v>38574</v>
      </c>
      <c r="B86" t="s">
        <v>124</v>
      </c>
      <c r="C86" t="s">
        <v>125</v>
      </c>
      <c r="D86" t="s">
        <v>24</v>
      </c>
      <c r="E86">
        <v>3</v>
      </c>
      <c r="F86">
        <v>20000</v>
      </c>
      <c r="G86" t="s">
        <v>25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>
        <v>1</v>
      </c>
      <c r="Q86">
        <v>0</v>
      </c>
      <c r="R86">
        <v>1</v>
      </c>
      <c r="S86">
        <v>1</v>
      </c>
      <c r="T86">
        <v>50</v>
      </c>
      <c r="U86">
        <v>0.33329999999999999</v>
      </c>
      <c r="V86">
        <v>1</v>
      </c>
      <c r="W86">
        <f>E86/100</f>
        <v>0.03</v>
      </c>
      <c r="X86">
        <f>F86/1000000</f>
        <v>0.02</v>
      </c>
      <c r="Y86">
        <f>IF(D86="C",1,0)</f>
        <v>0</v>
      </c>
      <c r="Z86">
        <f>IF(G86="C",1,0)</f>
        <v>0</v>
      </c>
      <c r="AA86">
        <f>IF(G86="S",1,0)</f>
        <v>1</v>
      </c>
      <c r="AB86">
        <f>IF(G86="U",1,0)</f>
        <v>0</v>
      </c>
      <c r="AC86" s="5">
        <f>IF(AND(ISNUMBER(H86),NOT(ISNUMBER(P86))),1,0)</f>
        <v>0</v>
      </c>
      <c r="AD86" s="5">
        <f>IF(AND(ISNUMBER(H86),ISNUMBER(P86)),1,0)</f>
        <v>0</v>
      </c>
      <c r="AE86" s="5">
        <f>W86</f>
        <v>0.03</v>
      </c>
      <c r="AF86" s="5">
        <f>X86</f>
        <v>0.02</v>
      </c>
      <c r="AG86" s="5">
        <f>Y86</f>
        <v>0</v>
      </c>
      <c r="AH86" s="5">
        <f>IF(OR(G86="C",G86="S",G86="U"),1,0)</f>
        <v>1</v>
      </c>
      <c r="AI86" s="5">
        <f>IF(ISNUMBER(H86),1,0)</f>
        <v>0</v>
      </c>
      <c r="AJ86" s="5">
        <f>IF(ISNUMBER(P86),1,0)</f>
        <v>1</v>
      </c>
      <c r="AK86" s="5" t="str">
        <f>IF(AI86=1,IF(J86&gt;0,1,0),"")</f>
        <v/>
      </c>
      <c r="AL86" s="5">
        <f>IF(AJ86=1,IF(OR(Q86&gt;0,R86&gt;0),1,0),"")</f>
        <v>1</v>
      </c>
    </row>
    <row r="87" spans="1:38">
      <c r="A87">
        <v>39632</v>
      </c>
      <c r="B87" t="s">
        <v>126</v>
      </c>
      <c r="C87" t="s">
        <v>82</v>
      </c>
      <c r="D87" t="s">
        <v>24</v>
      </c>
      <c r="E87">
        <v>48</v>
      </c>
      <c r="F87">
        <v>1211462</v>
      </c>
      <c r="G87" t="s">
        <v>25</v>
      </c>
      <c r="H87" t="s">
        <v>26</v>
      </c>
      <c r="I87" t="s">
        <v>26</v>
      </c>
      <c r="J87" t="s">
        <v>26</v>
      </c>
      <c r="K87" t="s">
        <v>26</v>
      </c>
      <c r="L87" t="s">
        <v>26</v>
      </c>
      <c r="M87" t="s">
        <v>26</v>
      </c>
      <c r="N87" t="s">
        <v>26</v>
      </c>
      <c r="O87" t="s">
        <v>26</v>
      </c>
      <c r="P87">
        <v>1</v>
      </c>
      <c r="Q87">
        <v>0</v>
      </c>
      <c r="R87">
        <v>0</v>
      </c>
      <c r="S87">
        <v>1</v>
      </c>
      <c r="T87">
        <v>0.82540000000000002</v>
      </c>
      <c r="U87">
        <v>2.0799999999999999E-2</v>
      </c>
      <c r="V87">
        <v>0</v>
      </c>
      <c r="W87">
        <f>E87/100</f>
        <v>0.48</v>
      </c>
      <c r="X87">
        <f>F87/1000000</f>
        <v>1.211462</v>
      </c>
      <c r="Y87">
        <f>IF(D87="C",1,0)</f>
        <v>0</v>
      </c>
      <c r="Z87">
        <f>IF(G87="C",1,0)</f>
        <v>0</v>
      </c>
      <c r="AA87">
        <f>IF(G87="S",1,0)</f>
        <v>1</v>
      </c>
      <c r="AB87">
        <f>IF(G87="U",1,0)</f>
        <v>0</v>
      </c>
      <c r="AC87" s="5">
        <f>IF(AND(ISNUMBER(H87),NOT(ISNUMBER(P87))),1,0)</f>
        <v>0</v>
      </c>
      <c r="AD87" s="5">
        <f>IF(AND(ISNUMBER(H87),ISNUMBER(P87)),1,0)</f>
        <v>0</v>
      </c>
      <c r="AE87" s="5">
        <f>W87</f>
        <v>0.48</v>
      </c>
      <c r="AF87" s="5">
        <f>X87</f>
        <v>1.211462</v>
      </c>
      <c r="AG87" s="5">
        <f>Y87</f>
        <v>0</v>
      </c>
      <c r="AH87" s="5">
        <f>IF(OR(G87="C",G87="S",G87="U"),1,0)</f>
        <v>1</v>
      </c>
      <c r="AI87" s="5">
        <f>IF(ISNUMBER(H87),1,0)</f>
        <v>0</v>
      </c>
      <c r="AJ87" s="5">
        <f>IF(ISNUMBER(P87),1,0)</f>
        <v>1</v>
      </c>
      <c r="AK87" s="5" t="str">
        <f>IF(AI87=1,IF(J87&gt;0,1,0),"")</f>
        <v/>
      </c>
      <c r="AL87" s="5">
        <f>IF(AJ87=1,IF(OR(Q87&gt;0,R87&gt;0),1,0),"")</f>
        <v>0</v>
      </c>
    </row>
    <row r="88" spans="1:38">
      <c r="A88">
        <v>40499</v>
      </c>
      <c r="B88" t="s">
        <v>127</v>
      </c>
      <c r="C88" t="s">
        <v>37</v>
      </c>
      <c r="D88" t="s">
        <v>24</v>
      </c>
      <c r="E88">
        <v>90</v>
      </c>
      <c r="F88">
        <v>7000000</v>
      </c>
      <c r="G88" t="s">
        <v>25</v>
      </c>
      <c r="H88" t="s">
        <v>26</v>
      </c>
      <c r="I88" t="s">
        <v>26</v>
      </c>
      <c r="J88" t="s">
        <v>26</v>
      </c>
      <c r="K88" t="s">
        <v>26</v>
      </c>
      <c r="L88" t="s">
        <v>26</v>
      </c>
      <c r="M88" t="s">
        <v>26</v>
      </c>
      <c r="N88" t="s">
        <v>26</v>
      </c>
      <c r="O88" t="s">
        <v>26</v>
      </c>
      <c r="P88">
        <v>2</v>
      </c>
      <c r="Q88">
        <v>0</v>
      </c>
      <c r="R88">
        <v>0</v>
      </c>
      <c r="S88">
        <v>2</v>
      </c>
      <c r="T88">
        <v>0.28570000000000001</v>
      </c>
      <c r="U88">
        <v>2.2200000000000001E-2</v>
      </c>
      <c r="V88">
        <v>0</v>
      </c>
      <c r="W88">
        <f>E88/100</f>
        <v>0.9</v>
      </c>
      <c r="X88">
        <f>F88/1000000</f>
        <v>7</v>
      </c>
      <c r="Y88">
        <f>IF(D88="C",1,0)</f>
        <v>0</v>
      </c>
      <c r="Z88">
        <f>IF(G88="C",1,0)</f>
        <v>0</v>
      </c>
      <c r="AA88">
        <f>IF(G88="S",1,0)</f>
        <v>1</v>
      </c>
      <c r="AB88">
        <f>IF(G88="U",1,0)</f>
        <v>0</v>
      </c>
      <c r="AC88" s="5">
        <f>IF(AND(ISNUMBER(H88),NOT(ISNUMBER(P88))),1,0)</f>
        <v>0</v>
      </c>
      <c r="AD88" s="5">
        <f>IF(AND(ISNUMBER(H88),ISNUMBER(P88)),1,0)</f>
        <v>0</v>
      </c>
      <c r="AE88" s="5">
        <f>W88</f>
        <v>0.9</v>
      </c>
      <c r="AF88" s="5">
        <f>X88</f>
        <v>7</v>
      </c>
      <c r="AG88" s="5">
        <f>Y88</f>
        <v>0</v>
      </c>
      <c r="AH88" s="5">
        <f>IF(OR(G88="C",G88="S",G88="U"),1,0)</f>
        <v>1</v>
      </c>
      <c r="AI88" s="5">
        <f>IF(ISNUMBER(H88),1,0)</f>
        <v>0</v>
      </c>
      <c r="AJ88" s="5">
        <f>IF(ISNUMBER(P88),1,0)</f>
        <v>1</v>
      </c>
      <c r="AK88" s="5" t="str">
        <f>IF(AI88=1,IF(J88&gt;0,1,0),"")</f>
        <v/>
      </c>
      <c r="AL88" s="5">
        <f>IF(AJ88=1,IF(OR(Q88&gt;0,R88&gt;0),1,0),"")</f>
        <v>0</v>
      </c>
    </row>
    <row r="89" spans="1:38">
      <c r="A89">
        <v>42804</v>
      </c>
      <c r="B89" t="s">
        <v>128</v>
      </c>
      <c r="C89" t="s">
        <v>37</v>
      </c>
      <c r="D89" t="s">
        <v>24</v>
      </c>
      <c r="E89">
        <v>25</v>
      </c>
      <c r="F89">
        <v>555011</v>
      </c>
      <c r="G89" t="s">
        <v>25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>
        <v>1</v>
      </c>
      <c r="Q89">
        <v>0</v>
      </c>
      <c r="R89">
        <v>0</v>
      </c>
      <c r="S89">
        <v>1</v>
      </c>
      <c r="T89">
        <v>1.8018000000000001</v>
      </c>
      <c r="U89">
        <v>0.04</v>
      </c>
      <c r="V89">
        <v>0</v>
      </c>
      <c r="W89">
        <f>E89/100</f>
        <v>0.25</v>
      </c>
      <c r="X89">
        <f>F89/1000000</f>
        <v>0.55501100000000003</v>
      </c>
      <c r="Y89">
        <f>IF(D89="C",1,0)</f>
        <v>0</v>
      </c>
      <c r="Z89">
        <f>IF(G89="C",1,0)</f>
        <v>0</v>
      </c>
      <c r="AA89">
        <f>IF(G89="S",1,0)</f>
        <v>1</v>
      </c>
      <c r="AB89">
        <f>IF(G89="U",1,0)</f>
        <v>0</v>
      </c>
      <c r="AC89" s="5">
        <f>IF(AND(ISNUMBER(H89),NOT(ISNUMBER(P89))),1,0)</f>
        <v>0</v>
      </c>
      <c r="AD89" s="5">
        <f>IF(AND(ISNUMBER(H89),ISNUMBER(P89)),1,0)</f>
        <v>0</v>
      </c>
      <c r="AE89" s="5">
        <f>W89</f>
        <v>0.25</v>
      </c>
      <c r="AF89" s="5">
        <f>X89</f>
        <v>0.55501100000000003</v>
      </c>
      <c r="AG89" s="5">
        <f>Y89</f>
        <v>0</v>
      </c>
      <c r="AH89" s="5">
        <f>IF(OR(G89="C",G89="S",G89="U"),1,0)</f>
        <v>1</v>
      </c>
      <c r="AI89" s="5">
        <f>IF(ISNUMBER(H89),1,0)</f>
        <v>0</v>
      </c>
      <c r="AJ89" s="5">
        <f>IF(ISNUMBER(P89),1,0)</f>
        <v>1</v>
      </c>
      <c r="AK89" s="5" t="str">
        <f>IF(AI89=1,IF(J89&gt;0,1,0),"")</f>
        <v/>
      </c>
      <c r="AL89" s="5">
        <f>IF(AJ89=1,IF(OR(Q89&gt;0,R89&gt;0),1,0),"")</f>
        <v>0</v>
      </c>
    </row>
    <row r="90" spans="1:38">
      <c r="A90">
        <v>43443</v>
      </c>
      <c r="B90" t="s">
        <v>129</v>
      </c>
      <c r="C90" t="s">
        <v>82</v>
      </c>
      <c r="D90" t="s">
        <v>24</v>
      </c>
      <c r="E90">
        <v>25</v>
      </c>
      <c r="F90">
        <v>985693</v>
      </c>
      <c r="G90" t="s">
        <v>25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>
        <v>3</v>
      </c>
      <c r="Q90">
        <v>0</v>
      </c>
      <c r="R90">
        <v>1</v>
      </c>
      <c r="S90">
        <v>2</v>
      </c>
      <c r="T90">
        <v>3.0434999999999999</v>
      </c>
      <c r="U90">
        <v>0.12</v>
      </c>
      <c r="V90">
        <v>1</v>
      </c>
      <c r="W90">
        <f>E90/100</f>
        <v>0.25</v>
      </c>
      <c r="X90">
        <f>F90/1000000</f>
        <v>0.98569300000000004</v>
      </c>
      <c r="Y90">
        <f>IF(D90="C",1,0)</f>
        <v>0</v>
      </c>
      <c r="Z90">
        <f>IF(G90="C",1,0)</f>
        <v>0</v>
      </c>
      <c r="AA90">
        <f>IF(G90="S",1,0)</f>
        <v>1</v>
      </c>
      <c r="AB90">
        <f>IF(G90="U",1,0)</f>
        <v>0</v>
      </c>
      <c r="AC90" s="5">
        <f>IF(AND(ISNUMBER(H90),NOT(ISNUMBER(P90))),1,0)</f>
        <v>0</v>
      </c>
      <c r="AD90" s="5">
        <f>IF(AND(ISNUMBER(H90),ISNUMBER(P90)),1,0)</f>
        <v>0</v>
      </c>
      <c r="AE90" s="5">
        <f>W90</f>
        <v>0.25</v>
      </c>
      <c r="AF90" s="5">
        <f>X90</f>
        <v>0.98569300000000004</v>
      </c>
      <c r="AG90" s="5">
        <f>Y90</f>
        <v>0</v>
      </c>
      <c r="AH90" s="5">
        <f>IF(OR(G90="C",G90="S",G90="U"),1,0)</f>
        <v>1</v>
      </c>
      <c r="AI90" s="5">
        <f>IF(ISNUMBER(H90),1,0)</f>
        <v>0</v>
      </c>
      <c r="AJ90" s="5">
        <f>IF(ISNUMBER(P90),1,0)</f>
        <v>1</v>
      </c>
      <c r="AK90" s="5" t="str">
        <f>IF(AI90=1,IF(J90&gt;0,1,0),"")</f>
        <v/>
      </c>
      <c r="AL90" s="5">
        <f>IF(AJ90=1,IF(OR(Q90&gt;0,R90&gt;0),1,0),"")</f>
        <v>1</v>
      </c>
    </row>
    <row r="91" spans="1:38">
      <c r="A91">
        <v>45340</v>
      </c>
      <c r="B91" t="s">
        <v>130</v>
      </c>
      <c r="C91" t="s">
        <v>23</v>
      </c>
      <c r="D91" t="s">
        <v>24</v>
      </c>
      <c r="E91">
        <v>2</v>
      </c>
      <c r="F91">
        <v>103596</v>
      </c>
      <c r="G91" t="s">
        <v>33</v>
      </c>
      <c r="H91" t="s">
        <v>26</v>
      </c>
      <c r="I91" t="s">
        <v>26</v>
      </c>
      <c r="J91" t="s">
        <v>26</v>
      </c>
      <c r="K91" t="s">
        <v>26</v>
      </c>
      <c r="L91" t="s">
        <v>26</v>
      </c>
      <c r="M91" t="s">
        <v>26</v>
      </c>
      <c r="N91" t="s">
        <v>26</v>
      </c>
      <c r="O91" t="s">
        <v>26</v>
      </c>
      <c r="P91">
        <v>1</v>
      </c>
      <c r="Q91">
        <v>0</v>
      </c>
      <c r="R91">
        <v>0</v>
      </c>
      <c r="S91">
        <v>1</v>
      </c>
      <c r="T91">
        <v>9.6529000000000007</v>
      </c>
      <c r="U91">
        <v>0.5</v>
      </c>
      <c r="V91">
        <v>0</v>
      </c>
      <c r="W91">
        <f>E91/100</f>
        <v>0.02</v>
      </c>
      <c r="X91">
        <f>F91/1000000</f>
        <v>0.10359599999999999</v>
      </c>
      <c r="Y91">
        <f>IF(D91="C",1,0)</f>
        <v>0</v>
      </c>
      <c r="Z91">
        <f>IF(G91="C",1,0)</f>
        <v>1</v>
      </c>
      <c r="AA91">
        <f>IF(G91="S",1,0)</f>
        <v>0</v>
      </c>
      <c r="AB91">
        <f>IF(G91="U",1,0)</f>
        <v>0</v>
      </c>
      <c r="AC91" s="5">
        <f>IF(AND(ISNUMBER(H91),NOT(ISNUMBER(P91))),1,0)</f>
        <v>0</v>
      </c>
      <c r="AD91" s="5">
        <f>IF(AND(ISNUMBER(H91),ISNUMBER(P91)),1,0)</f>
        <v>0</v>
      </c>
      <c r="AE91" s="5">
        <f>W91</f>
        <v>0.02</v>
      </c>
      <c r="AF91" s="5">
        <f>X91</f>
        <v>0.10359599999999999</v>
      </c>
      <c r="AG91" s="5">
        <f>Y91</f>
        <v>0</v>
      </c>
      <c r="AH91" s="5">
        <f>IF(OR(G91="C",G91="S",G91="U"),1,0)</f>
        <v>1</v>
      </c>
      <c r="AI91" s="5">
        <f>IF(ISNUMBER(H91),1,0)</f>
        <v>0</v>
      </c>
      <c r="AJ91" s="5">
        <f>IF(ISNUMBER(P91),1,0)</f>
        <v>1</v>
      </c>
      <c r="AK91" s="5" t="str">
        <f>IF(AI91=1,IF(J91&gt;0,1,0),"")</f>
        <v/>
      </c>
      <c r="AL91" s="5">
        <f>IF(AJ91=1,IF(OR(Q91&gt;0,R91&gt;0),1,0),"")</f>
        <v>0</v>
      </c>
    </row>
    <row r="92" spans="1:38">
      <c r="A92">
        <v>45485</v>
      </c>
      <c r="B92" t="s">
        <v>131</v>
      </c>
      <c r="C92" t="s">
        <v>23</v>
      </c>
      <c r="D92" t="s">
        <v>24</v>
      </c>
      <c r="E92">
        <v>16</v>
      </c>
      <c r="F92">
        <v>500100</v>
      </c>
      <c r="G92" t="s">
        <v>25</v>
      </c>
      <c r="H92" t="s">
        <v>26</v>
      </c>
      <c r="I92" t="s">
        <v>26</v>
      </c>
      <c r="J92" t="s">
        <v>26</v>
      </c>
      <c r="K92" t="s">
        <v>26</v>
      </c>
      <c r="L92" t="s">
        <v>26</v>
      </c>
      <c r="M92" t="s">
        <v>26</v>
      </c>
      <c r="N92" t="s">
        <v>26</v>
      </c>
      <c r="O92" t="s">
        <v>26</v>
      </c>
      <c r="P92">
        <v>1</v>
      </c>
      <c r="Q92">
        <v>0</v>
      </c>
      <c r="R92">
        <v>1</v>
      </c>
      <c r="S92">
        <v>1</v>
      </c>
      <c r="T92">
        <v>1.9996</v>
      </c>
      <c r="U92">
        <v>6.25E-2</v>
      </c>
      <c r="V92">
        <v>1</v>
      </c>
      <c r="W92">
        <f>E92/100</f>
        <v>0.16</v>
      </c>
      <c r="X92">
        <f>F92/1000000</f>
        <v>0.50009999999999999</v>
      </c>
      <c r="Y92">
        <f>IF(D92="C",1,0)</f>
        <v>0</v>
      </c>
      <c r="Z92">
        <f>IF(G92="C",1,0)</f>
        <v>0</v>
      </c>
      <c r="AA92">
        <f>IF(G92="S",1,0)</f>
        <v>1</v>
      </c>
      <c r="AB92">
        <f>IF(G92="U",1,0)</f>
        <v>0</v>
      </c>
      <c r="AC92" s="5">
        <f>IF(AND(ISNUMBER(H92),NOT(ISNUMBER(P92))),1,0)</f>
        <v>0</v>
      </c>
      <c r="AD92" s="5">
        <f>IF(AND(ISNUMBER(H92),ISNUMBER(P92)),1,0)</f>
        <v>0</v>
      </c>
      <c r="AE92" s="5">
        <f>W92</f>
        <v>0.16</v>
      </c>
      <c r="AF92" s="5">
        <f>X92</f>
        <v>0.50009999999999999</v>
      </c>
      <c r="AG92" s="5">
        <f>Y92</f>
        <v>0</v>
      </c>
      <c r="AH92" s="5">
        <f>IF(OR(G92="C",G92="S",G92="U"),1,0)</f>
        <v>1</v>
      </c>
      <c r="AI92" s="5">
        <f>IF(ISNUMBER(H92),1,0)</f>
        <v>0</v>
      </c>
      <c r="AJ92" s="5">
        <f>IF(ISNUMBER(P92),1,0)</f>
        <v>1</v>
      </c>
      <c r="AK92" s="5" t="str">
        <f>IF(AI92=1,IF(J92&gt;0,1,0),"")</f>
        <v/>
      </c>
      <c r="AL92" s="5">
        <f>IF(AJ92=1,IF(OR(Q92&gt;0,R92&gt;0),1,0),"")</f>
        <v>1</v>
      </c>
    </row>
    <row r="93" spans="1:38">
      <c r="A93">
        <v>46021</v>
      </c>
      <c r="B93" t="s">
        <v>132</v>
      </c>
      <c r="C93" t="s">
        <v>23</v>
      </c>
      <c r="D93" t="s">
        <v>24</v>
      </c>
      <c r="E93">
        <v>26</v>
      </c>
      <c r="F93">
        <v>1510000</v>
      </c>
      <c r="G93" t="s">
        <v>25</v>
      </c>
      <c r="H93" t="s">
        <v>26</v>
      </c>
      <c r="I93" t="s">
        <v>26</v>
      </c>
      <c r="J93" t="s">
        <v>26</v>
      </c>
      <c r="K93" t="s">
        <v>26</v>
      </c>
      <c r="L93" t="s">
        <v>26</v>
      </c>
      <c r="M93" t="s">
        <v>26</v>
      </c>
      <c r="N93" t="s">
        <v>26</v>
      </c>
      <c r="O93" t="s">
        <v>26</v>
      </c>
      <c r="P93">
        <v>1</v>
      </c>
      <c r="Q93">
        <v>0</v>
      </c>
      <c r="R93">
        <v>0</v>
      </c>
      <c r="S93">
        <v>1</v>
      </c>
      <c r="T93">
        <v>0.6623</v>
      </c>
      <c r="U93">
        <v>3.85E-2</v>
      </c>
      <c r="V93">
        <v>0</v>
      </c>
      <c r="W93">
        <f>E93/100</f>
        <v>0.26</v>
      </c>
      <c r="X93">
        <f>F93/1000000</f>
        <v>1.51</v>
      </c>
      <c r="Y93">
        <f>IF(D93="C",1,0)</f>
        <v>0</v>
      </c>
      <c r="Z93">
        <f>IF(G93="C",1,0)</f>
        <v>0</v>
      </c>
      <c r="AA93">
        <f>IF(G93="S",1,0)</f>
        <v>1</v>
      </c>
      <c r="AB93">
        <f>IF(G93="U",1,0)</f>
        <v>0</v>
      </c>
      <c r="AC93" s="5">
        <f>IF(AND(ISNUMBER(H93),NOT(ISNUMBER(P93))),1,0)</f>
        <v>0</v>
      </c>
      <c r="AD93" s="5">
        <f>IF(AND(ISNUMBER(H93),ISNUMBER(P93)),1,0)</f>
        <v>0</v>
      </c>
      <c r="AE93" s="5">
        <f>W93</f>
        <v>0.26</v>
      </c>
      <c r="AF93" s="5">
        <f>X93</f>
        <v>1.51</v>
      </c>
      <c r="AG93" s="5">
        <f>Y93</f>
        <v>0</v>
      </c>
      <c r="AH93" s="5">
        <f>IF(OR(G93="C",G93="S",G93="U"),1,0)</f>
        <v>1</v>
      </c>
      <c r="AI93" s="5">
        <f>IF(ISNUMBER(H93),1,0)</f>
        <v>0</v>
      </c>
      <c r="AJ93" s="5">
        <f>IF(ISNUMBER(P93),1,0)</f>
        <v>1</v>
      </c>
      <c r="AK93" s="5" t="str">
        <f>IF(AI93=1,IF(J93&gt;0,1,0),"")</f>
        <v/>
      </c>
      <c r="AL93" s="5">
        <f>IF(AJ93=1,IF(OR(Q93&gt;0,R93&gt;0),1,0),"")</f>
        <v>0</v>
      </c>
    </row>
    <row r="94" spans="1:38">
      <c r="A94">
        <v>49022</v>
      </c>
      <c r="B94" t="s">
        <v>133</v>
      </c>
      <c r="C94" t="s">
        <v>82</v>
      </c>
      <c r="D94" t="s">
        <v>24</v>
      </c>
      <c r="E94">
        <v>48</v>
      </c>
      <c r="F94">
        <v>3417849</v>
      </c>
      <c r="G94" t="s">
        <v>25</v>
      </c>
      <c r="H94" t="s">
        <v>26</v>
      </c>
      <c r="I94" t="s">
        <v>26</v>
      </c>
      <c r="J94" t="s">
        <v>26</v>
      </c>
      <c r="K94" t="s">
        <v>26</v>
      </c>
      <c r="L94" t="s">
        <v>26</v>
      </c>
      <c r="M94" t="s">
        <v>26</v>
      </c>
      <c r="N94" t="s">
        <v>26</v>
      </c>
      <c r="O94" t="s">
        <v>26</v>
      </c>
      <c r="P94">
        <v>1</v>
      </c>
      <c r="Q94">
        <v>0</v>
      </c>
      <c r="R94">
        <v>1</v>
      </c>
      <c r="S94">
        <v>1</v>
      </c>
      <c r="T94">
        <v>0.29260000000000003</v>
      </c>
      <c r="U94">
        <v>2.0799999999999999E-2</v>
      </c>
      <c r="V94">
        <v>1</v>
      </c>
      <c r="W94">
        <f>E94/100</f>
        <v>0.48</v>
      </c>
      <c r="X94">
        <f>F94/1000000</f>
        <v>3.4178489999999999</v>
      </c>
      <c r="Y94">
        <f>IF(D94="C",1,0)</f>
        <v>0</v>
      </c>
      <c r="Z94">
        <f>IF(G94="C",1,0)</f>
        <v>0</v>
      </c>
      <c r="AA94">
        <f>IF(G94="S",1,0)</f>
        <v>1</v>
      </c>
      <c r="AB94">
        <f>IF(G94="U",1,0)</f>
        <v>0</v>
      </c>
      <c r="AC94" s="5">
        <f>IF(AND(ISNUMBER(H94),NOT(ISNUMBER(P94))),1,0)</f>
        <v>0</v>
      </c>
      <c r="AD94" s="5">
        <f>IF(AND(ISNUMBER(H94),ISNUMBER(P94)),1,0)</f>
        <v>0</v>
      </c>
      <c r="AE94" s="5">
        <f>W94</f>
        <v>0.48</v>
      </c>
      <c r="AF94" s="5">
        <f>X94</f>
        <v>3.4178489999999999</v>
      </c>
      <c r="AG94" s="5">
        <f>Y94</f>
        <v>0</v>
      </c>
      <c r="AH94" s="5">
        <f>IF(OR(G94="C",G94="S",G94="U"),1,0)</f>
        <v>1</v>
      </c>
      <c r="AI94" s="5">
        <f>IF(ISNUMBER(H94),1,0)</f>
        <v>0</v>
      </c>
      <c r="AJ94" s="5">
        <f>IF(ISNUMBER(P94),1,0)</f>
        <v>1</v>
      </c>
      <c r="AK94" s="5" t="str">
        <f>IF(AI94=1,IF(J94&gt;0,1,0),"")</f>
        <v/>
      </c>
      <c r="AL94" s="5">
        <f>IF(AJ94=1,IF(OR(Q94&gt;0,R94&gt;0),1,0),"")</f>
        <v>1</v>
      </c>
    </row>
    <row r="95" spans="1:38">
      <c r="A95">
        <v>49349</v>
      </c>
      <c r="B95" t="s">
        <v>134</v>
      </c>
      <c r="C95" t="s">
        <v>135</v>
      </c>
      <c r="D95" t="s">
        <v>33</v>
      </c>
      <c r="E95">
        <v>1</v>
      </c>
      <c r="F95">
        <v>40000</v>
      </c>
      <c r="H95" t="s">
        <v>26</v>
      </c>
      <c r="I95" t="s">
        <v>26</v>
      </c>
      <c r="J95" t="s">
        <v>26</v>
      </c>
      <c r="K95" t="s">
        <v>26</v>
      </c>
      <c r="L95" t="s">
        <v>26</v>
      </c>
      <c r="M95" t="s">
        <v>26</v>
      </c>
      <c r="N95" t="s">
        <v>26</v>
      </c>
      <c r="O95" t="s">
        <v>26</v>
      </c>
      <c r="P95">
        <v>1</v>
      </c>
      <c r="Q95">
        <v>0</v>
      </c>
      <c r="R95">
        <v>1</v>
      </c>
      <c r="S95">
        <v>1</v>
      </c>
      <c r="T95">
        <v>25</v>
      </c>
      <c r="U95">
        <v>1</v>
      </c>
      <c r="V95">
        <v>1</v>
      </c>
      <c r="W95">
        <f>E95/100</f>
        <v>0.01</v>
      </c>
      <c r="X95">
        <f>F95/1000000</f>
        <v>0.04</v>
      </c>
      <c r="Y95">
        <f>IF(D95="C",1,0)</f>
        <v>1</v>
      </c>
      <c r="Z95">
        <f>IF(G95="C",1,0)</f>
        <v>0</v>
      </c>
      <c r="AA95">
        <f>IF(G95="S",1,0)</f>
        <v>0</v>
      </c>
      <c r="AB95">
        <f>IF(G95="U",1,0)</f>
        <v>0</v>
      </c>
      <c r="AC95" s="5">
        <f>IF(AND(ISNUMBER(H95),NOT(ISNUMBER(P95))),1,0)</f>
        <v>0</v>
      </c>
      <c r="AD95" s="5">
        <f>IF(AND(ISNUMBER(H95),ISNUMBER(P95)),1,0)</f>
        <v>0</v>
      </c>
      <c r="AE95" s="5">
        <f>W95</f>
        <v>0.01</v>
      </c>
      <c r="AF95" s="5">
        <f>X95</f>
        <v>0.04</v>
      </c>
      <c r="AG95" s="5">
        <f>Y95</f>
        <v>1</v>
      </c>
      <c r="AH95" s="5">
        <f>IF(OR(G95="C",G95="S",G95="U"),1,0)</f>
        <v>0</v>
      </c>
      <c r="AI95" s="5">
        <f>IF(ISNUMBER(H95),1,0)</f>
        <v>0</v>
      </c>
      <c r="AJ95" s="5">
        <f>IF(ISNUMBER(P95),1,0)</f>
        <v>1</v>
      </c>
      <c r="AK95" s="5" t="str">
        <f>IF(AI95=1,IF(J95&gt;0,1,0),"")</f>
        <v/>
      </c>
      <c r="AL95" s="5">
        <f>IF(AJ95=1,IF(OR(Q95&gt;0,R95&gt;0),1,0),"")</f>
        <v>1</v>
      </c>
    </row>
    <row r="96" spans="1:38">
      <c r="A96">
        <v>49541</v>
      </c>
      <c r="B96" t="s">
        <v>136</v>
      </c>
      <c r="C96" t="s">
        <v>93</v>
      </c>
      <c r="D96" t="s">
        <v>24</v>
      </c>
      <c r="E96">
        <v>234</v>
      </c>
      <c r="F96">
        <v>6253560</v>
      </c>
      <c r="G96" t="s">
        <v>25</v>
      </c>
      <c r="H96" t="s">
        <v>26</v>
      </c>
      <c r="I96" t="s">
        <v>26</v>
      </c>
      <c r="J96" t="s">
        <v>26</v>
      </c>
      <c r="K96" t="s">
        <v>26</v>
      </c>
      <c r="L96" t="s">
        <v>26</v>
      </c>
      <c r="M96" t="s">
        <v>26</v>
      </c>
      <c r="N96" t="s">
        <v>26</v>
      </c>
      <c r="O96" t="s">
        <v>26</v>
      </c>
      <c r="P96">
        <v>1</v>
      </c>
      <c r="Q96">
        <v>0</v>
      </c>
      <c r="R96">
        <v>1</v>
      </c>
      <c r="S96">
        <v>1</v>
      </c>
      <c r="T96">
        <v>0.15989999999999999</v>
      </c>
      <c r="U96">
        <v>4.3E-3</v>
      </c>
      <c r="V96">
        <v>1</v>
      </c>
      <c r="W96">
        <f>E96/100</f>
        <v>2.34</v>
      </c>
      <c r="X96">
        <f>F96/1000000</f>
        <v>6.2535600000000002</v>
      </c>
      <c r="Y96">
        <f>IF(D96="C",1,0)</f>
        <v>0</v>
      </c>
      <c r="Z96">
        <f>IF(G96="C",1,0)</f>
        <v>0</v>
      </c>
      <c r="AA96">
        <f>IF(G96="S",1,0)</f>
        <v>1</v>
      </c>
      <c r="AB96">
        <f>IF(G96="U",1,0)</f>
        <v>0</v>
      </c>
      <c r="AC96" s="5">
        <f>IF(AND(ISNUMBER(H96),NOT(ISNUMBER(P96))),1,0)</f>
        <v>0</v>
      </c>
      <c r="AD96" s="5">
        <f>IF(AND(ISNUMBER(H96),ISNUMBER(P96)),1,0)</f>
        <v>0</v>
      </c>
      <c r="AE96" s="5">
        <f>W96</f>
        <v>2.34</v>
      </c>
      <c r="AF96" s="5">
        <f>X96</f>
        <v>6.2535600000000002</v>
      </c>
      <c r="AG96" s="5">
        <f>Y96</f>
        <v>0</v>
      </c>
      <c r="AH96" s="5">
        <f>IF(OR(G96="C",G96="S",G96="U"),1,0)</f>
        <v>1</v>
      </c>
      <c r="AI96" s="5">
        <f>IF(ISNUMBER(H96),1,0)</f>
        <v>0</v>
      </c>
      <c r="AJ96" s="5">
        <f>IF(ISNUMBER(P96),1,0)</f>
        <v>1</v>
      </c>
      <c r="AK96" s="5" t="str">
        <f>IF(AI96=1,IF(J96&gt;0,1,0),"")</f>
        <v/>
      </c>
      <c r="AL96" s="5">
        <f>IF(AJ96=1,IF(OR(Q96&gt;0,R96&gt;0),1,0),"")</f>
        <v>1</v>
      </c>
    </row>
    <row r="97" spans="1:38">
      <c r="A97">
        <v>49564</v>
      </c>
      <c r="B97" t="s">
        <v>137</v>
      </c>
      <c r="C97" t="s">
        <v>93</v>
      </c>
      <c r="D97" t="s">
        <v>33</v>
      </c>
      <c r="E97">
        <v>30</v>
      </c>
      <c r="F97">
        <v>1488424</v>
      </c>
      <c r="H97" t="s">
        <v>26</v>
      </c>
      <c r="I97" t="s">
        <v>26</v>
      </c>
      <c r="J97" t="s">
        <v>26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>
        <v>1</v>
      </c>
      <c r="Q97">
        <v>0</v>
      </c>
      <c r="R97">
        <v>1</v>
      </c>
      <c r="S97">
        <v>1</v>
      </c>
      <c r="T97">
        <v>0.67190000000000005</v>
      </c>
      <c r="U97">
        <v>3.3300000000000003E-2</v>
      </c>
      <c r="V97">
        <v>1</v>
      </c>
      <c r="W97">
        <f>E97/100</f>
        <v>0.3</v>
      </c>
      <c r="X97">
        <f>F97/1000000</f>
        <v>1.488424</v>
      </c>
      <c r="Y97">
        <f>IF(D97="C",1,0)</f>
        <v>1</v>
      </c>
      <c r="Z97">
        <f>IF(G97="C",1,0)</f>
        <v>0</v>
      </c>
      <c r="AA97">
        <f>IF(G97="S",1,0)</f>
        <v>0</v>
      </c>
      <c r="AB97">
        <f>IF(G97="U",1,0)</f>
        <v>0</v>
      </c>
      <c r="AC97" s="5">
        <f>IF(AND(ISNUMBER(H97),NOT(ISNUMBER(P97))),1,0)</f>
        <v>0</v>
      </c>
      <c r="AD97" s="5">
        <f>IF(AND(ISNUMBER(H97),ISNUMBER(P97)),1,0)</f>
        <v>0</v>
      </c>
      <c r="AE97" s="5">
        <f>W97</f>
        <v>0.3</v>
      </c>
      <c r="AF97" s="5">
        <f>X97</f>
        <v>1.488424</v>
      </c>
      <c r="AG97" s="5">
        <f>Y97</f>
        <v>1</v>
      </c>
      <c r="AH97" s="5">
        <f>IF(OR(G97="C",G97="S",G97="U"),1,0)</f>
        <v>0</v>
      </c>
      <c r="AI97" s="5">
        <f>IF(ISNUMBER(H97),1,0)</f>
        <v>0</v>
      </c>
      <c r="AJ97" s="5">
        <f>IF(ISNUMBER(P97),1,0)</f>
        <v>1</v>
      </c>
      <c r="AK97" s="5" t="str">
        <f>IF(AI97=1,IF(J97&gt;0,1,0),"")</f>
        <v/>
      </c>
      <c r="AL97" s="5">
        <f>IF(AJ97=1,IF(OR(Q97&gt;0,R97&gt;0),1,0),"")</f>
        <v>1</v>
      </c>
    </row>
    <row r="98" spans="1:38">
      <c r="A98">
        <v>49845</v>
      </c>
      <c r="B98" t="s">
        <v>138</v>
      </c>
      <c r="C98" t="s">
        <v>82</v>
      </c>
      <c r="D98" t="s">
        <v>24</v>
      </c>
      <c r="E98">
        <v>40</v>
      </c>
      <c r="F98">
        <v>95419</v>
      </c>
      <c r="G98" t="s">
        <v>25</v>
      </c>
      <c r="H98" t="s">
        <v>26</v>
      </c>
      <c r="I98" t="s">
        <v>26</v>
      </c>
      <c r="J98" t="s">
        <v>26</v>
      </c>
      <c r="K98" t="s">
        <v>26</v>
      </c>
      <c r="L98" t="s">
        <v>26</v>
      </c>
      <c r="M98" t="s">
        <v>26</v>
      </c>
      <c r="N98" t="s">
        <v>26</v>
      </c>
      <c r="O98" t="s">
        <v>26</v>
      </c>
      <c r="P98">
        <v>1</v>
      </c>
      <c r="Q98">
        <v>0</v>
      </c>
      <c r="R98">
        <v>1</v>
      </c>
      <c r="S98">
        <v>1</v>
      </c>
      <c r="T98">
        <v>10.4801</v>
      </c>
      <c r="U98">
        <v>2.5000000000000001E-2</v>
      </c>
      <c r="V98">
        <v>1</v>
      </c>
      <c r="W98">
        <f>E98/100</f>
        <v>0.4</v>
      </c>
      <c r="X98">
        <f>F98/1000000</f>
        <v>9.5419000000000004E-2</v>
      </c>
      <c r="Y98">
        <f>IF(D98="C",1,0)</f>
        <v>0</v>
      </c>
      <c r="Z98">
        <f>IF(G98="C",1,0)</f>
        <v>0</v>
      </c>
      <c r="AA98">
        <f>IF(G98="S",1,0)</f>
        <v>1</v>
      </c>
      <c r="AB98">
        <f>IF(G98="U",1,0)</f>
        <v>0</v>
      </c>
      <c r="AC98" s="5">
        <f>IF(AND(ISNUMBER(H98),NOT(ISNUMBER(P98))),1,0)</f>
        <v>0</v>
      </c>
      <c r="AD98" s="5">
        <f>IF(AND(ISNUMBER(H98),ISNUMBER(P98)),1,0)</f>
        <v>0</v>
      </c>
      <c r="AE98" s="5">
        <f>W98</f>
        <v>0.4</v>
      </c>
      <c r="AF98" s="5">
        <f>X98</f>
        <v>9.5419000000000004E-2</v>
      </c>
      <c r="AG98" s="5">
        <f>Y98</f>
        <v>0</v>
      </c>
      <c r="AH98" s="5">
        <f>IF(OR(G98="C",G98="S",G98="U"),1,0)</f>
        <v>1</v>
      </c>
      <c r="AI98" s="5">
        <f>IF(ISNUMBER(H98),1,0)</f>
        <v>0</v>
      </c>
      <c r="AJ98" s="5">
        <f>IF(ISNUMBER(P98),1,0)</f>
        <v>1</v>
      </c>
      <c r="AK98" s="5" t="str">
        <f>IF(AI98=1,IF(J98&gt;0,1,0),"")</f>
        <v/>
      </c>
      <c r="AL98" s="5">
        <f>IF(AJ98=1,IF(OR(Q98&gt;0,R98&gt;0),1,0),"")</f>
        <v>1</v>
      </c>
    </row>
    <row r="99" spans="1:38">
      <c r="A99">
        <v>49938</v>
      </c>
      <c r="B99" t="s">
        <v>139</v>
      </c>
      <c r="C99" t="s">
        <v>140</v>
      </c>
      <c r="D99" t="s">
        <v>24</v>
      </c>
      <c r="E99">
        <v>59</v>
      </c>
      <c r="F99">
        <v>4449328</v>
      </c>
      <c r="G99" t="s">
        <v>33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>
        <v>1</v>
      </c>
      <c r="Q99">
        <v>0</v>
      </c>
      <c r="R99">
        <v>1</v>
      </c>
      <c r="S99">
        <v>1</v>
      </c>
      <c r="T99">
        <v>0.2248</v>
      </c>
      <c r="U99">
        <v>1.6899999999999998E-2</v>
      </c>
      <c r="V99">
        <v>1</v>
      </c>
      <c r="W99">
        <f>E99/100</f>
        <v>0.59</v>
      </c>
      <c r="X99">
        <f>F99/1000000</f>
        <v>4.4493280000000004</v>
      </c>
      <c r="Y99">
        <f>IF(D99="C",1,0)</f>
        <v>0</v>
      </c>
      <c r="Z99">
        <f>IF(G99="C",1,0)</f>
        <v>1</v>
      </c>
      <c r="AA99">
        <f>IF(G99="S",1,0)</f>
        <v>0</v>
      </c>
      <c r="AB99">
        <f>IF(G99="U",1,0)</f>
        <v>0</v>
      </c>
      <c r="AC99" s="5">
        <f>IF(AND(ISNUMBER(H99),NOT(ISNUMBER(P99))),1,0)</f>
        <v>0</v>
      </c>
      <c r="AD99" s="5">
        <f>IF(AND(ISNUMBER(H99),ISNUMBER(P99)),1,0)</f>
        <v>0</v>
      </c>
      <c r="AE99" s="5">
        <f>W99</f>
        <v>0.59</v>
      </c>
      <c r="AF99" s="5">
        <f>X99</f>
        <v>4.4493280000000004</v>
      </c>
      <c r="AG99" s="5">
        <f>Y99</f>
        <v>0</v>
      </c>
      <c r="AH99" s="5">
        <f>IF(OR(G99="C",G99="S",G99="U"),1,0)</f>
        <v>1</v>
      </c>
      <c r="AI99" s="5">
        <f>IF(ISNUMBER(H99),1,0)</f>
        <v>0</v>
      </c>
      <c r="AJ99" s="5">
        <f>IF(ISNUMBER(P99),1,0)</f>
        <v>1</v>
      </c>
      <c r="AK99" s="5" t="str">
        <f>IF(AI99=1,IF(J99&gt;0,1,0),"")</f>
        <v/>
      </c>
      <c r="AL99" s="5">
        <f>IF(AJ99=1,IF(OR(Q99&gt;0,R99&gt;0),1,0),"")</f>
        <v>1</v>
      </c>
    </row>
    <row r="100" spans="1:38">
      <c r="A100">
        <v>50716</v>
      </c>
      <c r="B100" t="s">
        <v>141</v>
      </c>
      <c r="C100" t="s">
        <v>82</v>
      </c>
      <c r="D100" t="s">
        <v>24</v>
      </c>
      <c r="E100">
        <v>5</v>
      </c>
      <c r="F100">
        <v>52000</v>
      </c>
      <c r="G100" t="s">
        <v>25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>
        <v>1</v>
      </c>
      <c r="Q100">
        <v>0</v>
      </c>
      <c r="R100">
        <v>0</v>
      </c>
      <c r="S100">
        <v>1</v>
      </c>
      <c r="T100">
        <v>19.230799999999999</v>
      </c>
      <c r="U100">
        <v>0.2</v>
      </c>
      <c r="V100">
        <v>0</v>
      </c>
      <c r="W100">
        <f>E100/100</f>
        <v>0.05</v>
      </c>
      <c r="X100">
        <f>F100/1000000</f>
        <v>5.1999999999999998E-2</v>
      </c>
      <c r="Y100">
        <f>IF(D100="C",1,0)</f>
        <v>0</v>
      </c>
      <c r="Z100">
        <f>IF(G100="C",1,0)</f>
        <v>0</v>
      </c>
      <c r="AA100">
        <f>IF(G100="S",1,0)</f>
        <v>1</v>
      </c>
      <c r="AB100">
        <f>IF(G100="U",1,0)</f>
        <v>0</v>
      </c>
      <c r="AC100" s="5">
        <f>IF(AND(ISNUMBER(H100),NOT(ISNUMBER(P100))),1,0)</f>
        <v>0</v>
      </c>
      <c r="AD100" s="5">
        <f>IF(AND(ISNUMBER(H100),ISNUMBER(P100)),1,0)</f>
        <v>0</v>
      </c>
      <c r="AE100" s="5">
        <f>W100</f>
        <v>0.05</v>
      </c>
      <c r="AF100" s="5">
        <f>X100</f>
        <v>5.1999999999999998E-2</v>
      </c>
      <c r="AG100" s="5">
        <f>Y100</f>
        <v>0</v>
      </c>
      <c r="AH100" s="5">
        <f>IF(OR(G100="C",G100="S",G100="U"),1,0)</f>
        <v>1</v>
      </c>
      <c r="AI100" s="5">
        <f>IF(ISNUMBER(H100),1,0)</f>
        <v>0</v>
      </c>
      <c r="AJ100" s="5">
        <f>IF(ISNUMBER(P100),1,0)</f>
        <v>1</v>
      </c>
      <c r="AK100" s="5" t="str">
        <f>IF(AI100=1,IF(J100&gt;0,1,0),"")</f>
        <v/>
      </c>
      <c r="AL100" s="5">
        <f>IF(AJ100=1,IF(OR(Q100&gt;0,R100&gt;0),1,0),"")</f>
        <v>0</v>
      </c>
    </row>
    <row r="101" spans="1:38">
      <c r="A101">
        <v>50735</v>
      </c>
      <c r="B101" t="s">
        <v>142</v>
      </c>
      <c r="C101" t="s">
        <v>82</v>
      </c>
      <c r="D101" t="s">
        <v>33</v>
      </c>
      <c r="E101">
        <v>48</v>
      </c>
      <c r="F101">
        <v>4527995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26</v>
      </c>
      <c r="O101" t="s">
        <v>26</v>
      </c>
      <c r="P101">
        <v>1</v>
      </c>
      <c r="Q101">
        <v>0</v>
      </c>
      <c r="R101">
        <v>0</v>
      </c>
      <c r="S101">
        <v>1</v>
      </c>
      <c r="T101">
        <v>0.2208</v>
      </c>
      <c r="U101">
        <v>2.0799999999999999E-2</v>
      </c>
      <c r="V101">
        <v>0</v>
      </c>
      <c r="W101">
        <f>E101/100</f>
        <v>0.48</v>
      </c>
      <c r="X101">
        <f>F101/1000000</f>
        <v>4.5279949999999998</v>
      </c>
      <c r="Y101">
        <f>IF(D101="C",1,0)</f>
        <v>1</v>
      </c>
      <c r="Z101">
        <f>IF(G101="C",1,0)</f>
        <v>0</v>
      </c>
      <c r="AA101">
        <f>IF(G101="S",1,0)</f>
        <v>0</v>
      </c>
      <c r="AB101">
        <f>IF(G101="U",1,0)</f>
        <v>0</v>
      </c>
      <c r="AC101" s="5">
        <f>IF(AND(ISNUMBER(H101),NOT(ISNUMBER(P101))),1,0)</f>
        <v>0</v>
      </c>
      <c r="AD101" s="5">
        <f>IF(AND(ISNUMBER(H101),ISNUMBER(P101)),1,0)</f>
        <v>0</v>
      </c>
      <c r="AE101" s="5">
        <f>W101</f>
        <v>0.48</v>
      </c>
      <c r="AF101" s="5">
        <f>X101</f>
        <v>4.5279949999999998</v>
      </c>
      <c r="AG101" s="5">
        <f>Y101</f>
        <v>1</v>
      </c>
      <c r="AH101" s="5">
        <f>IF(OR(G101="C",G101="S",G101="U"),1,0)</f>
        <v>0</v>
      </c>
      <c r="AI101" s="5">
        <f>IF(ISNUMBER(H101),1,0)</f>
        <v>0</v>
      </c>
      <c r="AJ101" s="5">
        <f>IF(ISNUMBER(P101),1,0)</f>
        <v>1</v>
      </c>
      <c r="AK101" s="5" t="str">
        <f>IF(AI101=1,IF(J101&gt;0,1,0),"")</f>
        <v/>
      </c>
      <c r="AL101" s="5">
        <f>IF(AJ101=1,IF(OR(Q101&gt;0,R101&gt;0),1,0),"")</f>
        <v>0</v>
      </c>
    </row>
    <row r="102" spans="1:38">
      <c r="A102">
        <v>51132</v>
      </c>
      <c r="B102" t="s">
        <v>143</v>
      </c>
      <c r="C102" t="s">
        <v>23</v>
      </c>
      <c r="D102" t="s">
        <v>24</v>
      </c>
      <c r="E102">
        <v>20</v>
      </c>
      <c r="F102">
        <v>1342317</v>
      </c>
      <c r="G102" t="s">
        <v>25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>
        <v>1</v>
      </c>
      <c r="Q102">
        <v>0</v>
      </c>
      <c r="R102">
        <v>0</v>
      </c>
      <c r="S102">
        <v>1</v>
      </c>
      <c r="T102">
        <v>0.745</v>
      </c>
      <c r="U102">
        <v>0.05</v>
      </c>
      <c r="V102">
        <v>0</v>
      </c>
      <c r="W102">
        <f>E102/100</f>
        <v>0.2</v>
      </c>
      <c r="X102">
        <f>F102/1000000</f>
        <v>1.342317</v>
      </c>
      <c r="Y102">
        <f>IF(D102="C",1,0)</f>
        <v>0</v>
      </c>
      <c r="Z102">
        <f>IF(G102="C",1,0)</f>
        <v>0</v>
      </c>
      <c r="AA102">
        <f>IF(G102="S",1,0)</f>
        <v>1</v>
      </c>
      <c r="AB102">
        <f>IF(G102="U",1,0)</f>
        <v>0</v>
      </c>
      <c r="AC102" s="5">
        <f>IF(AND(ISNUMBER(H102),NOT(ISNUMBER(P102))),1,0)</f>
        <v>0</v>
      </c>
      <c r="AD102" s="5">
        <f>IF(AND(ISNUMBER(H102),ISNUMBER(P102)),1,0)</f>
        <v>0</v>
      </c>
      <c r="AE102" s="5">
        <f>W102</f>
        <v>0.2</v>
      </c>
      <c r="AF102" s="5">
        <f>X102</f>
        <v>1.342317</v>
      </c>
      <c r="AG102" s="5">
        <f>Y102</f>
        <v>0</v>
      </c>
      <c r="AH102" s="5">
        <f>IF(OR(G102="C",G102="S",G102="U"),1,0)</f>
        <v>1</v>
      </c>
      <c r="AI102" s="5">
        <f>IF(ISNUMBER(H102),1,0)</f>
        <v>0</v>
      </c>
      <c r="AJ102" s="5">
        <f>IF(ISNUMBER(P102),1,0)</f>
        <v>1</v>
      </c>
      <c r="AK102" s="5" t="str">
        <f>IF(AI102=1,IF(J102&gt;0,1,0),"")</f>
        <v/>
      </c>
      <c r="AL102" s="5">
        <f>IF(AJ102=1,IF(OR(Q102&gt;0,R102&gt;0),1,0),"")</f>
        <v>0</v>
      </c>
    </row>
    <row r="103" spans="1:38">
      <c r="A103">
        <v>51358</v>
      </c>
      <c r="B103" t="s">
        <v>144</v>
      </c>
      <c r="C103" t="s">
        <v>23</v>
      </c>
      <c r="D103" t="s">
        <v>24</v>
      </c>
      <c r="E103">
        <v>13</v>
      </c>
      <c r="F103">
        <v>426337</v>
      </c>
      <c r="G103" t="s">
        <v>25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>
        <v>1</v>
      </c>
      <c r="Q103">
        <v>0</v>
      </c>
      <c r="R103">
        <v>1</v>
      </c>
      <c r="S103">
        <v>1</v>
      </c>
      <c r="T103">
        <v>2.3456000000000001</v>
      </c>
      <c r="U103">
        <v>7.6899999999999996E-2</v>
      </c>
      <c r="V103">
        <v>1</v>
      </c>
      <c r="W103">
        <f>E103/100</f>
        <v>0.13</v>
      </c>
      <c r="X103">
        <f>F103/1000000</f>
        <v>0.42633700000000002</v>
      </c>
      <c r="Y103">
        <f>IF(D103="C",1,0)</f>
        <v>0</v>
      </c>
      <c r="Z103">
        <f>IF(G103="C",1,0)</f>
        <v>0</v>
      </c>
      <c r="AA103">
        <f>IF(G103="S",1,0)</f>
        <v>1</v>
      </c>
      <c r="AB103">
        <f>IF(G103="U",1,0)</f>
        <v>0</v>
      </c>
      <c r="AC103" s="5">
        <f>IF(AND(ISNUMBER(H103),NOT(ISNUMBER(P103))),1,0)</f>
        <v>0</v>
      </c>
      <c r="AD103" s="5">
        <f>IF(AND(ISNUMBER(H103),ISNUMBER(P103)),1,0)</f>
        <v>0</v>
      </c>
      <c r="AE103" s="5">
        <f>W103</f>
        <v>0.13</v>
      </c>
      <c r="AF103" s="5">
        <f>X103</f>
        <v>0.42633700000000002</v>
      </c>
      <c r="AG103" s="5">
        <f>Y103</f>
        <v>0</v>
      </c>
      <c r="AH103" s="5">
        <f>IF(OR(G103="C",G103="S",G103="U"),1,0)</f>
        <v>1</v>
      </c>
      <c r="AI103" s="5">
        <f>IF(ISNUMBER(H103),1,0)</f>
        <v>0</v>
      </c>
      <c r="AJ103" s="5">
        <f>IF(ISNUMBER(P103),1,0)</f>
        <v>1</v>
      </c>
      <c r="AK103" s="5" t="str">
        <f>IF(AI103=1,IF(J103&gt;0,1,0),"")</f>
        <v/>
      </c>
      <c r="AL103" s="5">
        <f>IF(AJ103=1,IF(OR(Q103&gt;0,R103&gt;0),1,0),"")</f>
        <v>1</v>
      </c>
    </row>
    <row r="104" spans="1:38">
      <c r="A104">
        <v>52853</v>
      </c>
      <c r="B104" t="s">
        <v>145</v>
      </c>
      <c r="C104" t="s">
        <v>93</v>
      </c>
      <c r="D104" t="s">
        <v>24</v>
      </c>
      <c r="E104">
        <v>107</v>
      </c>
      <c r="F104">
        <v>5654000</v>
      </c>
      <c r="G104" t="s">
        <v>25</v>
      </c>
      <c r="H104" t="s">
        <v>26</v>
      </c>
      <c r="I104" t="s">
        <v>26</v>
      </c>
      <c r="J104" t="s">
        <v>26</v>
      </c>
      <c r="K104" t="s">
        <v>26</v>
      </c>
      <c r="L104" t="s">
        <v>26</v>
      </c>
      <c r="M104" t="s">
        <v>26</v>
      </c>
      <c r="N104" t="s">
        <v>26</v>
      </c>
      <c r="O104" t="s">
        <v>26</v>
      </c>
      <c r="P104">
        <v>1</v>
      </c>
      <c r="Q104">
        <v>0</v>
      </c>
      <c r="R104">
        <v>0</v>
      </c>
      <c r="S104">
        <v>1</v>
      </c>
      <c r="T104">
        <v>0.1769</v>
      </c>
      <c r="U104">
        <v>9.2999999999999992E-3</v>
      </c>
      <c r="V104">
        <v>0</v>
      </c>
      <c r="W104">
        <f>E104/100</f>
        <v>1.07</v>
      </c>
      <c r="X104">
        <f>F104/1000000</f>
        <v>5.6539999999999999</v>
      </c>
      <c r="Y104">
        <f>IF(D104="C",1,0)</f>
        <v>0</v>
      </c>
      <c r="Z104">
        <f>IF(G104="C",1,0)</f>
        <v>0</v>
      </c>
      <c r="AA104">
        <f>IF(G104="S",1,0)</f>
        <v>1</v>
      </c>
      <c r="AB104">
        <f>IF(G104="U",1,0)</f>
        <v>0</v>
      </c>
      <c r="AC104" s="5">
        <f>IF(AND(ISNUMBER(H104),NOT(ISNUMBER(P104))),1,0)</f>
        <v>0</v>
      </c>
      <c r="AD104" s="5">
        <f>IF(AND(ISNUMBER(H104),ISNUMBER(P104)),1,0)</f>
        <v>0</v>
      </c>
      <c r="AE104" s="5">
        <f>W104</f>
        <v>1.07</v>
      </c>
      <c r="AF104" s="5">
        <f>X104</f>
        <v>5.6539999999999999</v>
      </c>
      <c r="AG104" s="5">
        <f>Y104</f>
        <v>0</v>
      </c>
      <c r="AH104" s="5">
        <f>IF(OR(G104="C",G104="S",G104="U"),1,0)</f>
        <v>1</v>
      </c>
      <c r="AI104" s="5">
        <f>IF(ISNUMBER(H104),1,0)</f>
        <v>0</v>
      </c>
      <c r="AJ104" s="5">
        <f>IF(ISNUMBER(P104),1,0)</f>
        <v>1</v>
      </c>
      <c r="AK104" s="5" t="str">
        <f>IF(AI104=1,IF(J104&gt;0,1,0),"")</f>
        <v/>
      </c>
      <c r="AL104" s="5">
        <f>IF(AJ104=1,IF(OR(Q104&gt;0,R104&gt;0),1,0),"")</f>
        <v>0</v>
      </c>
    </row>
    <row r="105" spans="1:38">
      <c r="A105">
        <v>54694</v>
      </c>
      <c r="B105" t="s">
        <v>146</v>
      </c>
      <c r="C105" t="s">
        <v>37</v>
      </c>
      <c r="D105" t="s">
        <v>24</v>
      </c>
      <c r="E105">
        <v>955</v>
      </c>
      <c r="F105">
        <v>4457969</v>
      </c>
      <c r="G105" t="s">
        <v>25</v>
      </c>
      <c r="H105" t="s">
        <v>26</v>
      </c>
      <c r="I105" t="s">
        <v>26</v>
      </c>
      <c r="J105" t="s">
        <v>26</v>
      </c>
      <c r="K105" t="s">
        <v>26</v>
      </c>
      <c r="L105" t="s">
        <v>26</v>
      </c>
      <c r="M105" t="s">
        <v>26</v>
      </c>
      <c r="N105" t="s">
        <v>26</v>
      </c>
      <c r="O105" t="s">
        <v>26</v>
      </c>
      <c r="P105">
        <v>1</v>
      </c>
      <c r="Q105">
        <v>0</v>
      </c>
      <c r="R105">
        <v>0</v>
      </c>
      <c r="S105">
        <v>1</v>
      </c>
      <c r="T105">
        <v>0.2243</v>
      </c>
      <c r="U105">
        <v>1E-3</v>
      </c>
      <c r="V105">
        <v>0</v>
      </c>
      <c r="W105">
        <f>E105/100</f>
        <v>9.5500000000000007</v>
      </c>
      <c r="X105">
        <f>F105/1000000</f>
        <v>4.4579690000000003</v>
      </c>
      <c r="Y105">
        <f>IF(D105="C",1,0)</f>
        <v>0</v>
      </c>
      <c r="Z105">
        <f>IF(G105="C",1,0)</f>
        <v>0</v>
      </c>
      <c r="AA105">
        <f>IF(G105="S",1,0)</f>
        <v>1</v>
      </c>
      <c r="AB105">
        <f>IF(G105="U",1,0)</f>
        <v>0</v>
      </c>
      <c r="AC105" s="5">
        <f>IF(AND(ISNUMBER(H105),NOT(ISNUMBER(P105))),1,0)</f>
        <v>0</v>
      </c>
      <c r="AD105" s="5">
        <f>IF(AND(ISNUMBER(H105),ISNUMBER(P105)),1,0)</f>
        <v>0</v>
      </c>
      <c r="AE105" s="5">
        <f>W105</f>
        <v>9.5500000000000007</v>
      </c>
      <c r="AF105" s="5">
        <f>X105</f>
        <v>4.4579690000000003</v>
      </c>
      <c r="AG105" s="5">
        <f>Y105</f>
        <v>0</v>
      </c>
      <c r="AH105" s="5">
        <f>IF(OR(G105="C",G105="S",G105="U"),1,0)</f>
        <v>1</v>
      </c>
      <c r="AI105" s="5">
        <f>IF(ISNUMBER(H105),1,0)</f>
        <v>0</v>
      </c>
      <c r="AJ105" s="5">
        <f>IF(ISNUMBER(P105),1,0)</f>
        <v>1</v>
      </c>
      <c r="AK105" s="5" t="str">
        <f>IF(AI105=1,IF(J105&gt;0,1,0),"")</f>
        <v/>
      </c>
      <c r="AL105" s="5">
        <f>IF(AJ105=1,IF(OR(Q105&gt;0,R105&gt;0),1,0),"")</f>
        <v>0</v>
      </c>
    </row>
    <row r="106" spans="1:38">
      <c r="A106">
        <v>54695</v>
      </c>
      <c r="B106" t="s">
        <v>147</v>
      </c>
      <c r="C106" t="s">
        <v>37</v>
      </c>
      <c r="D106" t="s">
        <v>24</v>
      </c>
      <c r="E106">
        <v>652</v>
      </c>
      <c r="F106">
        <v>8610000</v>
      </c>
      <c r="H106" t="s">
        <v>26</v>
      </c>
      <c r="I106" t="s">
        <v>26</v>
      </c>
      <c r="J106" t="s">
        <v>26</v>
      </c>
      <c r="K106" t="s">
        <v>26</v>
      </c>
      <c r="L106" t="s">
        <v>26</v>
      </c>
      <c r="M106" t="s">
        <v>26</v>
      </c>
      <c r="N106" t="s">
        <v>26</v>
      </c>
      <c r="O106" t="s">
        <v>26</v>
      </c>
      <c r="P106">
        <v>2</v>
      </c>
      <c r="Q106">
        <v>0</v>
      </c>
      <c r="R106">
        <v>1</v>
      </c>
      <c r="S106">
        <v>2</v>
      </c>
      <c r="T106">
        <v>0.23230000000000001</v>
      </c>
      <c r="U106">
        <v>3.0999999999999999E-3</v>
      </c>
      <c r="V106">
        <v>1</v>
      </c>
      <c r="W106">
        <f>E106/100</f>
        <v>6.52</v>
      </c>
      <c r="X106">
        <f>F106/1000000</f>
        <v>8.61</v>
      </c>
      <c r="Y106">
        <f>IF(D106="C",1,0)</f>
        <v>0</v>
      </c>
      <c r="Z106">
        <f>IF(G106="C",1,0)</f>
        <v>0</v>
      </c>
      <c r="AA106">
        <f>IF(G106="S",1,0)</f>
        <v>0</v>
      </c>
      <c r="AB106">
        <f>IF(G106="U",1,0)</f>
        <v>0</v>
      </c>
      <c r="AC106" s="5">
        <f>IF(AND(ISNUMBER(H106),NOT(ISNUMBER(P106))),1,0)</f>
        <v>0</v>
      </c>
      <c r="AD106" s="5">
        <f>IF(AND(ISNUMBER(H106),ISNUMBER(P106)),1,0)</f>
        <v>0</v>
      </c>
      <c r="AE106" s="5">
        <f>W106</f>
        <v>6.52</v>
      </c>
      <c r="AF106" s="5">
        <f>X106</f>
        <v>8.61</v>
      </c>
      <c r="AG106" s="5">
        <f>Y106</f>
        <v>0</v>
      </c>
      <c r="AH106" s="5">
        <f>IF(OR(G106="C",G106="S",G106="U"),1,0)</f>
        <v>0</v>
      </c>
      <c r="AI106" s="5">
        <f>IF(ISNUMBER(H106),1,0)</f>
        <v>0</v>
      </c>
      <c r="AJ106" s="5">
        <f>IF(ISNUMBER(P106),1,0)</f>
        <v>1</v>
      </c>
      <c r="AK106" s="5" t="str">
        <f>IF(AI106=1,IF(J106&gt;0,1,0),"")</f>
        <v/>
      </c>
      <c r="AL106" s="5">
        <f>IF(AJ106=1,IF(OR(Q106&gt;0,R106&gt;0),1,0),"")</f>
        <v>1</v>
      </c>
    </row>
    <row r="107" spans="1:38">
      <c r="A107">
        <v>55349</v>
      </c>
      <c r="B107" t="s">
        <v>148</v>
      </c>
      <c r="C107" t="s">
        <v>93</v>
      </c>
      <c r="D107" t="s">
        <v>24</v>
      </c>
      <c r="E107">
        <v>39</v>
      </c>
      <c r="F107">
        <v>2226841</v>
      </c>
      <c r="G107" t="s">
        <v>25</v>
      </c>
      <c r="H107" t="s">
        <v>26</v>
      </c>
      <c r="I107" t="s">
        <v>26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>
        <v>2</v>
      </c>
      <c r="Q107">
        <v>0</v>
      </c>
      <c r="R107">
        <v>1</v>
      </c>
      <c r="S107">
        <v>2</v>
      </c>
      <c r="T107">
        <v>0.89810000000000001</v>
      </c>
      <c r="U107">
        <v>5.1299999999999998E-2</v>
      </c>
      <c r="V107">
        <v>1</v>
      </c>
      <c r="W107">
        <f>E107/100</f>
        <v>0.39</v>
      </c>
      <c r="X107">
        <f>F107/1000000</f>
        <v>2.2268409999999998</v>
      </c>
      <c r="Y107">
        <f>IF(D107="C",1,0)</f>
        <v>0</v>
      </c>
      <c r="Z107">
        <f>IF(G107="C",1,0)</f>
        <v>0</v>
      </c>
      <c r="AA107">
        <f>IF(G107="S",1,0)</f>
        <v>1</v>
      </c>
      <c r="AB107">
        <f>IF(G107="U",1,0)</f>
        <v>0</v>
      </c>
      <c r="AC107" s="5">
        <f>IF(AND(ISNUMBER(H107),NOT(ISNUMBER(P107))),1,0)</f>
        <v>0</v>
      </c>
      <c r="AD107" s="5">
        <f>IF(AND(ISNUMBER(H107),ISNUMBER(P107)),1,0)</f>
        <v>0</v>
      </c>
      <c r="AE107" s="5">
        <f>W107</f>
        <v>0.39</v>
      </c>
      <c r="AF107" s="5">
        <f>X107</f>
        <v>2.2268409999999998</v>
      </c>
      <c r="AG107" s="5">
        <f>Y107</f>
        <v>0</v>
      </c>
      <c r="AH107" s="5">
        <f>IF(OR(G107="C",G107="S",G107="U"),1,0)</f>
        <v>1</v>
      </c>
      <c r="AI107" s="5">
        <f>IF(ISNUMBER(H107),1,0)</f>
        <v>0</v>
      </c>
      <c r="AJ107" s="5">
        <f>IF(ISNUMBER(P107),1,0)</f>
        <v>1</v>
      </c>
      <c r="AK107" s="5" t="str">
        <f>IF(AI107=1,IF(J107&gt;0,1,0),"")</f>
        <v/>
      </c>
      <c r="AL107" s="5">
        <f>IF(AJ107=1,IF(OR(Q107&gt;0,R107&gt;0),1,0),"")</f>
        <v>1</v>
      </c>
    </row>
    <row r="108" spans="1:38">
      <c r="A108">
        <v>56937</v>
      </c>
      <c r="B108" t="s">
        <v>149</v>
      </c>
      <c r="C108" t="s">
        <v>84</v>
      </c>
      <c r="D108" t="s">
        <v>24</v>
      </c>
      <c r="E108">
        <v>30</v>
      </c>
      <c r="F108">
        <v>819812</v>
      </c>
      <c r="G108" t="s">
        <v>25</v>
      </c>
      <c r="H108" t="s">
        <v>26</v>
      </c>
      <c r="I108" t="s">
        <v>26</v>
      </c>
      <c r="J108" t="s">
        <v>26</v>
      </c>
      <c r="K108" t="s">
        <v>26</v>
      </c>
      <c r="L108" t="s">
        <v>26</v>
      </c>
      <c r="M108" t="s">
        <v>26</v>
      </c>
      <c r="N108" t="s">
        <v>26</v>
      </c>
      <c r="O108" t="s">
        <v>26</v>
      </c>
      <c r="P108">
        <v>1</v>
      </c>
      <c r="Q108">
        <v>0</v>
      </c>
      <c r="R108">
        <v>0</v>
      </c>
      <c r="S108">
        <v>1</v>
      </c>
      <c r="T108">
        <v>1.2198</v>
      </c>
      <c r="U108">
        <v>3.3300000000000003E-2</v>
      </c>
      <c r="V108">
        <v>0</v>
      </c>
      <c r="W108">
        <f>E108/100</f>
        <v>0.3</v>
      </c>
      <c r="X108">
        <f>F108/1000000</f>
        <v>0.81981199999999999</v>
      </c>
      <c r="Y108">
        <f>IF(D108="C",1,0)</f>
        <v>0</v>
      </c>
      <c r="Z108">
        <f>IF(G108="C",1,0)</f>
        <v>0</v>
      </c>
      <c r="AA108">
        <f>IF(G108="S",1,0)</f>
        <v>1</v>
      </c>
      <c r="AB108">
        <f>IF(G108="U",1,0)</f>
        <v>0</v>
      </c>
      <c r="AC108" s="5">
        <f>IF(AND(ISNUMBER(H108),NOT(ISNUMBER(P108))),1,0)</f>
        <v>0</v>
      </c>
      <c r="AD108" s="5">
        <f>IF(AND(ISNUMBER(H108),ISNUMBER(P108)),1,0)</f>
        <v>0</v>
      </c>
      <c r="AE108" s="5">
        <f>W108</f>
        <v>0.3</v>
      </c>
      <c r="AF108" s="5">
        <f>X108</f>
        <v>0.81981199999999999</v>
      </c>
      <c r="AG108" s="5">
        <f>Y108</f>
        <v>0</v>
      </c>
      <c r="AH108" s="5">
        <f>IF(OR(G108="C",G108="S",G108="U"),1,0)</f>
        <v>1</v>
      </c>
      <c r="AI108" s="5">
        <f>IF(ISNUMBER(H108),1,0)</f>
        <v>0</v>
      </c>
      <c r="AJ108" s="5">
        <f>IF(ISNUMBER(P108),1,0)</f>
        <v>1</v>
      </c>
      <c r="AK108" s="5" t="str">
        <f>IF(AI108=1,IF(J108&gt;0,1,0),"")</f>
        <v/>
      </c>
      <c r="AL108" s="5">
        <f>IF(AJ108=1,IF(OR(Q108&gt;0,R108&gt;0),1,0),"")</f>
        <v>0</v>
      </c>
    </row>
    <row r="109" spans="1:38">
      <c r="A109">
        <v>57821</v>
      </c>
      <c r="B109" t="s">
        <v>150</v>
      </c>
      <c r="C109" t="s">
        <v>23</v>
      </c>
      <c r="D109" t="s">
        <v>24</v>
      </c>
      <c r="E109">
        <v>50</v>
      </c>
      <c r="F109">
        <v>4105730</v>
      </c>
      <c r="G109" t="s">
        <v>25</v>
      </c>
      <c r="H109" t="s">
        <v>26</v>
      </c>
      <c r="I109" t="s">
        <v>26</v>
      </c>
      <c r="J109" t="s">
        <v>26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>
        <v>1</v>
      </c>
      <c r="Q109">
        <v>0</v>
      </c>
      <c r="R109">
        <v>0</v>
      </c>
      <c r="S109">
        <v>1</v>
      </c>
      <c r="T109">
        <v>0.24360000000000001</v>
      </c>
      <c r="U109">
        <v>0.02</v>
      </c>
      <c r="V109">
        <v>0</v>
      </c>
      <c r="W109">
        <f>E109/100</f>
        <v>0.5</v>
      </c>
      <c r="X109">
        <f>F109/1000000</f>
        <v>4.1057300000000003</v>
      </c>
      <c r="Y109">
        <f>IF(D109="C",1,0)</f>
        <v>0</v>
      </c>
      <c r="Z109">
        <f>IF(G109="C",1,0)</f>
        <v>0</v>
      </c>
      <c r="AA109">
        <f>IF(G109="S",1,0)</f>
        <v>1</v>
      </c>
      <c r="AB109">
        <f>IF(G109="U",1,0)</f>
        <v>0</v>
      </c>
      <c r="AC109" s="5">
        <f>IF(AND(ISNUMBER(H109),NOT(ISNUMBER(P109))),1,0)</f>
        <v>0</v>
      </c>
      <c r="AD109" s="5">
        <f>IF(AND(ISNUMBER(H109),ISNUMBER(P109)),1,0)</f>
        <v>0</v>
      </c>
      <c r="AE109" s="5">
        <f>W109</f>
        <v>0.5</v>
      </c>
      <c r="AF109" s="5">
        <f>X109</f>
        <v>4.1057300000000003</v>
      </c>
      <c r="AG109" s="5">
        <f>Y109</f>
        <v>0</v>
      </c>
      <c r="AH109" s="5">
        <f>IF(OR(G109="C",G109="S",G109="U"),1,0)</f>
        <v>1</v>
      </c>
      <c r="AI109" s="5">
        <f>IF(ISNUMBER(H109),1,0)</f>
        <v>0</v>
      </c>
      <c r="AJ109" s="5">
        <f>IF(ISNUMBER(P109),1,0)</f>
        <v>1</v>
      </c>
      <c r="AK109" s="5" t="str">
        <f>IF(AI109=1,IF(J109&gt;0,1,0),"")</f>
        <v/>
      </c>
      <c r="AL109" s="5">
        <f>IF(AJ109=1,IF(OR(Q109&gt;0,R109&gt;0),1,0),"")</f>
        <v>0</v>
      </c>
    </row>
    <row r="110" spans="1:38">
      <c r="A110">
        <v>58151</v>
      </c>
      <c r="B110" t="s">
        <v>151</v>
      </c>
      <c r="C110" t="s">
        <v>37</v>
      </c>
      <c r="D110" t="s">
        <v>24</v>
      </c>
      <c r="E110">
        <v>16</v>
      </c>
      <c r="F110">
        <v>1235000</v>
      </c>
      <c r="G110" t="s">
        <v>25</v>
      </c>
      <c r="H110" t="s">
        <v>26</v>
      </c>
      <c r="I110" t="s">
        <v>26</v>
      </c>
      <c r="J110" t="s">
        <v>26</v>
      </c>
      <c r="K110" t="s">
        <v>26</v>
      </c>
      <c r="L110" t="s">
        <v>26</v>
      </c>
      <c r="M110" t="s">
        <v>26</v>
      </c>
      <c r="N110" t="s">
        <v>26</v>
      </c>
      <c r="O110" t="s">
        <v>26</v>
      </c>
      <c r="P110">
        <v>2</v>
      </c>
      <c r="Q110">
        <v>0</v>
      </c>
      <c r="R110">
        <v>1</v>
      </c>
      <c r="S110">
        <v>2</v>
      </c>
      <c r="T110">
        <v>1.6194</v>
      </c>
      <c r="U110">
        <v>0.125</v>
      </c>
      <c r="V110">
        <v>1</v>
      </c>
      <c r="W110">
        <f>E110/100</f>
        <v>0.16</v>
      </c>
      <c r="X110">
        <f>F110/1000000</f>
        <v>1.2350000000000001</v>
      </c>
      <c r="Y110">
        <f>IF(D110="C",1,0)</f>
        <v>0</v>
      </c>
      <c r="Z110">
        <f>IF(G110="C",1,0)</f>
        <v>0</v>
      </c>
      <c r="AA110">
        <f>IF(G110="S",1,0)</f>
        <v>1</v>
      </c>
      <c r="AB110">
        <f>IF(G110="U",1,0)</f>
        <v>0</v>
      </c>
      <c r="AC110" s="5">
        <f>IF(AND(ISNUMBER(H110),NOT(ISNUMBER(P110))),1,0)</f>
        <v>0</v>
      </c>
      <c r="AD110" s="5">
        <f>IF(AND(ISNUMBER(H110),ISNUMBER(P110)),1,0)</f>
        <v>0</v>
      </c>
      <c r="AE110" s="5">
        <f>W110</f>
        <v>0.16</v>
      </c>
      <c r="AF110" s="5">
        <f>X110</f>
        <v>1.2350000000000001</v>
      </c>
      <c r="AG110" s="5">
        <f>Y110</f>
        <v>0</v>
      </c>
      <c r="AH110" s="5">
        <f>IF(OR(G110="C",G110="S",G110="U"),1,0)</f>
        <v>1</v>
      </c>
      <c r="AI110" s="5">
        <f>IF(ISNUMBER(H110),1,0)</f>
        <v>0</v>
      </c>
      <c r="AJ110" s="5">
        <f>IF(ISNUMBER(P110),1,0)</f>
        <v>1</v>
      </c>
      <c r="AK110" s="5" t="str">
        <f>IF(AI110=1,IF(J110&gt;0,1,0),"")</f>
        <v/>
      </c>
      <c r="AL110" s="5">
        <f>IF(AJ110=1,IF(OR(Q110&gt;0,R110&gt;0),1,0),"")</f>
        <v>1</v>
      </c>
    </row>
    <row r="111" spans="1:38">
      <c r="A111">
        <v>60135</v>
      </c>
      <c r="B111" t="s">
        <v>153</v>
      </c>
      <c r="C111" t="s">
        <v>82</v>
      </c>
      <c r="D111" t="s">
        <v>24</v>
      </c>
      <c r="E111">
        <v>48</v>
      </c>
      <c r="F111">
        <v>3490774</v>
      </c>
      <c r="G111" t="s">
        <v>25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>
        <v>1</v>
      </c>
      <c r="Q111">
        <v>0</v>
      </c>
      <c r="R111">
        <v>1</v>
      </c>
      <c r="S111">
        <v>1</v>
      </c>
      <c r="T111">
        <v>0.28649999999999998</v>
      </c>
      <c r="U111">
        <v>2.0799999999999999E-2</v>
      </c>
      <c r="V111">
        <v>1</v>
      </c>
      <c r="W111">
        <f>E111/100</f>
        <v>0.48</v>
      </c>
      <c r="X111">
        <f>F111/1000000</f>
        <v>3.490774</v>
      </c>
      <c r="Y111">
        <f>IF(D111="C",1,0)</f>
        <v>0</v>
      </c>
      <c r="Z111">
        <f>IF(G111="C",1,0)</f>
        <v>0</v>
      </c>
      <c r="AA111">
        <f>IF(G111="S",1,0)</f>
        <v>1</v>
      </c>
      <c r="AB111">
        <f>IF(G111="U",1,0)</f>
        <v>0</v>
      </c>
      <c r="AC111" s="5">
        <f>IF(AND(ISNUMBER(H111),NOT(ISNUMBER(P111))),1,0)</f>
        <v>0</v>
      </c>
      <c r="AD111" s="5">
        <f>IF(AND(ISNUMBER(H111),ISNUMBER(P111)),1,0)</f>
        <v>0</v>
      </c>
      <c r="AE111" s="5">
        <f>W111</f>
        <v>0.48</v>
      </c>
      <c r="AF111" s="5">
        <f>X111</f>
        <v>3.490774</v>
      </c>
      <c r="AG111" s="5">
        <f>Y111</f>
        <v>0</v>
      </c>
      <c r="AH111" s="5">
        <f>IF(OR(G111="C",G111="S",G111="U"),1,0)</f>
        <v>1</v>
      </c>
      <c r="AI111" s="5">
        <f>IF(ISNUMBER(H111),1,0)</f>
        <v>0</v>
      </c>
      <c r="AJ111" s="5">
        <f>IF(ISNUMBER(P111),1,0)</f>
        <v>1</v>
      </c>
      <c r="AK111" s="5" t="str">
        <f>IF(AI111=1,IF(J111&gt;0,1,0),"")</f>
        <v/>
      </c>
      <c r="AL111" s="5">
        <f>IF(AJ111=1,IF(OR(Q111&gt;0,R111&gt;0),1,0),"")</f>
        <v>1</v>
      </c>
    </row>
    <row r="112" spans="1:38">
      <c r="A112">
        <v>61329</v>
      </c>
      <c r="B112" t="s">
        <v>154</v>
      </c>
      <c r="C112" t="s">
        <v>84</v>
      </c>
      <c r="D112" t="s">
        <v>24</v>
      </c>
      <c r="E112">
        <v>59</v>
      </c>
      <c r="F112">
        <v>2109127</v>
      </c>
      <c r="G112" t="s">
        <v>33</v>
      </c>
      <c r="H112" t="s">
        <v>26</v>
      </c>
      <c r="I112" t="s">
        <v>26</v>
      </c>
      <c r="J112" t="s">
        <v>26</v>
      </c>
      <c r="K112" t="s">
        <v>26</v>
      </c>
      <c r="L112" t="s">
        <v>26</v>
      </c>
      <c r="M112" t="s">
        <v>26</v>
      </c>
      <c r="N112" t="s">
        <v>26</v>
      </c>
      <c r="O112" t="s">
        <v>26</v>
      </c>
      <c r="P112">
        <v>1</v>
      </c>
      <c r="Q112">
        <v>0</v>
      </c>
      <c r="R112">
        <v>1</v>
      </c>
      <c r="S112">
        <v>1</v>
      </c>
      <c r="T112">
        <v>0.47410000000000002</v>
      </c>
      <c r="U112">
        <v>1.6899999999999998E-2</v>
      </c>
      <c r="V112">
        <v>1</v>
      </c>
      <c r="W112">
        <f>E112/100</f>
        <v>0.59</v>
      </c>
      <c r="X112">
        <f>F112/1000000</f>
        <v>2.109127</v>
      </c>
      <c r="Y112">
        <f>IF(D112="C",1,0)</f>
        <v>0</v>
      </c>
      <c r="Z112">
        <f>IF(G112="C",1,0)</f>
        <v>1</v>
      </c>
      <c r="AA112">
        <f>IF(G112="S",1,0)</f>
        <v>0</v>
      </c>
      <c r="AB112">
        <f>IF(G112="U",1,0)</f>
        <v>0</v>
      </c>
      <c r="AC112" s="5">
        <f>IF(AND(ISNUMBER(H112),NOT(ISNUMBER(P112))),1,0)</f>
        <v>0</v>
      </c>
      <c r="AD112" s="5">
        <f>IF(AND(ISNUMBER(H112),ISNUMBER(P112)),1,0)</f>
        <v>0</v>
      </c>
      <c r="AE112" s="5">
        <f>W112</f>
        <v>0.59</v>
      </c>
      <c r="AF112" s="5">
        <f>X112</f>
        <v>2.109127</v>
      </c>
      <c r="AG112" s="5">
        <f>Y112</f>
        <v>0</v>
      </c>
      <c r="AH112" s="5">
        <f>IF(OR(G112="C",G112="S",G112="U"),1,0)</f>
        <v>1</v>
      </c>
      <c r="AI112" s="5">
        <f>IF(ISNUMBER(H112),1,0)</f>
        <v>0</v>
      </c>
      <c r="AJ112" s="5">
        <f>IF(ISNUMBER(P112),1,0)</f>
        <v>1</v>
      </c>
      <c r="AK112" s="5" t="str">
        <f>IF(AI112=1,IF(J112&gt;0,1,0),"")</f>
        <v/>
      </c>
      <c r="AL112" s="5">
        <f>IF(AJ112=1,IF(OR(Q112&gt;0,R112&gt;0),1,0),"")</f>
        <v>1</v>
      </c>
    </row>
    <row r="113" spans="1:38">
      <c r="A113">
        <v>69511</v>
      </c>
      <c r="B113" t="s">
        <v>156</v>
      </c>
      <c r="C113" t="s">
        <v>157</v>
      </c>
      <c r="D113" t="s">
        <v>33</v>
      </c>
      <c r="E113">
        <v>2171</v>
      </c>
      <c r="F113">
        <v>9847000</v>
      </c>
      <c r="H113" t="s">
        <v>26</v>
      </c>
      <c r="I113" t="s">
        <v>26</v>
      </c>
      <c r="J113" t="s">
        <v>26</v>
      </c>
      <c r="K113" t="s">
        <v>26</v>
      </c>
      <c r="L113" t="s">
        <v>26</v>
      </c>
      <c r="M113" t="s">
        <v>26</v>
      </c>
      <c r="N113" t="s">
        <v>26</v>
      </c>
      <c r="O113" t="s">
        <v>26</v>
      </c>
      <c r="P113">
        <v>1</v>
      </c>
      <c r="Q113">
        <v>0</v>
      </c>
      <c r="R113">
        <v>1</v>
      </c>
      <c r="S113">
        <v>1</v>
      </c>
      <c r="T113">
        <v>0.1016</v>
      </c>
      <c r="U113">
        <v>5.0000000000000001E-4</v>
      </c>
      <c r="V113">
        <v>1</v>
      </c>
      <c r="W113">
        <f>E113/100</f>
        <v>21.71</v>
      </c>
      <c r="X113">
        <f>F113/1000000</f>
        <v>9.8469999999999995</v>
      </c>
      <c r="Y113">
        <f>IF(D113="C",1,0)</f>
        <v>1</v>
      </c>
      <c r="Z113">
        <f>IF(G113="C",1,0)</f>
        <v>0</v>
      </c>
      <c r="AA113">
        <f>IF(G113="S",1,0)</f>
        <v>0</v>
      </c>
      <c r="AB113">
        <f>IF(G113="U",1,0)</f>
        <v>0</v>
      </c>
      <c r="AC113" s="5">
        <f>IF(AND(ISNUMBER(H113),NOT(ISNUMBER(P113))),1,0)</f>
        <v>0</v>
      </c>
      <c r="AD113" s="5">
        <f>IF(AND(ISNUMBER(H113),ISNUMBER(P113)),1,0)</f>
        <v>0</v>
      </c>
      <c r="AE113" s="5">
        <f>W113</f>
        <v>21.71</v>
      </c>
      <c r="AF113" s="5">
        <f>X113</f>
        <v>9.8469999999999995</v>
      </c>
      <c r="AG113" s="5">
        <f>Y113</f>
        <v>1</v>
      </c>
      <c r="AH113" s="5">
        <f>IF(OR(G113="C",G113="S",G113="U"),1,0)</f>
        <v>0</v>
      </c>
      <c r="AI113" s="5">
        <f>IF(ISNUMBER(H113),1,0)</f>
        <v>0</v>
      </c>
      <c r="AJ113" s="5">
        <f>IF(ISNUMBER(P113),1,0)</f>
        <v>1</v>
      </c>
      <c r="AK113" s="5" t="str">
        <f>IF(AI113=1,IF(J113&gt;0,1,0),"")</f>
        <v/>
      </c>
      <c r="AL113" s="5">
        <f>IF(AJ113=1,IF(OR(Q113&gt;0,R113&gt;0),1,0),"")</f>
        <v>1</v>
      </c>
    </row>
    <row r="114" spans="1:38">
      <c r="A114">
        <v>70228</v>
      </c>
      <c r="B114" t="s">
        <v>158</v>
      </c>
      <c r="C114" t="s">
        <v>159</v>
      </c>
      <c r="D114" t="s">
        <v>33</v>
      </c>
      <c r="E114">
        <v>2</v>
      </c>
      <c r="F114">
        <v>6000</v>
      </c>
      <c r="H114" t="s">
        <v>26</v>
      </c>
      <c r="I114" t="s">
        <v>26</v>
      </c>
      <c r="J114" t="s">
        <v>26</v>
      </c>
      <c r="K114" t="s">
        <v>26</v>
      </c>
      <c r="L114" t="s">
        <v>26</v>
      </c>
      <c r="M114" t="s">
        <v>26</v>
      </c>
      <c r="N114" t="s">
        <v>26</v>
      </c>
      <c r="O114" t="s">
        <v>26</v>
      </c>
      <c r="P114">
        <v>1</v>
      </c>
      <c r="Q114">
        <v>0</v>
      </c>
      <c r="R114">
        <v>0</v>
      </c>
      <c r="S114">
        <v>1</v>
      </c>
      <c r="T114">
        <v>166.66669999999999</v>
      </c>
      <c r="U114">
        <v>0.5</v>
      </c>
      <c r="V114">
        <v>0</v>
      </c>
      <c r="W114">
        <f>E114/100</f>
        <v>0.02</v>
      </c>
      <c r="X114">
        <f>F114/1000000</f>
        <v>6.0000000000000001E-3</v>
      </c>
      <c r="Y114">
        <f>IF(D114="C",1,0)</f>
        <v>1</v>
      </c>
      <c r="Z114">
        <f>IF(G114="C",1,0)</f>
        <v>0</v>
      </c>
      <c r="AA114">
        <f>IF(G114="S",1,0)</f>
        <v>0</v>
      </c>
      <c r="AB114">
        <f>IF(G114="U",1,0)</f>
        <v>0</v>
      </c>
      <c r="AC114" s="5">
        <f>IF(AND(ISNUMBER(H114),NOT(ISNUMBER(P114))),1,0)</f>
        <v>0</v>
      </c>
      <c r="AD114" s="5">
        <f>IF(AND(ISNUMBER(H114),ISNUMBER(P114)),1,0)</f>
        <v>0</v>
      </c>
      <c r="AE114" s="5">
        <f>W114</f>
        <v>0.02</v>
      </c>
      <c r="AF114" s="5">
        <f>X114</f>
        <v>6.0000000000000001E-3</v>
      </c>
      <c r="AG114" s="5">
        <f>Y114</f>
        <v>1</v>
      </c>
      <c r="AH114" s="5">
        <f>IF(OR(G114="C",G114="S",G114="U"),1,0)</f>
        <v>0</v>
      </c>
      <c r="AI114" s="5">
        <f>IF(ISNUMBER(H114),1,0)</f>
        <v>0</v>
      </c>
      <c r="AJ114" s="5">
        <f>IF(ISNUMBER(P114),1,0)</f>
        <v>1</v>
      </c>
      <c r="AK114" s="5" t="str">
        <f>IF(AI114=1,IF(J114&gt;0,1,0),"")</f>
        <v/>
      </c>
      <c r="AL114" s="5">
        <f>IF(AJ114=1,IF(OR(Q114&gt;0,R114&gt;0),1,0),"")</f>
        <v>0</v>
      </c>
    </row>
    <row r="115" spans="1:38">
      <c r="A115">
        <v>71690</v>
      </c>
      <c r="B115" t="s">
        <v>160</v>
      </c>
      <c r="C115" t="s">
        <v>77</v>
      </c>
      <c r="D115" t="s">
        <v>24</v>
      </c>
      <c r="E115">
        <v>5</v>
      </c>
      <c r="F115">
        <v>8900000</v>
      </c>
      <c r="G115" t="s">
        <v>33</v>
      </c>
      <c r="H115" t="s">
        <v>26</v>
      </c>
      <c r="I115" t="s">
        <v>26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>
        <v>1</v>
      </c>
      <c r="Q115">
        <v>0</v>
      </c>
      <c r="R115">
        <v>1</v>
      </c>
      <c r="S115">
        <v>1</v>
      </c>
      <c r="T115">
        <v>0.1124</v>
      </c>
      <c r="U115">
        <v>0.2</v>
      </c>
      <c r="V115">
        <v>1</v>
      </c>
      <c r="W115">
        <f>E115/100</f>
        <v>0.05</v>
      </c>
      <c r="X115">
        <f>F115/1000000</f>
        <v>8.9</v>
      </c>
      <c r="Y115">
        <f>IF(D115="C",1,0)</f>
        <v>0</v>
      </c>
      <c r="Z115">
        <f>IF(G115="C",1,0)</f>
        <v>1</v>
      </c>
      <c r="AA115">
        <f>IF(G115="S",1,0)</f>
        <v>0</v>
      </c>
      <c r="AB115">
        <f>IF(G115="U",1,0)</f>
        <v>0</v>
      </c>
      <c r="AC115" s="5">
        <f>IF(AND(ISNUMBER(H115),NOT(ISNUMBER(P115))),1,0)</f>
        <v>0</v>
      </c>
      <c r="AD115" s="5">
        <f>IF(AND(ISNUMBER(H115),ISNUMBER(P115)),1,0)</f>
        <v>0</v>
      </c>
      <c r="AE115" s="5">
        <f>W115</f>
        <v>0.05</v>
      </c>
      <c r="AF115" s="5">
        <f>X115</f>
        <v>8.9</v>
      </c>
      <c r="AG115" s="5">
        <f>Y115</f>
        <v>0</v>
      </c>
      <c r="AH115" s="5">
        <f>IF(OR(G115="C",G115="S",G115="U"),1,0)</f>
        <v>1</v>
      </c>
      <c r="AI115" s="5">
        <f>IF(ISNUMBER(H115),1,0)</f>
        <v>0</v>
      </c>
      <c r="AJ115" s="5">
        <f>IF(ISNUMBER(P115),1,0)</f>
        <v>1</v>
      </c>
      <c r="AK115" s="5" t="str">
        <f>IF(AI115=1,IF(J115&gt;0,1,0),"")</f>
        <v/>
      </c>
      <c r="AL115" s="5">
        <f>IF(AJ115=1,IF(OR(Q115&gt;0,R115&gt;0),1,0),"")</f>
        <v>1</v>
      </c>
    </row>
    <row r="116" spans="1:38">
      <c r="A116">
        <v>71992</v>
      </c>
      <c r="B116" t="s">
        <v>161</v>
      </c>
      <c r="C116" t="s">
        <v>162</v>
      </c>
      <c r="D116" t="s">
        <v>24</v>
      </c>
      <c r="E116">
        <v>21</v>
      </c>
      <c r="F116">
        <v>1559395</v>
      </c>
      <c r="G116" t="s">
        <v>25</v>
      </c>
      <c r="H116" t="s">
        <v>26</v>
      </c>
      <c r="I116" t="s">
        <v>26</v>
      </c>
      <c r="J116" t="s">
        <v>26</v>
      </c>
      <c r="K116" t="s">
        <v>26</v>
      </c>
      <c r="L116" t="s">
        <v>26</v>
      </c>
      <c r="M116" t="s">
        <v>26</v>
      </c>
      <c r="N116" t="s">
        <v>26</v>
      </c>
      <c r="O116" t="s">
        <v>26</v>
      </c>
      <c r="P116">
        <v>1</v>
      </c>
      <c r="Q116">
        <v>0</v>
      </c>
      <c r="R116">
        <v>0</v>
      </c>
      <c r="S116">
        <v>0</v>
      </c>
      <c r="T116">
        <v>0.64129999999999998</v>
      </c>
      <c r="U116">
        <v>4.7600000000000003E-2</v>
      </c>
      <c r="V116">
        <v>0</v>
      </c>
      <c r="W116">
        <f>E116/100</f>
        <v>0.21</v>
      </c>
      <c r="X116">
        <f>F116/1000000</f>
        <v>1.5593950000000001</v>
      </c>
      <c r="Y116">
        <f>IF(D116="C",1,0)</f>
        <v>0</v>
      </c>
      <c r="Z116">
        <f>IF(G116="C",1,0)</f>
        <v>0</v>
      </c>
      <c r="AA116">
        <f>IF(G116="S",1,0)</f>
        <v>1</v>
      </c>
      <c r="AB116">
        <f>IF(G116="U",1,0)</f>
        <v>0</v>
      </c>
      <c r="AC116" s="5">
        <f>IF(AND(ISNUMBER(H116),NOT(ISNUMBER(P116))),1,0)</f>
        <v>0</v>
      </c>
      <c r="AD116" s="5">
        <f>IF(AND(ISNUMBER(H116),ISNUMBER(P116)),1,0)</f>
        <v>0</v>
      </c>
      <c r="AE116" s="5">
        <f>W116</f>
        <v>0.21</v>
      </c>
      <c r="AF116" s="5">
        <f>X116</f>
        <v>1.5593950000000001</v>
      </c>
      <c r="AG116" s="5">
        <f>Y116</f>
        <v>0</v>
      </c>
      <c r="AH116" s="5">
        <f>IF(OR(G116="C",G116="S",G116="U"),1,0)</f>
        <v>1</v>
      </c>
      <c r="AI116" s="5">
        <f>IF(ISNUMBER(H116),1,0)</f>
        <v>0</v>
      </c>
      <c r="AJ116" s="5">
        <f>IF(ISNUMBER(P116),1,0)</f>
        <v>1</v>
      </c>
      <c r="AK116" s="5" t="str">
        <f>IF(AI116=1,IF(J116&gt;0,1,0),"")</f>
        <v/>
      </c>
      <c r="AL116" s="5">
        <f>IF(AJ116=1,IF(OR(Q116&gt;0,R116&gt;0),1,0),"")</f>
        <v>0</v>
      </c>
    </row>
    <row r="117" spans="1:38">
      <c r="A117">
        <v>73351</v>
      </c>
      <c r="B117" t="s">
        <v>163</v>
      </c>
      <c r="C117" t="s">
        <v>157</v>
      </c>
      <c r="D117" t="s">
        <v>24</v>
      </c>
      <c r="E117">
        <v>42</v>
      </c>
      <c r="F117">
        <v>1670000</v>
      </c>
      <c r="G117" t="s">
        <v>25</v>
      </c>
      <c r="H117" t="s">
        <v>26</v>
      </c>
      <c r="I117" t="s">
        <v>26</v>
      </c>
      <c r="J117" t="s">
        <v>26</v>
      </c>
      <c r="K117" t="s">
        <v>26</v>
      </c>
      <c r="L117" t="s">
        <v>26</v>
      </c>
      <c r="M117" t="s">
        <v>26</v>
      </c>
      <c r="N117" t="s">
        <v>26</v>
      </c>
      <c r="O117" t="s">
        <v>26</v>
      </c>
      <c r="P117">
        <v>1</v>
      </c>
      <c r="Q117">
        <v>0</v>
      </c>
      <c r="R117">
        <v>1</v>
      </c>
      <c r="S117">
        <v>1</v>
      </c>
      <c r="T117">
        <v>0.5988</v>
      </c>
      <c r="U117">
        <v>2.3800000000000002E-2</v>
      </c>
      <c r="V117">
        <v>1</v>
      </c>
      <c r="W117">
        <f>E117/100</f>
        <v>0.42</v>
      </c>
      <c r="X117">
        <f>F117/1000000</f>
        <v>1.67</v>
      </c>
      <c r="Y117">
        <f>IF(D117="C",1,0)</f>
        <v>0</v>
      </c>
      <c r="Z117">
        <f>IF(G117="C",1,0)</f>
        <v>0</v>
      </c>
      <c r="AA117">
        <f>IF(G117="S",1,0)</f>
        <v>1</v>
      </c>
      <c r="AB117">
        <f>IF(G117="U",1,0)</f>
        <v>0</v>
      </c>
      <c r="AC117" s="5">
        <f>IF(AND(ISNUMBER(H117),NOT(ISNUMBER(P117))),1,0)</f>
        <v>0</v>
      </c>
      <c r="AD117" s="5">
        <f>IF(AND(ISNUMBER(H117),ISNUMBER(P117)),1,0)</f>
        <v>0</v>
      </c>
      <c r="AE117" s="5">
        <f>W117</f>
        <v>0.42</v>
      </c>
      <c r="AF117" s="5">
        <f>X117</f>
        <v>1.67</v>
      </c>
      <c r="AG117" s="5">
        <f>Y117</f>
        <v>0</v>
      </c>
      <c r="AH117" s="5">
        <f>IF(OR(G117="C",G117="S",G117="U"),1,0)</f>
        <v>1</v>
      </c>
      <c r="AI117" s="5">
        <f>IF(ISNUMBER(H117),1,0)</f>
        <v>0</v>
      </c>
      <c r="AJ117" s="5">
        <f>IF(ISNUMBER(P117),1,0)</f>
        <v>1</v>
      </c>
      <c r="AK117" s="5" t="str">
        <f>IF(AI117=1,IF(J117&gt;0,1,0),"")</f>
        <v/>
      </c>
      <c r="AL117" s="5">
        <f>IF(AJ117=1,IF(OR(Q117&gt;0,R117&gt;0),1,0),"")</f>
        <v>1</v>
      </c>
    </row>
    <row r="118" spans="1:38">
      <c r="A118">
        <v>73992</v>
      </c>
      <c r="B118" t="s">
        <v>164</v>
      </c>
      <c r="C118" t="s">
        <v>82</v>
      </c>
      <c r="D118" t="s">
        <v>24</v>
      </c>
      <c r="E118">
        <v>210</v>
      </c>
      <c r="F118">
        <v>1800000</v>
      </c>
      <c r="G118" t="s">
        <v>25</v>
      </c>
      <c r="H118" t="s">
        <v>26</v>
      </c>
      <c r="I118" t="s">
        <v>26</v>
      </c>
      <c r="J118" t="s">
        <v>26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>
        <v>1</v>
      </c>
      <c r="Q118">
        <v>0</v>
      </c>
      <c r="R118">
        <v>0</v>
      </c>
      <c r="S118">
        <v>1</v>
      </c>
      <c r="T118">
        <v>0.55559999999999998</v>
      </c>
      <c r="U118">
        <v>4.7999999999999996E-3</v>
      </c>
      <c r="V118">
        <v>0</v>
      </c>
      <c r="W118">
        <f>E118/100</f>
        <v>2.1</v>
      </c>
      <c r="X118">
        <f>F118/1000000</f>
        <v>1.8</v>
      </c>
      <c r="Y118">
        <f>IF(D118="C",1,0)</f>
        <v>0</v>
      </c>
      <c r="Z118">
        <f>IF(G118="C",1,0)</f>
        <v>0</v>
      </c>
      <c r="AA118">
        <f>IF(G118="S",1,0)</f>
        <v>1</v>
      </c>
      <c r="AB118">
        <f>IF(G118="U",1,0)</f>
        <v>0</v>
      </c>
      <c r="AC118" s="5">
        <f>IF(AND(ISNUMBER(H118),NOT(ISNUMBER(P118))),1,0)</f>
        <v>0</v>
      </c>
      <c r="AD118" s="5">
        <f>IF(AND(ISNUMBER(H118),ISNUMBER(P118)),1,0)</f>
        <v>0</v>
      </c>
      <c r="AE118" s="5">
        <f>W118</f>
        <v>2.1</v>
      </c>
      <c r="AF118" s="5">
        <f>X118</f>
        <v>1.8</v>
      </c>
      <c r="AG118" s="5">
        <f>Y118</f>
        <v>0</v>
      </c>
      <c r="AH118" s="5">
        <f>IF(OR(G118="C",G118="S",G118="U"),1,0)</f>
        <v>1</v>
      </c>
      <c r="AI118" s="5">
        <f>IF(ISNUMBER(H118),1,0)</f>
        <v>0</v>
      </c>
      <c r="AJ118" s="5">
        <f>IF(ISNUMBER(P118),1,0)</f>
        <v>1</v>
      </c>
      <c r="AK118" s="5" t="str">
        <f>IF(AI118=1,IF(J118&gt;0,1,0),"")</f>
        <v/>
      </c>
      <c r="AL118" s="5">
        <f>IF(AJ118=1,IF(OR(Q118&gt;0,R118&gt;0),1,0),"")</f>
        <v>0</v>
      </c>
    </row>
    <row r="119" spans="1:38">
      <c r="A119">
        <v>78606</v>
      </c>
      <c r="B119" t="s">
        <v>165</v>
      </c>
      <c r="C119" t="s">
        <v>166</v>
      </c>
      <c r="D119" t="s">
        <v>24</v>
      </c>
      <c r="E119">
        <v>16</v>
      </c>
      <c r="F119">
        <v>2306538</v>
      </c>
      <c r="H119" t="s">
        <v>26</v>
      </c>
      <c r="I119" t="s">
        <v>26</v>
      </c>
      <c r="J119" t="s">
        <v>26</v>
      </c>
      <c r="K119" t="s">
        <v>26</v>
      </c>
      <c r="L119" t="s">
        <v>26</v>
      </c>
      <c r="M119" t="s">
        <v>26</v>
      </c>
      <c r="N119" t="s">
        <v>26</v>
      </c>
      <c r="O119" t="s">
        <v>26</v>
      </c>
      <c r="P119">
        <v>1</v>
      </c>
      <c r="Q119">
        <v>0</v>
      </c>
      <c r="R119">
        <v>1</v>
      </c>
      <c r="S119">
        <v>1</v>
      </c>
      <c r="T119">
        <v>0.43359999999999999</v>
      </c>
      <c r="U119">
        <v>6.25E-2</v>
      </c>
      <c r="V119">
        <v>1</v>
      </c>
      <c r="W119">
        <f>E119/100</f>
        <v>0.16</v>
      </c>
      <c r="X119">
        <f>F119/1000000</f>
        <v>2.3065380000000002</v>
      </c>
      <c r="Y119">
        <f>IF(D119="C",1,0)</f>
        <v>0</v>
      </c>
      <c r="Z119">
        <f>IF(G119="C",1,0)</f>
        <v>0</v>
      </c>
      <c r="AA119">
        <f>IF(G119="S",1,0)</f>
        <v>0</v>
      </c>
      <c r="AB119">
        <f>IF(G119="U",1,0)</f>
        <v>0</v>
      </c>
      <c r="AC119" s="5">
        <f>IF(AND(ISNUMBER(H119),NOT(ISNUMBER(P119))),1,0)</f>
        <v>0</v>
      </c>
      <c r="AD119" s="5">
        <f>IF(AND(ISNUMBER(H119),ISNUMBER(P119)),1,0)</f>
        <v>0</v>
      </c>
      <c r="AE119" s="5">
        <f>W119</f>
        <v>0.16</v>
      </c>
      <c r="AF119" s="5">
        <f>X119</f>
        <v>2.3065380000000002</v>
      </c>
      <c r="AG119" s="5">
        <f>Y119</f>
        <v>0</v>
      </c>
      <c r="AH119" s="5">
        <f>IF(OR(G119="C",G119="S",G119="U"),1,0)</f>
        <v>0</v>
      </c>
      <c r="AI119" s="5">
        <f>IF(ISNUMBER(H119),1,0)</f>
        <v>0</v>
      </c>
      <c r="AJ119" s="5">
        <f>IF(ISNUMBER(P119),1,0)</f>
        <v>1</v>
      </c>
      <c r="AK119" s="5" t="str">
        <f>IF(AI119=1,IF(J119&gt;0,1,0),"")</f>
        <v/>
      </c>
      <c r="AL119" s="5">
        <f>IF(AJ119=1,IF(OR(Q119&gt;0,R119&gt;0),1,0),"")</f>
        <v>1</v>
      </c>
    </row>
    <row r="120" spans="1:38">
      <c r="A120">
        <v>81378</v>
      </c>
      <c r="B120" t="s">
        <v>167</v>
      </c>
      <c r="C120" t="s">
        <v>77</v>
      </c>
      <c r="D120" t="s">
        <v>24</v>
      </c>
      <c r="E120">
        <v>1</v>
      </c>
      <c r="F120">
        <v>10000</v>
      </c>
      <c r="G120" t="s">
        <v>25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>
        <v>2</v>
      </c>
      <c r="Q120">
        <v>0</v>
      </c>
      <c r="R120">
        <v>2</v>
      </c>
      <c r="S120">
        <v>2</v>
      </c>
      <c r="T120">
        <v>200</v>
      </c>
      <c r="U120">
        <v>2</v>
      </c>
      <c r="V120">
        <v>1</v>
      </c>
      <c r="W120">
        <f>E120/100</f>
        <v>0.01</v>
      </c>
      <c r="X120">
        <f>F120/1000000</f>
        <v>0.01</v>
      </c>
      <c r="Y120">
        <f>IF(D120="C",1,0)</f>
        <v>0</v>
      </c>
      <c r="Z120">
        <f>IF(G120="C",1,0)</f>
        <v>0</v>
      </c>
      <c r="AA120">
        <f>IF(G120="S",1,0)</f>
        <v>1</v>
      </c>
      <c r="AB120">
        <f>IF(G120="U",1,0)</f>
        <v>0</v>
      </c>
      <c r="AC120" s="5">
        <f>IF(AND(ISNUMBER(H120),NOT(ISNUMBER(P120))),1,0)</f>
        <v>0</v>
      </c>
      <c r="AD120" s="5">
        <f>IF(AND(ISNUMBER(H120),ISNUMBER(P120)),1,0)</f>
        <v>0</v>
      </c>
      <c r="AE120" s="5">
        <f>W120</f>
        <v>0.01</v>
      </c>
      <c r="AF120" s="5">
        <f>X120</f>
        <v>0.01</v>
      </c>
      <c r="AG120" s="5">
        <f>Y120</f>
        <v>0</v>
      </c>
      <c r="AH120" s="5">
        <f>IF(OR(G120="C",G120="S",G120="U"),1,0)</f>
        <v>1</v>
      </c>
      <c r="AI120" s="5">
        <f>IF(ISNUMBER(H120),1,0)</f>
        <v>0</v>
      </c>
      <c r="AJ120" s="5">
        <f>IF(ISNUMBER(P120),1,0)</f>
        <v>1</v>
      </c>
      <c r="AK120" s="5" t="str">
        <f>IF(AI120=1,IF(J120&gt;0,1,0),"")</f>
        <v/>
      </c>
      <c r="AL120" s="5">
        <f>IF(AJ120=1,IF(OR(Q120&gt;0,R120&gt;0),1,0),"")</f>
        <v>1</v>
      </c>
    </row>
    <row r="121" spans="1:38">
      <c r="A121">
        <v>82422</v>
      </c>
      <c r="B121" t="s">
        <v>168</v>
      </c>
      <c r="C121" t="s">
        <v>140</v>
      </c>
      <c r="D121" t="s">
        <v>24</v>
      </c>
      <c r="E121">
        <v>16</v>
      </c>
      <c r="F121">
        <v>1001201</v>
      </c>
      <c r="G121" t="s">
        <v>25</v>
      </c>
      <c r="H121" t="s">
        <v>26</v>
      </c>
      <c r="I121" t="s">
        <v>26</v>
      </c>
      <c r="J121" t="s">
        <v>26</v>
      </c>
      <c r="K121" t="s">
        <v>26</v>
      </c>
      <c r="L121" t="s">
        <v>26</v>
      </c>
      <c r="M121" t="s">
        <v>26</v>
      </c>
      <c r="N121" t="s">
        <v>26</v>
      </c>
      <c r="O121" t="s">
        <v>26</v>
      </c>
      <c r="P121">
        <v>1</v>
      </c>
      <c r="Q121">
        <v>0</v>
      </c>
      <c r="R121">
        <v>1</v>
      </c>
      <c r="S121">
        <v>1</v>
      </c>
      <c r="T121">
        <v>0.99880000000000002</v>
      </c>
      <c r="U121">
        <v>6.25E-2</v>
      </c>
      <c r="V121">
        <v>1</v>
      </c>
      <c r="W121">
        <f>E121/100</f>
        <v>0.16</v>
      </c>
      <c r="X121">
        <f>F121/1000000</f>
        <v>1.001201</v>
      </c>
      <c r="Y121">
        <f>IF(D121="C",1,0)</f>
        <v>0</v>
      </c>
      <c r="Z121">
        <f>IF(G121="C",1,0)</f>
        <v>0</v>
      </c>
      <c r="AA121">
        <f>IF(G121="S",1,0)</f>
        <v>1</v>
      </c>
      <c r="AB121">
        <f>IF(G121="U",1,0)</f>
        <v>0</v>
      </c>
      <c r="AC121" s="5">
        <f>IF(AND(ISNUMBER(H121),NOT(ISNUMBER(P121))),1,0)</f>
        <v>0</v>
      </c>
      <c r="AD121" s="5">
        <f>IF(AND(ISNUMBER(H121),ISNUMBER(P121)),1,0)</f>
        <v>0</v>
      </c>
      <c r="AE121" s="5">
        <f>W121</f>
        <v>0.16</v>
      </c>
      <c r="AF121" s="5">
        <f>X121</f>
        <v>1.001201</v>
      </c>
      <c r="AG121" s="5">
        <f>Y121</f>
        <v>0</v>
      </c>
      <c r="AH121" s="5">
        <f>IF(OR(G121="C",G121="S",G121="U"),1,0)</f>
        <v>1</v>
      </c>
      <c r="AI121" s="5">
        <f>IF(ISNUMBER(H121),1,0)</f>
        <v>0</v>
      </c>
      <c r="AJ121" s="5">
        <f>IF(ISNUMBER(P121),1,0)</f>
        <v>1</v>
      </c>
      <c r="AK121" s="5" t="str">
        <f>IF(AI121=1,IF(J121&gt;0,1,0),"")</f>
        <v/>
      </c>
      <c r="AL121" s="5">
        <f>IF(AJ121=1,IF(OR(Q121&gt;0,R121&gt;0),1,0),"")</f>
        <v>1</v>
      </c>
    </row>
    <row r="122" spans="1:38">
      <c r="A122">
        <v>84352</v>
      </c>
      <c r="B122" t="s">
        <v>169</v>
      </c>
      <c r="C122" t="s">
        <v>105</v>
      </c>
      <c r="D122" t="s">
        <v>24</v>
      </c>
      <c r="E122">
        <v>1</v>
      </c>
      <c r="F122">
        <v>9220015</v>
      </c>
      <c r="G122" t="s">
        <v>25</v>
      </c>
      <c r="H122" t="s">
        <v>26</v>
      </c>
      <c r="I122" t="s">
        <v>26</v>
      </c>
      <c r="J122" t="s">
        <v>26</v>
      </c>
      <c r="K122" t="s">
        <v>26</v>
      </c>
      <c r="L122" t="s">
        <v>26</v>
      </c>
      <c r="M122" t="s">
        <v>26</v>
      </c>
      <c r="N122" t="s">
        <v>26</v>
      </c>
      <c r="O122" t="s">
        <v>26</v>
      </c>
      <c r="P122">
        <v>1</v>
      </c>
      <c r="Q122">
        <v>0</v>
      </c>
      <c r="R122">
        <v>0</v>
      </c>
      <c r="S122">
        <v>1</v>
      </c>
      <c r="T122">
        <v>0.1085</v>
      </c>
      <c r="U122">
        <v>1</v>
      </c>
      <c r="V122">
        <v>0</v>
      </c>
      <c r="W122">
        <f>E122/100</f>
        <v>0.01</v>
      </c>
      <c r="X122">
        <f>F122/1000000</f>
        <v>9.2200150000000001</v>
      </c>
      <c r="Y122">
        <f>IF(D122="C",1,0)</f>
        <v>0</v>
      </c>
      <c r="Z122">
        <f>IF(G122="C",1,0)</f>
        <v>0</v>
      </c>
      <c r="AA122">
        <f>IF(G122="S",1,0)</f>
        <v>1</v>
      </c>
      <c r="AB122">
        <f>IF(G122="U",1,0)</f>
        <v>0</v>
      </c>
      <c r="AC122" s="5">
        <f>IF(AND(ISNUMBER(H122),NOT(ISNUMBER(P122))),1,0)</f>
        <v>0</v>
      </c>
      <c r="AD122" s="5">
        <f>IF(AND(ISNUMBER(H122),ISNUMBER(P122)),1,0)</f>
        <v>0</v>
      </c>
      <c r="AE122" s="5">
        <f>W122</f>
        <v>0.01</v>
      </c>
      <c r="AF122" s="5">
        <f>X122</f>
        <v>9.2200150000000001</v>
      </c>
      <c r="AG122" s="5">
        <f>Y122</f>
        <v>0</v>
      </c>
      <c r="AH122" s="5">
        <f>IF(OR(G122="C",G122="S",G122="U"),1,0)</f>
        <v>1</v>
      </c>
      <c r="AI122" s="5">
        <f>IF(ISNUMBER(H122),1,0)</f>
        <v>0</v>
      </c>
      <c r="AJ122" s="5">
        <f>IF(ISNUMBER(P122),1,0)</f>
        <v>1</v>
      </c>
      <c r="AK122" s="5" t="str">
        <f>IF(AI122=1,IF(J122&gt;0,1,0),"")</f>
        <v/>
      </c>
      <c r="AL122" s="5">
        <f>IF(AJ122=1,IF(OR(Q122&gt;0,R122&gt;0),1,0),"")</f>
        <v>0</v>
      </c>
    </row>
    <row r="123" spans="1:38">
      <c r="A123">
        <v>84603</v>
      </c>
      <c r="B123" t="s">
        <v>170</v>
      </c>
      <c r="C123" t="s">
        <v>23</v>
      </c>
      <c r="D123" t="s">
        <v>24</v>
      </c>
      <c r="E123">
        <v>5</v>
      </c>
      <c r="F123">
        <v>480000</v>
      </c>
      <c r="G123" t="s">
        <v>25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>
        <v>1</v>
      </c>
      <c r="Q123">
        <v>0</v>
      </c>
      <c r="R123">
        <v>0</v>
      </c>
      <c r="S123">
        <v>1</v>
      </c>
      <c r="T123">
        <v>2.0832999999999999</v>
      </c>
      <c r="U123">
        <v>0.2</v>
      </c>
      <c r="V123">
        <v>0</v>
      </c>
      <c r="W123">
        <f>E123/100</f>
        <v>0.05</v>
      </c>
      <c r="X123">
        <f>F123/1000000</f>
        <v>0.48</v>
      </c>
      <c r="Y123">
        <f>IF(D123="C",1,0)</f>
        <v>0</v>
      </c>
      <c r="Z123">
        <f>IF(G123="C",1,0)</f>
        <v>0</v>
      </c>
      <c r="AA123">
        <f>IF(G123="S",1,0)</f>
        <v>1</v>
      </c>
      <c r="AB123">
        <f>IF(G123="U",1,0)</f>
        <v>0</v>
      </c>
      <c r="AC123" s="5">
        <f>IF(AND(ISNUMBER(H123),NOT(ISNUMBER(P123))),1,0)</f>
        <v>0</v>
      </c>
      <c r="AD123" s="5">
        <f>IF(AND(ISNUMBER(H123),ISNUMBER(P123)),1,0)</f>
        <v>0</v>
      </c>
      <c r="AE123" s="5">
        <f>W123</f>
        <v>0.05</v>
      </c>
      <c r="AF123" s="5">
        <f>X123</f>
        <v>0.48</v>
      </c>
      <c r="AG123" s="5">
        <f>Y123</f>
        <v>0</v>
      </c>
      <c r="AH123" s="5">
        <f>IF(OR(G123="C",G123="S",G123="U"),1,0)</f>
        <v>1</v>
      </c>
      <c r="AI123" s="5">
        <f>IF(ISNUMBER(H123),1,0)</f>
        <v>0</v>
      </c>
      <c r="AJ123" s="5">
        <f>IF(ISNUMBER(P123),1,0)</f>
        <v>1</v>
      </c>
      <c r="AK123" s="5" t="str">
        <f>IF(AI123=1,IF(J123&gt;0,1,0),"")</f>
        <v/>
      </c>
      <c r="AL123" s="5">
        <f>IF(AJ123=1,IF(OR(Q123&gt;0,R123&gt;0),1,0),"")</f>
        <v>0</v>
      </c>
    </row>
    <row r="124" spans="1:38">
      <c r="A124">
        <v>84618</v>
      </c>
      <c r="B124" t="s">
        <v>171</v>
      </c>
      <c r="C124" t="s">
        <v>42</v>
      </c>
      <c r="D124" t="s">
        <v>24</v>
      </c>
      <c r="E124">
        <v>45</v>
      </c>
      <c r="F124">
        <v>2614879</v>
      </c>
      <c r="G124" t="s">
        <v>25</v>
      </c>
      <c r="H124" t="s">
        <v>26</v>
      </c>
      <c r="I124" t="s">
        <v>26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>
        <v>1</v>
      </c>
      <c r="Q124">
        <v>0</v>
      </c>
      <c r="R124">
        <v>1</v>
      </c>
      <c r="S124">
        <v>1</v>
      </c>
      <c r="T124">
        <v>0.38240000000000002</v>
      </c>
      <c r="U124">
        <v>2.2200000000000001E-2</v>
      </c>
      <c r="V124">
        <v>1</v>
      </c>
      <c r="W124">
        <f>E124/100</f>
        <v>0.45</v>
      </c>
      <c r="X124">
        <f>F124/1000000</f>
        <v>2.6148790000000002</v>
      </c>
      <c r="Y124">
        <f>IF(D124="C",1,0)</f>
        <v>0</v>
      </c>
      <c r="Z124">
        <f>IF(G124="C",1,0)</f>
        <v>0</v>
      </c>
      <c r="AA124">
        <f>IF(G124="S",1,0)</f>
        <v>1</v>
      </c>
      <c r="AB124">
        <f>IF(G124="U",1,0)</f>
        <v>0</v>
      </c>
      <c r="AC124" s="5">
        <f>IF(AND(ISNUMBER(H124),NOT(ISNUMBER(P124))),1,0)</f>
        <v>0</v>
      </c>
      <c r="AD124" s="5">
        <f>IF(AND(ISNUMBER(H124),ISNUMBER(P124)),1,0)</f>
        <v>0</v>
      </c>
      <c r="AE124" s="5">
        <f>W124</f>
        <v>0.45</v>
      </c>
      <c r="AF124" s="5">
        <f>X124</f>
        <v>2.6148790000000002</v>
      </c>
      <c r="AG124" s="5">
        <f>Y124</f>
        <v>0</v>
      </c>
      <c r="AH124" s="5">
        <f>IF(OR(G124="C",G124="S",G124="U"),1,0)</f>
        <v>1</v>
      </c>
      <c r="AI124" s="5">
        <f>IF(ISNUMBER(H124),1,0)</f>
        <v>0</v>
      </c>
      <c r="AJ124" s="5">
        <f>IF(ISNUMBER(P124),1,0)</f>
        <v>1</v>
      </c>
      <c r="AK124" s="5" t="str">
        <f>IF(AI124=1,IF(J124&gt;0,1,0),"")</f>
        <v/>
      </c>
      <c r="AL124" s="5">
        <f>IF(AJ124=1,IF(OR(Q124&gt;0,R124&gt;0),1,0),"")</f>
        <v>1</v>
      </c>
    </row>
    <row r="125" spans="1:38">
      <c r="A125">
        <v>84815</v>
      </c>
      <c r="B125" t="s">
        <v>172</v>
      </c>
      <c r="C125" t="s">
        <v>23</v>
      </c>
      <c r="D125" t="s">
        <v>33</v>
      </c>
      <c r="E125">
        <v>16</v>
      </c>
      <c r="F125">
        <v>8530</v>
      </c>
      <c r="H125" t="s">
        <v>26</v>
      </c>
      <c r="I125" t="s">
        <v>26</v>
      </c>
      <c r="J125" t="s">
        <v>26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>
        <v>1</v>
      </c>
      <c r="Q125">
        <v>0</v>
      </c>
      <c r="R125">
        <v>0</v>
      </c>
      <c r="S125">
        <v>1</v>
      </c>
      <c r="T125">
        <v>117.2333</v>
      </c>
      <c r="U125">
        <v>6.25E-2</v>
      </c>
      <c r="V125">
        <v>0</v>
      </c>
      <c r="W125">
        <f>E125/100</f>
        <v>0.16</v>
      </c>
      <c r="X125">
        <f>F125/1000000</f>
        <v>8.5299999999999994E-3</v>
      </c>
      <c r="Y125">
        <f>IF(D125="C",1,0)</f>
        <v>1</v>
      </c>
      <c r="Z125">
        <f>IF(G125="C",1,0)</f>
        <v>0</v>
      </c>
      <c r="AA125">
        <f>IF(G125="S",1,0)</f>
        <v>0</v>
      </c>
      <c r="AB125">
        <f>IF(G125="U",1,0)</f>
        <v>0</v>
      </c>
      <c r="AC125" s="5">
        <f>IF(AND(ISNUMBER(H125),NOT(ISNUMBER(P125))),1,0)</f>
        <v>0</v>
      </c>
      <c r="AD125" s="5">
        <f>IF(AND(ISNUMBER(H125),ISNUMBER(P125)),1,0)</f>
        <v>0</v>
      </c>
      <c r="AE125" s="5">
        <f>W125</f>
        <v>0.16</v>
      </c>
      <c r="AF125" s="5">
        <f>X125</f>
        <v>8.5299999999999994E-3</v>
      </c>
      <c r="AG125" s="5">
        <f>Y125</f>
        <v>1</v>
      </c>
      <c r="AH125" s="5">
        <f>IF(OR(G125="C",G125="S",G125="U"),1,0)</f>
        <v>0</v>
      </c>
      <c r="AI125" s="5">
        <f>IF(ISNUMBER(H125),1,0)</f>
        <v>0</v>
      </c>
      <c r="AJ125" s="5">
        <f>IF(ISNUMBER(P125),1,0)</f>
        <v>1</v>
      </c>
      <c r="AK125" s="5" t="str">
        <f>IF(AI125=1,IF(J125&gt;0,1,0),"")</f>
        <v/>
      </c>
      <c r="AL125" s="5">
        <f>IF(AJ125=1,IF(OR(Q125&gt;0,R125&gt;0),1,0),"")</f>
        <v>0</v>
      </c>
    </row>
    <row r="126" spans="1:38">
      <c r="A126">
        <v>85096</v>
      </c>
      <c r="B126" t="s">
        <v>173</v>
      </c>
      <c r="C126" t="s">
        <v>174</v>
      </c>
      <c r="D126" t="s">
        <v>33</v>
      </c>
      <c r="E126">
        <v>3</v>
      </c>
      <c r="F126">
        <v>153600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>
        <v>1</v>
      </c>
      <c r="Q126">
        <v>1</v>
      </c>
      <c r="R126">
        <v>0</v>
      </c>
      <c r="S126">
        <v>0</v>
      </c>
      <c r="T126">
        <v>6.5103999999999997</v>
      </c>
      <c r="U126">
        <v>0.33329999999999999</v>
      </c>
      <c r="V126">
        <v>1</v>
      </c>
      <c r="W126">
        <f>E126/100</f>
        <v>0.03</v>
      </c>
      <c r="X126">
        <f>F126/1000000</f>
        <v>0.15359999999999999</v>
      </c>
      <c r="Y126">
        <f>IF(D126="C",1,0)</f>
        <v>1</v>
      </c>
      <c r="Z126">
        <f>IF(G126="C",1,0)</f>
        <v>0</v>
      </c>
      <c r="AA126">
        <f>IF(G126="S",1,0)</f>
        <v>0</v>
      </c>
      <c r="AB126">
        <f>IF(G126="U",1,0)</f>
        <v>0</v>
      </c>
      <c r="AC126" s="5">
        <f>IF(AND(ISNUMBER(H126),NOT(ISNUMBER(P126))),1,0)</f>
        <v>0</v>
      </c>
      <c r="AD126" s="5">
        <f>IF(AND(ISNUMBER(H126),ISNUMBER(P126)),1,0)</f>
        <v>0</v>
      </c>
      <c r="AE126" s="5">
        <f>W126</f>
        <v>0.03</v>
      </c>
      <c r="AF126" s="5">
        <f>X126</f>
        <v>0.15359999999999999</v>
      </c>
      <c r="AG126" s="5">
        <f>Y126</f>
        <v>1</v>
      </c>
      <c r="AH126" s="5">
        <f>IF(OR(G126="C",G126="S",G126="U"),1,0)</f>
        <v>0</v>
      </c>
      <c r="AI126" s="5">
        <f>IF(ISNUMBER(H126),1,0)</f>
        <v>0</v>
      </c>
      <c r="AJ126" s="5">
        <f>IF(ISNUMBER(P126),1,0)</f>
        <v>1</v>
      </c>
      <c r="AK126" s="5" t="str">
        <f>IF(AI126=1,IF(J126&gt;0,1,0),"")</f>
        <v/>
      </c>
      <c r="AL126" s="5">
        <f>IF(AJ126=1,IF(OR(Q126&gt;0,R126&gt;0),1,0),"")</f>
        <v>1</v>
      </c>
    </row>
    <row r="127" spans="1:38">
      <c r="A127">
        <v>85150</v>
      </c>
      <c r="B127" t="s">
        <v>175</v>
      </c>
      <c r="C127" t="s">
        <v>23</v>
      </c>
      <c r="D127" t="s">
        <v>24</v>
      </c>
      <c r="E127">
        <v>58</v>
      </c>
      <c r="F127">
        <v>6000000</v>
      </c>
      <c r="G127" t="s">
        <v>25</v>
      </c>
      <c r="H127" t="s">
        <v>26</v>
      </c>
      <c r="I127" t="s">
        <v>26</v>
      </c>
      <c r="J127" t="s">
        <v>26</v>
      </c>
      <c r="K127" t="s">
        <v>26</v>
      </c>
      <c r="L127" t="s">
        <v>26</v>
      </c>
      <c r="M127" t="s">
        <v>26</v>
      </c>
      <c r="N127" t="s">
        <v>26</v>
      </c>
      <c r="O127" t="s">
        <v>26</v>
      </c>
      <c r="P127">
        <v>2</v>
      </c>
      <c r="Q127">
        <v>0</v>
      </c>
      <c r="R127">
        <v>1</v>
      </c>
      <c r="S127">
        <v>1</v>
      </c>
      <c r="T127">
        <v>0.33329999999999999</v>
      </c>
      <c r="U127">
        <v>3.4500000000000003E-2</v>
      </c>
      <c r="V127">
        <v>1</v>
      </c>
      <c r="W127">
        <f>E127/100</f>
        <v>0.57999999999999996</v>
      </c>
      <c r="X127">
        <f>F127/1000000</f>
        <v>6</v>
      </c>
      <c r="Y127">
        <f>IF(D127="C",1,0)</f>
        <v>0</v>
      </c>
      <c r="Z127">
        <f>IF(G127="C",1,0)</f>
        <v>0</v>
      </c>
      <c r="AA127">
        <f>IF(G127="S",1,0)</f>
        <v>1</v>
      </c>
      <c r="AB127">
        <f>IF(G127="U",1,0)</f>
        <v>0</v>
      </c>
      <c r="AC127" s="5">
        <f>IF(AND(ISNUMBER(H127),NOT(ISNUMBER(P127))),1,0)</f>
        <v>0</v>
      </c>
      <c r="AD127" s="5">
        <f>IF(AND(ISNUMBER(H127),ISNUMBER(P127)),1,0)</f>
        <v>0</v>
      </c>
      <c r="AE127" s="5">
        <f>W127</f>
        <v>0.57999999999999996</v>
      </c>
      <c r="AF127" s="5">
        <f>X127</f>
        <v>6</v>
      </c>
      <c r="AG127" s="5">
        <f>Y127</f>
        <v>0</v>
      </c>
      <c r="AH127" s="5">
        <f>IF(OR(G127="C",G127="S",G127="U"),1,0)</f>
        <v>1</v>
      </c>
      <c r="AI127" s="5">
        <f>IF(ISNUMBER(H127),1,0)</f>
        <v>0</v>
      </c>
      <c r="AJ127" s="5">
        <f>IF(ISNUMBER(P127),1,0)</f>
        <v>1</v>
      </c>
      <c r="AK127" s="5" t="str">
        <f>IF(AI127=1,IF(J127&gt;0,1,0),"")</f>
        <v/>
      </c>
      <c r="AL127" s="5">
        <f>IF(AJ127=1,IF(OR(Q127&gt;0,R127&gt;0),1,0),"")</f>
        <v>1</v>
      </c>
    </row>
    <row r="128" spans="1:38">
      <c r="A128">
        <v>85840</v>
      </c>
      <c r="B128" t="s">
        <v>176</v>
      </c>
      <c r="C128" t="s">
        <v>82</v>
      </c>
      <c r="D128" t="s">
        <v>24</v>
      </c>
      <c r="E128">
        <v>1</v>
      </c>
      <c r="F128">
        <v>10000</v>
      </c>
      <c r="G128" t="s">
        <v>25</v>
      </c>
      <c r="H128" t="s">
        <v>26</v>
      </c>
      <c r="I128" t="s">
        <v>26</v>
      </c>
      <c r="J128" t="s">
        <v>26</v>
      </c>
      <c r="K128" t="s">
        <v>26</v>
      </c>
      <c r="L128" t="s">
        <v>26</v>
      </c>
      <c r="M128" t="s">
        <v>26</v>
      </c>
      <c r="N128" t="s">
        <v>26</v>
      </c>
      <c r="O128" t="s">
        <v>26</v>
      </c>
      <c r="P128">
        <v>6</v>
      </c>
      <c r="Q128">
        <v>1</v>
      </c>
      <c r="R128">
        <v>4</v>
      </c>
      <c r="S128">
        <v>6</v>
      </c>
      <c r="T128">
        <v>600</v>
      </c>
      <c r="U128">
        <v>6</v>
      </c>
      <c r="V128">
        <v>1</v>
      </c>
      <c r="W128">
        <f>E128/100</f>
        <v>0.01</v>
      </c>
      <c r="X128">
        <f>F128/1000000</f>
        <v>0.01</v>
      </c>
      <c r="Y128">
        <f>IF(D128="C",1,0)</f>
        <v>0</v>
      </c>
      <c r="Z128">
        <f>IF(G128="C",1,0)</f>
        <v>0</v>
      </c>
      <c r="AA128">
        <f>IF(G128="S",1,0)</f>
        <v>1</v>
      </c>
      <c r="AB128">
        <f>IF(G128="U",1,0)</f>
        <v>0</v>
      </c>
      <c r="AC128" s="5">
        <f>IF(AND(ISNUMBER(H128),NOT(ISNUMBER(P128))),1,0)</f>
        <v>0</v>
      </c>
      <c r="AD128" s="5">
        <f>IF(AND(ISNUMBER(H128),ISNUMBER(P128)),1,0)</f>
        <v>0</v>
      </c>
      <c r="AE128" s="5">
        <f>W128</f>
        <v>0.01</v>
      </c>
      <c r="AF128" s="5">
        <f>X128</f>
        <v>0.01</v>
      </c>
      <c r="AG128" s="5">
        <f>Y128</f>
        <v>0</v>
      </c>
      <c r="AH128" s="5">
        <f>IF(OR(G128="C",G128="S",G128="U"),1,0)</f>
        <v>1</v>
      </c>
      <c r="AI128" s="5">
        <f>IF(ISNUMBER(H128),1,0)</f>
        <v>0</v>
      </c>
      <c r="AJ128" s="5">
        <f>IF(ISNUMBER(P128),1,0)</f>
        <v>1</v>
      </c>
      <c r="AK128" s="5" t="str">
        <f>IF(AI128=1,IF(J128&gt;0,1,0),"")</f>
        <v/>
      </c>
      <c r="AL128" s="5">
        <f>IF(AJ128=1,IF(OR(Q128&gt;0,R128&gt;0),1,0),"")</f>
        <v>1</v>
      </c>
    </row>
    <row r="129" spans="1:38">
      <c r="A129">
        <v>88323</v>
      </c>
      <c r="B129" t="s">
        <v>177</v>
      </c>
      <c r="C129" t="s">
        <v>23</v>
      </c>
      <c r="D129" t="s">
        <v>24</v>
      </c>
      <c r="E129">
        <v>75</v>
      </c>
      <c r="F129">
        <v>4179626</v>
      </c>
      <c r="G129" t="s">
        <v>25</v>
      </c>
      <c r="H129" t="s">
        <v>26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>
        <v>2</v>
      </c>
      <c r="Q129">
        <v>0</v>
      </c>
      <c r="R129">
        <v>0</v>
      </c>
      <c r="S129">
        <v>2</v>
      </c>
      <c r="T129">
        <v>0.47849999999999998</v>
      </c>
      <c r="U129">
        <v>2.6700000000000002E-2</v>
      </c>
      <c r="V129">
        <v>0</v>
      </c>
      <c r="W129">
        <f>E129/100</f>
        <v>0.75</v>
      </c>
      <c r="X129">
        <f>F129/1000000</f>
        <v>4.1796259999999998</v>
      </c>
      <c r="Y129">
        <f>IF(D129="C",1,0)</f>
        <v>0</v>
      </c>
      <c r="Z129">
        <f>IF(G129="C",1,0)</f>
        <v>0</v>
      </c>
      <c r="AA129">
        <f>IF(G129="S",1,0)</f>
        <v>1</v>
      </c>
      <c r="AB129">
        <f>IF(G129="U",1,0)</f>
        <v>0</v>
      </c>
      <c r="AC129" s="5">
        <f>IF(AND(ISNUMBER(H129),NOT(ISNUMBER(P129))),1,0)</f>
        <v>0</v>
      </c>
      <c r="AD129" s="5">
        <f>IF(AND(ISNUMBER(H129),ISNUMBER(P129)),1,0)</f>
        <v>0</v>
      </c>
      <c r="AE129" s="5">
        <f>W129</f>
        <v>0.75</v>
      </c>
      <c r="AF129" s="5">
        <f>X129</f>
        <v>4.1796259999999998</v>
      </c>
      <c r="AG129" s="5">
        <f>Y129</f>
        <v>0</v>
      </c>
      <c r="AH129" s="5">
        <f>IF(OR(G129="C",G129="S",G129="U"),1,0)</f>
        <v>1</v>
      </c>
      <c r="AI129" s="5">
        <f>IF(ISNUMBER(H129),1,0)</f>
        <v>0</v>
      </c>
      <c r="AJ129" s="5">
        <f>IF(ISNUMBER(P129),1,0)</f>
        <v>1</v>
      </c>
      <c r="AK129" s="5" t="str">
        <f>IF(AI129=1,IF(J129&gt;0,1,0),"")</f>
        <v/>
      </c>
      <c r="AL129" s="5">
        <f>IF(AJ129=1,IF(OR(Q129&gt;0,R129&gt;0),1,0),"")</f>
        <v>0</v>
      </c>
    </row>
    <row r="130" spans="1:38">
      <c r="A130">
        <v>88641</v>
      </c>
      <c r="B130" t="s">
        <v>178</v>
      </c>
      <c r="C130" t="s">
        <v>42</v>
      </c>
      <c r="D130" t="s">
        <v>24</v>
      </c>
      <c r="E130">
        <v>22</v>
      </c>
      <c r="F130">
        <v>964246</v>
      </c>
      <c r="G130" t="s">
        <v>25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>
        <v>1</v>
      </c>
      <c r="Q130">
        <v>0</v>
      </c>
      <c r="R130">
        <v>1</v>
      </c>
      <c r="S130">
        <v>1</v>
      </c>
      <c r="T130">
        <v>1.0370999999999999</v>
      </c>
      <c r="U130">
        <v>4.5499999999999999E-2</v>
      </c>
      <c r="V130">
        <v>1</v>
      </c>
      <c r="W130">
        <f>E130/100</f>
        <v>0.22</v>
      </c>
      <c r="X130">
        <f>F130/1000000</f>
        <v>0.96424600000000005</v>
      </c>
      <c r="Y130">
        <f>IF(D130="C",1,0)</f>
        <v>0</v>
      </c>
      <c r="Z130">
        <f>IF(G130="C",1,0)</f>
        <v>0</v>
      </c>
      <c r="AA130">
        <f>IF(G130="S",1,0)</f>
        <v>1</v>
      </c>
      <c r="AB130">
        <f>IF(G130="U",1,0)</f>
        <v>0</v>
      </c>
      <c r="AC130" s="5">
        <f>IF(AND(ISNUMBER(H130),NOT(ISNUMBER(P130))),1,0)</f>
        <v>0</v>
      </c>
      <c r="AD130" s="5">
        <f>IF(AND(ISNUMBER(H130),ISNUMBER(P130)),1,0)</f>
        <v>0</v>
      </c>
      <c r="AE130" s="5">
        <f>W130</f>
        <v>0.22</v>
      </c>
      <c r="AF130" s="5">
        <f>X130</f>
        <v>0.96424600000000005</v>
      </c>
      <c r="AG130" s="5">
        <f>Y130</f>
        <v>0</v>
      </c>
      <c r="AH130" s="5">
        <f>IF(OR(G130="C",G130="S",G130="U"),1,0)</f>
        <v>1</v>
      </c>
      <c r="AI130" s="5">
        <f>IF(ISNUMBER(H130),1,0)</f>
        <v>0</v>
      </c>
      <c r="AJ130" s="5">
        <f>IF(ISNUMBER(P130),1,0)</f>
        <v>1</v>
      </c>
      <c r="AK130" s="5" t="str">
        <f>IF(AI130=1,IF(J130&gt;0,1,0),"")</f>
        <v/>
      </c>
      <c r="AL130" s="5">
        <f>IF(AJ130=1,IF(OR(Q130&gt;0,R130&gt;0),1,0),"")</f>
        <v>1</v>
      </c>
    </row>
    <row r="131" spans="1:38">
      <c r="A131">
        <v>88788</v>
      </c>
      <c r="B131" t="s">
        <v>179</v>
      </c>
      <c r="C131" t="s">
        <v>30</v>
      </c>
      <c r="D131" t="s">
        <v>24</v>
      </c>
      <c r="E131">
        <v>8</v>
      </c>
      <c r="F131">
        <v>350737</v>
      </c>
      <c r="G131" t="s">
        <v>25</v>
      </c>
      <c r="H131" t="s">
        <v>26</v>
      </c>
      <c r="I131" t="s">
        <v>26</v>
      </c>
      <c r="J131" t="s">
        <v>26</v>
      </c>
      <c r="K131" t="s">
        <v>26</v>
      </c>
      <c r="L131" t="s">
        <v>26</v>
      </c>
      <c r="M131" t="s">
        <v>26</v>
      </c>
      <c r="N131" t="s">
        <v>26</v>
      </c>
      <c r="O131" t="s">
        <v>26</v>
      </c>
      <c r="P131">
        <v>1</v>
      </c>
      <c r="Q131">
        <v>0</v>
      </c>
      <c r="R131">
        <v>1</v>
      </c>
      <c r="S131">
        <v>1</v>
      </c>
      <c r="T131">
        <v>2.8511000000000002</v>
      </c>
      <c r="U131">
        <v>0.125</v>
      </c>
      <c r="V131">
        <v>1</v>
      </c>
      <c r="W131">
        <f>E131/100</f>
        <v>0.08</v>
      </c>
      <c r="X131">
        <f>F131/1000000</f>
        <v>0.35073700000000002</v>
      </c>
      <c r="Y131">
        <f>IF(D131="C",1,0)</f>
        <v>0</v>
      </c>
      <c r="Z131">
        <f>IF(G131="C",1,0)</f>
        <v>0</v>
      </c>
      <c r="AA131">
        <f>IF(G131="S",1,0)</f>
        <v>1</v>
      </c>
      <c r="AB131">
        <f>IF(G131="U",1,0)</f>
        <v>0</v>
      </c>
      <c r="AC131" s="5">
        <f>IF(AND(ISNUMBER(H131),NOT(ISNUMBER(P131))),1,0)</f>
        <v>0</v>
      </c>
      <c r="AD131" s="5">
        <f>IF(AND(ISNUMBER(H131),ISNUMBER(P131)),1,0)</f>
        <v>0</v>
      </c>
      <c r="AE131" s="5">
        <f>W131</f>
        <v>0.08</v>
      </c>
      <c r="AF131" s="5">
        <f>X131</f>
        <v>0.35073700000000002</v>
      </c>
      <c r="AG131" s="5">
        <f>Y131</f>
        <v>0</v>
      </c>
      <c r="AH131" s="5">
        <f>IF(OR(G131="C",G131="S",G131="U"),1,0)</f>
        <v>1</v>
      </c>
      <c r="AI131" s="5">
        <f>IF(ISNUMBER(H131),1,0)</f>
        <v>0</v>
      </c>
      <c r="AJ131" s="5">
        <f>IF(ISNUMBER(P131),1,0)</f>
        <v>1</v>
      </c>
      <c r="AK131" s="5" t="str">
        <f>IF(AI131=1,IF(J131&gt;0,1,0),"")</f>
        <v/>
      </c>
      <c r="AL131" s="5">
        <f>IF(AJ131=1,IF(OR(Q131&gt;0,R131&gt;0),1,0),"")</f>
        <v>1</v>
      </c>
    </row>
    <row r="132" spans="1:38">
      <c r="A132">
        <v>90768</v>
      </c>
      <c r="B132" t="s">
        <v>180</v>
      </c>
      <c r="C132" t="s">
        <v>181</v>
      </c>
      <c r="D132" t="s">
        <v>24</v>
      </c>
      <c r="E132">
        <v>2</v>
      </c>
      <c r="F132">
        <v>212509</v>
      </c>
      <c r="G132" t="s">
        <v>25</v>
      </c>
      <c r="H132" t="s">
        <v>26</v>
      </c>
      <c r="I132" t="s">
        <v>26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26</v>
      </c>
      <c r="P132">
        <v>1</v>
      </c>
      <c r="Q132">
        <v>0</v>
      </c>
      <c r="R132">
        <v>1</v>
      </c>
      <c r="S132">
        <v>1</v>
      </c>
      <c r="T132">
        <v>4.7057000000000002</v>
      </c>
      <c r="U132">
        <v>0.5</v>
      </c>
      <c r="V132">
        <v>1</v>
      </c>
      <c r="W132">
        <f>E132/100</f>
        <v>0.02</v>
      </c>
      <c r="X132">
        <f>F132/1000000</f>
        <v>0.212509</v>
      </c>
      <c r="Y132">
        <f>IF(D132="C",1,0)</f>
        <v>0</v>
      </c>
      <c r="Z132">
        <f>IF(G132="C",1,0)</f>
        <v>0</v>
      </c>
      <c r="AA132">
        <f>IF(G132="S",1,0)</f>
        <v>1</v>
      </c>
      <c r="AB132">
        <f>IF(G132="U",1,0)</f>
        <v>0</v>
      </c>
      <c r="AC132" s="5">
        <f>IF(AND(ISNUMBER(H132),NOT(ISNUMBER(P132))),1,0)</f>
        <v>0</v>
      </c>
      <c r="AD132" s="5">
        <f>IF(AND(ISNUMBER(H132),ISNUMBER(P132)),1,0)</f>
        <v>0</v>
      </c>
      <c r="AE132" s="5">
        <f>W132</f>
        <v>0.02</v>
      </c>
      <c r="AF132" s="5">
        <f>X132</f>
        <v>0.212509</v>
      </c>
      <c r="AG132" s="5">
        <f>Y132</f>
        <v>0</v>
      </c>
      <c r="AH132" s="5">
        <f>IF(OR(G132="C",G132="S",G132="U"),1,0)</f>
        <v>1</v>
      </c>
      <c r="AI132" s="5">
        <f>IF(ISNUMBER(H132),1,0)</f>
        <v>0</v>
      </c>
      <c r="AJ132" s="5">
        <f>IF(ISNUMBER(P132),1,0)</f>
        <v>1</v>
      </c>
      <c r="AK132" s="5" t="str">
        <f>IF(AI132=1,IF(J132&gt;0,1,0),"")</f>
        <v/>
      </c>
      <c r="AL132" s="5">
        <f>IF(AJ132=1,IF(OR(Q132&gt;0,R132&gt;0),1,0),"")</f>
        <v>1</v>
      </c>
    </row>
    <row r="133" spans="1:38">
      <c r="A133">
        <v>92250</v>
      </c>
      <c r="B133" t="s">
        <v>182</v>
      </c>
      <c r="C133" t="s">
        <v>183</v>
      </c>
      <c r="D133" t="s">
        <v>24</v>
      </c>
      <c r="E133">
        <v>3</v>
      </c>
      <c r="F133">
        <v>5000</v>
      </c>
      <c r="G133" t="s">
        <v>25</v>
      </c>
      <c r="H133" t="s">
        <v>26</v>
      </c>
      <c r="I133" t="s">
        <v>26</v>
      </c>
      <c r="J133" t="s">
        <v>26</v>
      </c>
      <c r="K133" t="s">
        <v>26</v>
      </c>
      <c r="L133" t="s">
        <v>26</v>
      </c>
      <c r="M133" t="s">
        <v>26</v>
      </c>
      <c r="N133" t="s">
        <v>26</v>
      </c>
      <c r="O133" t="s">
        <v>26</v>
      </c>
      <c r="P133">
        <v>1</v>
      </c>
      <c r="Q133">
        <v>0</v>
      </c>
      <c r="R133">
        <v>1</v>
      </c>
      <c r="S133">
        <v>1</v>
      </c>
      <c r="T133">
        <v>200</v>
      </c>
      <c r="U133">
        <v>0.33329999999999999</v>
      </c>
      <c r="V133">
        <v>1</v>
      </c>
      <c r="W133">
        <f>E133/100</f>
        <v>0.03</v>
      </c>
      <c r="X133">
        <f>F133/1000000</f>
        <v>5.0000000000000001E-3</v>
      </c>
      <c r="Y133">
        <f>IF(D133="C",1,0)</f>
        <v>0</v>
      </c>
      <c r="Z133">
        <f>IF(G133="C",1,0)</f>
        <v>0</v>
      </c>
      <c r="AA133">
        <f>IF(G133="S",1,0)</f>
        <v>1</v>
      </c>
      <c r="AB133">
        <f>IF(G133="U",1,0)</f>
        <v>0</v>
      </c>
      <c r="AC133" s="5">
        <f>IF(AND(ISNUMBER(H133),NOT(ISNUMBER(P133))),1,0)</f>
        <v>0</v>
      </c>
      <c r="AD133" s="5">
        <f>IF(AND(ISNUMBER(H133),ISNUMBER(P133)),1,0)</f>
        <v>0</v>
      </c>
      <c r="AE133" s="5">
        <f>W133</f>
        <v>0.03</v>
      </c>
      <c r="AF133" s="5">
        <f>X133</f>
        <v>5.0000000000000001E-3</v>
      </c>
      <c r="AG133" s="5">
        <f>Y133</f>
        <v>0</v>
      </c>
      <c r="AH133" s="5">
        <f>IF(OR(G133="C",G133="S",G133="U"),1,0)</f>
        <v>1</v>
      </c>
      <c r="AI133" s="5">
        <f>IF(ISNUMBER(H133),1,0)</f>
        <v>0</v>
      </c>
      <c r="AJ133" s="5">
        <f>IF(ISNUMBER(P133),1,0)</f>
        <v>1</v>
      </c>
      <c r="AK133" s="5" t="str">
        <f>IF(AI133=1,IF(J133&gt;0,1,0),"")</f>
        <v/>
      </c>
      <c r="AL133" s="5">
        <f>IF(AJ133=1,IF(OR(Q133&gt;0,R133&gt;0),1,0),"")</f>
        <v>1</v>
      </c>
    </row>
    <row r="134" spans="1:38">
      <c r="A134">
        <v>94318</v>
      </c>
      <c r="B134" t="s">
        <v>184</v>
      </c>
      <c r="C134" t="s">
        <v>37</v>
      </c>
      <c r="D134" t="s">
        <v>24</v>
      </c>
      <c r="E134">
        <v>127</v>
      </c>
      <c r="F134">
        <v>5158000</v>
      </c>
      <c r="G134" t="s">
        <v>25</v>
      </c>
      <c r="H134" t="s">
        <v>26</v>
      </c>
      <c r="I134" t="s">
        <v>26</v>
      </c>
      <c r="J134" t="s">
        <v>26</v>
      </c>
      <c r="K134" t="s">
        <v>26</v>
      </c>
      <c r="L134" t="s">
        <v>26</v>
      </c>
      <c r="M134" t="s">
        <v>26</v>
      </c>
      <c r="N134" t="s">
        <v>26</v>
      </c>
      <c r="O134" t="s">
        <v>26</v>
      </c>
      <c r="P134">
        <v>1</v>
      </c>
      <c r="Q134">
        <v>0</v>
      </c>
      <c r="R134">
        <v>0</v>
      </c>
      <c r="S134">
        <v>1</v>
      </c>
      <c r="T134">
        <v>0.19389999999999999</v>
      </c>
      <c r="U134">
        <v>7.9000000000000008E-3</v>
      </c>
      <c r="V134">
        <v>0</v>
      </c>
      <c r="W134">
        <f>E134/100</f>
        <v>1.27</v>
      </c>
      <c r="X134">
        <f>F134/1000000</f>
        <v>5.1580000000000004</v>
      </c>
      <c r="Y134">
        <f>IF(D134="C",1,0)</f>
        <v>0</v>
      </c>
      <c r="Z134">
        <f>IF(G134="C",1,0)</f>
        <v>0</v>
      </c>
      <c r="AA134">
        <f>IF(G134="S",1,0)</f>
        <v>1</v>
      </c>
      <c r="AB134">
        <f>IF(G134="U",1,0)</f>
        <v>0</v>
      </c>
      <c r="AC134" s="5">
        <f>IF(AND(ISNUMBER(H134),NOT(ISNUMBER(P134))),1,0)</f>
        <v>0</v>
      </c>
      <c r="AD134" s="5">
        <f>IF(AND(ISNUMBER(H134),ISNUMBER(P134)),1,0)</f>
        <v>0</v>
      </c>
      <c r="AE134" s="5">
        <f>W134</f>
        <v>1.27</v>
      </c>
      <c r="AF134" s="5">
        <f>X134</f>
        <v>5.1580000000000004</v>
      </c>
      <c r="AG134" s="5">
        <f>Y134</f>
        <v>0</v>
      </c>
      <c r="AH134" s="5">
        <f>IF(OR(G134="C",G134="S",G134="U"),1,0)</f>
        <v>1</v>
      </c>
      <c r="AI134" s="5">
        <f>IF(ISNUMBER(H134),1,0)</f>
        <v>0</v>
      </c>
      <c r="AJ134" s="5">
        <f>IF(ISNUMBER(P134),1,0)</f>
        <v>1</v>
      </c>
      <c r="AK134" s="5" t="str">
        <f>IF(AI134=1,IF(J134&gt;0,1,0),"")</f>
        <v/>
      </c>
      <c r="AL134" s="5">
        <f>IF(AJ134=1,IF(OR(Q134&gt;0,R134&gt;0),1,0),"")</f>
        <v>0</v>
      </c>
    </row>
    <row r="135" spans="1:38">
      <c r="A135">
        <v>97091</v>
      </c>
      <c r="B135" t="s">
        <v>185</v>
      </c>
      <c r="C135" t="s">
        <v>183</v>
      </c>
      <c r="D135" t="s">
        <v>24</v>
      </c>
      <c r="E135">
        <v>1</v>
      </c>
      <c r="F135">
        <v>145854</v>
      </c>
      <c r="G135" t="s">
        <v>33</v>
      </c>
      <c r="H135" t="s">
        <v>26</v>
      </c>
      <c r="I135" t="s">
        <v>26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26</v>
      </c>
      <c r="P135">
        <v>1</v>
      </c>
      <c r="Q135">
        <v>0</v>
      </c>
      <c r="R135">
        <v>0</v>
      </c>
      <c r="S135">
        <v>1</v>
      </c>
      <c r="T135">
        <v>6.8562000000000003</v>
      </c>
      <c r="U135">
        <v>1</v>
      </c>
      <c r="V135">
        <v>0</v>
      </c>
      <c r="W135">
        <f>E135/100</f>
        <v>0.01</v>
      </c>
      <c r="X135">
        <f>F135/1000000</f>
        <v>0.14585400000000001</v>
      </c>
      <c r="Y135">
        <f>IF(D135="C",1,0)</f>
        <v>0</v>
      </c>
      <c r="Z135">
        <f>IF(G135="C",1,0)</f>
        <v>1</v>
      </c>
      <c r="AA135">
        <f>IF(G135="S",1,0)</f>
        <v>0</v>
      </c>
      <c r="AB135">
        <f>IF(G135="U",1,0)</f>
        <v>0</v>
      </c>
      <c r="AC135" s="5">
        <f>IF(AND(ISNUMBER(H135),NOT(ISNUMBER(P135))),1,0)</f>
        <v>0</v>
      </c>
      <c r="AD135" s="5">
        <f>IF(AND(ISNUMBER(H135),ISNUMBER(P135)),1,0)</f>
        <v>0</v>
      </c>
      <c r="AE135" s="5">
        <f>W135</f>
        <v>0.01</v>
      </c>
      <c r="AF135" s="5">
        <f>X135</f>
        <v>0.14585400000000001</v>
      </c>
      <c r="AG135" s="5">
        <f>Y135</f>
        <v>0</v>
      </c>
      <c r="AH135" s="5">
        <f>IF(OR(G135="C",G135="S",G135="U"),1,0)</f>
        <v>1</v>
      </c>
      <c r="AI135" s="5">
        <f>IF(ISNUMBER(H135),1,0)</f>
        <v>0</v>
      </c>
      <c r="AJ135" s="5">
        <f>IF(ISNUMBER(P135),1,0)</f>
        <v>1</v>
      </c>
      <c r="AK135" s="5" t="str">
        <f>IF(AI135=1,IF(J135&gt;0,1,0),"")</f>
        <v/>
      </c>
      <c r="AL135" s="5">
        <f>IF(AJ135=1,IF(OR(Q135&gt;0,R135&gt;0),1,0),"")</f>
        <v>0</v>
      </c>
    </row>
    <row r="136" spans="1:38">
      <c r="A136">
        <v>97758</v>
      </c>
      <c r="B136" t="s">
        <v>186</v>
      </c>
      <c r="C136" t="s">
        <v>23</v>
      </c>
      <c r="D136" t="s">
        <v>24</v>
      </c>
      <c r="E136">
        <v>2</v>
      </c>
      <c r="F136">
        <v>1200</v>
      </c>
      <c r="G136" t="s">
        <v>25</v>
      </c>
      <c r="H136" t="s">
        <v>26</v>
      </c>
      <c r="I136" t="s">
        <v>26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>
        <v>1</v>
      </c>
      <c r="Q136">
        <v>0</v>
      </c>
      <c r="R136">
        <v>0</v>
      </c>
      <c r="S136">
        <v>1</v>
      </c>
      <c r="T136">
        <v>833.33330000000001</v>
      </c>
      <c r="U136">
        <v>0.5</v>
      </c>
      <c r="V136">
        <v>0</v>
      </c>
      <c r="W136">
        <f>E136/100</f>
        <v>0.02</v>
      </c>
      <c r="X136">
        <f>F136/1000000</f>
        <v>1.1999999999999999E-3</v>
      </c>
      <c r="Y136">
        <f>IF(D136="C",1,0)</f>
        <v>0</v>
      </c>
      <c r="Z136">
        <f>IF(G136="C",1,0)</f>
        <v>0</v>
      </c>
      <c r="AA136">
        <f>IF(G136="S",1,0)</f>
        <v>1</v>
      </c>
      <c r="AB136">
        <f>IF(G136="U",1,0)</f>
        <v>0</v>
      </c>
      <c r="AC136" s="5">
        <f>IF(AND(ISNUMBER(H136),NOT(ISNUMBER(P136))),1,0)</f>
        <v>0</v>
      </c>
      <c r="AD136" s="5">
        <f>IF(AND(ISNUMBER(H136),ISNUMBER(P136)),1,0)</f>
        <v>0</v>
      </c>
      <c r="AE136" s="5">
        <f>W136</f>
        <v>0.02</v>
      </c>
      <c r="AF136" s="5">
        <f>X136</f>
        <v>1.1999999999999999E-3</v>
      </c>
      <c r="AG136" s="5">
        <f>Y136</f>
        <v>0</v>
      </c>
      <c r="AH136" s="5">
        <f>IF(OR(G136="C",G136="S",G136="U"),1,0)</f>
        <v>1</v>
      </c>
      <c r="AI136" s="5">
        <f>IF(ISNUMBER(H136),1,0)</f>
        <v>0</v>
      </c>
      <c r="AJ136" s="5">
        <f>IF(ISNUMBER(P136),1,0)</f>
        <v>1</v>
      </c>
      <c r="AK136" s="5" t="str">
        <f>IF(AI136=1,IF(J136&gt;0,1,0),"")</f>
        <v/>
      </c>
      <c r="AL136" s="5">
        <f>IF(AJ136=1,IF(OR(Q136&gt;0,R136&gt;0),1,0),"")</f>
        <v>0</v>
      </c>
    </row>
    <row r="137" spans="1:38">
      <c r="A137">
        <v>98052</v>
      </c>
      <c r="B137" t="s">
        <v>187</v>
      </c>
      <c r="C137" t="s">
        <v>23</v>
      </c>
      <c r="D137" t="s">
        <v>24</v>
      </c>
      <c r="E137">
        <v>16</v>
      </c>
      <c r="F137">
        <v>1226092</v>
      </c>
      <c r="G137" t="s">
        <v>33</v>
      </c>
      <c r="H137" t="s">
        <v>26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>
        <v>1</v>
      </c>
      <c r="Q137">
        <v>0</v>
      </c>
      <c r="R137">
        <v>0</v>
      </c>
      <c r="S137">
        <v>1</v>
      </c>
      <c r="T137">
        <v>0.81559999999999999</v>
      </c>
      <c r="U137">
        <v>6.25E-2</v>
      </c>
      <c r="V137">
        <v>0</v>
      </c>
      <c r="W137">
        <f>E137/100</f>
        <v>0.16</v>
      </c>
      <c r="X137">
        <f>F137/1000000</f>
        <v>1.226092</v>
      </c>
      <c r="Y137">
        <f>IF(D137="C",1,0)</f>
        <v>0</v>
      </c>
      <c r="Z137">
        <f>IF(G137="C",1,0)</f>
        <v>1</v>
      </c>
      <c r="AA137">
        <f>IF(G137="S",1,0)</f>
        <v>0</v>
      </c>
      <c r="AB137">
        <f>IF(G137="U",1,0)</f>
        <v>0</v>
      </c>
      <c r="AC137" s="5">
        <f>IF(AND(ISNUMBER(H137),NOT(ISNUMBER(P137))),1,0)</f>
        <v>0</v>
      </c>
      <c r="AD137" s="5">
        <f>IF(AND(ISNUMBER(H137),ISNUMBER(P137)),1,0)</f>
        <v>0</v>
      </c>
      <c r="AE137" s="5">
        <f>W137</f>
        <v>0.16</v>
      </c>
      <c r="AF137" s="5">
        <f>X137</f>
        <v>1.226092</v>
      </c>
      <c r="AG137" s="5">
        <f>Y137</f>
        <v>0</v>
      </c>
      <c r="AH137" s="5">
        <f>IF(OR(G137="C",G137="S",G137="U"),1,0)</f>
        <v>1</v>
      </c>
      <c r="AI137" s="5">
        <f>IF(ISNUMBER(H137),1,0)</f>
        <v>0</v>
      </c>
      <c r="AJ137" s="5">
        <f>IF(ISNUMBER(P137),1,0)</f>
        <v>1</v>
      </c>
      <c r="AK137" s="5" t="str">
        <f>IF(AI137=1,IF(J137&gt;0,1,0),"")</f>
        <v/>
      </c>
      <c r="AL137" s="5">
        <f>IF(AJ137=1,IF(OR(Q137&gt;0,R137&gt;0),1,0),"")</f>
        <v>0</v>
      </c>
    </row>
    <row r="138" spans="1:38">
      <c r="A138">
        <v>98069</v>
      </c>
      <c r="B138" t="s">
        <v>188</v>
      </c>
      <c r="C138" t="s">
        <v>23</v>
      </c>
      <c r="D138" t="s">
        <v>24</v>
      </c>
      <c r="E138">
        <v>55</v>
      </c>
      <c r="F138">
        <v>2491061</v>
      </c>
      <c r="G138" t="s">
        <v>25</v>
      </c>
      <c r="H138" t="s">
        <v>26</v>
      </c>
      <c r="I138" t="s">
        <v>26</v>
      </c>
      <c r="J138" t="s">
        <v>26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>
        <v>2</v>
      </c>
      <c r="Q138">
        <v>0</v>
      </c>
      <c r="R138">
        <v>1</v>
      </c>
      <c r="S138">
        <v>2</v>
      </c>
      <c r="T138">
        <v>0.80289999999999995</v>
      </c>
      <c r="U138">
        <v>3.6400000000000002E-2</v>
      </c>
      <c r="V138">
        <v>1</v>
      </c>
      <c r="W138">
        <f>E138/100</f>
        <v>0.55000000000000004</v>
      </c>
      <c r="X138">
        <f>F138/1000000</f>
        <v>2.4910610000000002</v>
      </c>
      <c r="Y138">
        <f>IF(D138="C",1,0)</f>
        <v>0</v>
      </c>
      <c r="Z138">
        <f>IF(G138="C",1,0)</f>
        <v>0</v>
      </c>
      <c r="AA138">
        <f>IF(G138="S",1,0)</f>
        <v>1</v>
      </c>
      <c r="AB138">
        <f>IF(G138="U",1,0)</f>
        <v>0</v>
      </c>
      <c r="AC138" s="5">
        <f>IF(AND(ISNUMBER(H138),NOT(ISNUMBER(P138))),1,0)</f>
        <v>0</v>
      </c>
      <c r="AD138" s="5">
        <f>IF(AND(ISNUMBER(H138),ISNUMBER(P138)),1,0)</f>
        <v>0</v>
      </c>
      <c r="AE138" s="5">
        <f>W138</f>
        <v>0.55000000000000004</v>
      </c>
      <c r="AF138" s="5">
        <f>X138</f>
        <v>2.4910610000000002</v>
      </c>
      <c r="AG138" s="5">
        <f>Y138</f>
        <v>0</v>
      </c>
      <c r="AH138" s="5">
        <f>IF(OR(G138="C",G138="S",G138="U"),1,0)</f>
        <v>1</v>
      </c>
      <c r="AI138" s="5">
        <f>IF(ISNUMBER(H138),1,0)</f>
        <v>0</v>
      </c>
      <c r="AJ138" s="5">
        <f>IF(ISNUMBER(P138),1,0)</f>
        <v>1</v>
      </c>
      <c r="AK138" s="5" t="str">
        <f>IF(AI138=1,IF(J138&gt;0,1,0),"")</f>
        <v/>
      </c>
      <c r="AL138" s="5">
        <f>IF(AJ138=1,IF(OR(Q138&gt;0,R138&gt;0),1,0),"")</f>
        <v>1</v>
      </c>
    </row>
    <row r="139" spans="1:38">
      <c r="A139">
        <v>98733</v>
      </c>
      <c r="B139" t="s">
        <v>189</v>
      </c>
      <c r="C139" t="s">
        <v>190</v>
      </c>
      <c r="D139" t="s">
        <v>24</v>
      </c>
      <c r="E139">
        <v>30</v>
      </c>
      <c r="F139">
        <v>4445000</v>
      </c>
      <c r="G139" t="s">
        <v>25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>
        <v>1</v>
      </c>
      <c r="Q139">
        <v>0</v>
      </c>
      <c r="R139">
        <v>1</v>
      </c>
      <c r="S139">
        <v>1</v>
      </c>
      <c r="T139">
        <v>0.22500000000000001</v>
      </c>
      <c r="U139">
        <v>3.3300000000000003E-2</v>
      </c>
      <c r="V139">
        <v>1</v>
      </c>
      <c r="W139">
        <f>E139/100</f>
        <v>0.3</v>
      </c>
      <c r="X139">
        <f>F139/1000000</f>
        <v>4.4450000000000003</v>
      </c>
      <c r="Y139">
        <f>IF(D139="C",1,0)</f>
        <v>0</v>
      </c>
      <c r="Z139">
        <f>IF(G139="C",1,0)</f>
        <v>0</v>
      </c>
      <c r="AA139">
        <f>IF(G139="S",1,0)</f>
        <v>1</v>
      </c>
      <c r="AB139">
        <f>IF(G139="U",1,0)</f>
        <v>0</v>
      </c>
      <c r="AC139" s="5">
        <f>IF(AND(ISNUMBER(H139),NOT(ISNUMBER(P139))),1,0)</f>
        <v>0</v>
      </c>
      <c r="AD139" s="5">
        <f>IF(AND(ISNUMBER(H139),ISNUMBER(P139)),1,0)</f>
        <v>0</v>
      </c>
      <c r="AE139" s="5">
        <f>W139</f>
        <v>0.3</v>
      </c>
      <c r="AF139" s="5">
        <f>X139</f>
        <v>4.4450000000000003</v>
      </c>
      <c r="AG139" s="5">
        <f>Y139</f>
        <v>0</v>
      </c>
      <c r="AH139" s="5">
        <f>IF(OR(G139="C",G139="S",G139="U"),1,0)</f>
        <v>1</v>
      </c>
      <c r="AI139" s="5">
        <f>IF(ISNUMBER(H139),1,0)</f>
        <v>0</v>
      </c>
      <c r="AJ139" s="5">
        <f>IF(ISNUMBER(P139),1,0)</f>
        <v>1</v>
      </c>
      <c r="AK139" s="5" t="str">
        <f>IF(AI139=1,IF(J139&gt;0,1,0),"")</f>
        <v/>
      </c>
      <c r="AL139" s="5">
        <f>IF(AJ139=1,IF(OR(Q139&gt;0,R139&gt;0),1,0),"")</f>
        <v>1</v>
      </c>
    </row>
    <row r="140" spans="1:38">
      <c r="A140">
        <v>101327</v>
      </c>
      <c r="B140" t="s">
        <v>191</v>
      </c>
      <c r="C140" t="s">
        <v>23</v>
      </c>
      <c r="D140" t="s">
        <v>24</v>
      </c>
      <c r="E140">
        <v>28</v>
      </c>
      <c r="F140">
        <v>74358</v>
      </c>
      <c r="G140" t="s">
        <v>25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>
        <v>1</v>
      </c>
      <c r="Q140">
        <v>0</v>
      </c>
      <c r="R140">
        <v>0</v>
      </c>
      <c r="S140">
        <v>0</v>
      </c>
      <c r="T140">
        <v>13.448499999999999</v>
      </c>
      <c r="U140">
        <v>3.5700000000000003E-2</v>
      </c>
      <c r="V140">
        <v>0</v>
      </c>
      <c r="W140">
        <f>E140/100</f>
        <v>0.28000000000000003</v>
      </c>
      <c r="X140">
        <f>F140/1000000</f>
        <v>7.4357999999999994E-2</v>
      </c>
      <c r="Y140">
        <f>IF(D140="C",1,0)</f>
        <v>0</v>
      </c>
      <c r="Z140">
        <f>IF(G140="C",1,0)</f>
        <v>0</v>
      </c>
      <c r="AA140">
        <f>IF(G140="S",1,0)</f>
        <v>1</v>
      </c>
      <c r="AB140">
        <f>IF(G140="U",1,0)</f>
        <v>0</v>
      </c>
      <c r="AC140" s="5">
        <f>IF(AND(ISNUMBER(H140),NOT(ISNUMBER(P140))),1,0)</f>
        <v>0</v>
      </c>
      <c r="AD140" s="5">
        <f>IF(AND(ISNUMBER(H140),ISNUMBER(P140)),1,0)</f>
        <v>0</v>
      </c>
      <c r="AE140" s="5">
        <f>W140</f>
        <v>0.28000000000000003</v>
      </c>
      <c r="AF140" s="5">
        <f>X140</f>
        <v>7.4357999999999994E-2</v>
      </c>
      <c r="AG140" s="5">
        <f>Y140</f>
        <v>0</v>
      </c>
      <c r="AH140" s="5">
        <f>IF(OR(G140="C",G140="S",G140="U"),1,0)</f>
        <v>1</v>
      </c>
      <c r="AI140" s="5">
        <f>IF(ISNUMBER(H140),1,0)</f>
        <v>0</v>
      </c>
      <c r="AJ140" s="5">
        <f>IF(ISNUMBER(P140),1,0)</f>
        <v>1</v>
      </c>
      <c r="AK140" s="5" t="str">
        <f>IF(AI140=1,IF(J140&gt;0,1,0),"")</f>
        <v/>
      </c>
      <c r="AL140" s="5">
        <f>IF(AJ140=1,IF(OR(Q140&gt;0,R140&gt;0),1,0),"")</f>
        <v>0</v>
      </c>
    </row>
    <row r="141" spans="1:38">
      <c r="A141">
        <v>101997</v>
      </c>
      <c r="B141" t="s">
        <v>192</v>
      </c>
      <c r="C141" t="s">
        <v>84</v>
      </c>
      <c r="D141" t="s">
        <v>24</v>
      </c>
      <c r="E141">
        <v>2</v>
      </c>
      <c r="F141">
        <v>61980</v>
      </c>
      <c r="H141" t="s">
        <v>26</v>
      </c>
      <c r="I141" t="s">
        <v>26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>
        <v>1</v>
      </c>
      <c r="Q141">
        <v>0</v>
      </c>
      <c r="R141">
        <v>0</v>
      </c>
      <c r="S141">
        <v>1</v>
      </c>
      <c r="T141">
        <v>16.1342</v>
      </c>
      <c r="U141">
        <v>0.5</v>
      </c>
      <c r="V141">
        <v>0</v>
      </c>
      <c r="W141">
        <f>E141/100</f>
        <v>0.02</v>
      </c>
      <c r="X141">
        <f>F141/1000000</f>
        <v>6.198E-2</v>
      </c>
      <c r="Y141">
        <f>IF(D141="C",1,0)</f>
        <v>0</v>
      </c>
      <c r="Z141">
        <f>IF(G141="C",1,0)</f>
        <v>0</v>
      </c>
      <c r="AA141">
        <f>IF(G141="S",1,0)</f>
        <v>0</v>
      </c>
      <c r="AB141">
        <f>IF(G141="U",1,0)</f>
        <v>0</v>
      </c>
      <c r="AC141" s="5">
        <f>IF(AND(ISNUMBER(H141),NOT(ISNUMBER(P141))),1,0)</f>
        <v>0</v>
      </c>
      <c r="AD141" s="5">
        <f>IF(AND(ISNUMBER(H141),ISNUMBER(P141)),1,0)</f>
        <v>0</v>
      </c>
      <c r="AE141" s="5">
        <f>W141</f>
        <v>0.02</v>
      </c>
      <c r="AF141" s="5">
        <f>X141</f>
        <v>6.198E-2</v>
      </c>
      <c r="AG141" s="5">
        <f>Y141</f>
        <v>0</v>
      </c>
      <c r="AH141" s="5">
        <f>IF(OR(G141="C",G141="S",G141="U"),1,0)</f>
        <v>0</v>
      </c>
      <c r="AI141" s="5">
        <f>IF(ISNUMBER(H141),1,0)</f>
        <v>0</v>
      </c>
      <c r="AJ141" s="5">
        <f>IF(ISNUMBER(P141),1,0)</f>
        <v>1</v>
      </c>
      <c r="AK141" s="5" t="str">
        <f>IF(AI141=1,IF(J141&gt;0,1,0),"")</f>
        <v/>
      </c>
      <c r="AL141" s="5">
        <f>IF(AJ141=1,IF(OR(Q141&gt;0,R141&gt;0),1,0),"")</f>
        <v>0</v>
      </c>
    </row>
    <row r="142" spans="1:38">
      <c r="A142">
        <v>102352</v>
      </c>
      <c r="B142" t="s">
        <v>193</v>
      </c>
      <c r="C142" t="s">
        <v>37</v>
      </c>
      <c r="D142" t="s">
        <v>24</v>
      </c>
      <c r="E142">
        <v>3</v>
      </c>
      <c r="F142">
        <v>173000</v>
      </c>
      <c r="G142" t="s">
        <v>33</v>
      </c>
      <c r="H142" t="s">
        <v>26</v>
      </c>
      <c r="I142" t="s">
        <v>26</v>
      </c>
      <c r="J142" t="s">
        <v>26</v>
      </c>
      <c r="K142" t="s">
        <v>26</v>
      </c>
      <c r="L142" t="s">
        <v>26</v>
      </c>
      <c r="M142" t="s">
        <v>26</v>
      </c>
      <c r="N142" t="s">
        <v>26</v>
      </c>
      <c r="O142" t="s">
        <v>26</v>
      </c>
      <c r="P142">
        <v>1</v>
      </c>
      <c r="Q142">
        <v>0</v>
      </c>
      <c r="R142">
        <v>0</v>
      </c>
      <c r="S142">
        <v>1</v>
      </c>
      <c r="T142">
        <v>5.7803000000000004</v>
      </c>
      <c r="U142">
        <v>0.33329999999999999</v>
      </c>
      <c r="V142">
        <v>0</v>
      </c>
      <c r="W142">
        <f>E142/100</f>
        <v>0.03</v>
      </c>
      <c r="X142">
        <f>F142/1000000</f>
        <v>0.17299999999999999</v>
      </c>
      <c r="Y142">
        <f>IF(D142="C",1,0)</f>
        <v>0</v>
      </c>
      <c r="Z142">
        <f>IF(G142="C",1,0)</f>
        <v>1</v>
      </c>
      <c r="AA142">
        <f>IF(G142="S",1,0)</f>
        <v>0</v>
      </c>
      <c r="AB142">
        <f>IF(G142="U",1,0)</f>
        <v>0</v>
      </c>
      <c r="AC142" s="5">
        <f>IF(AND(ISNUMBER(H142),NOT(ISNUMBER(P142))),1,0)</f>
        <v>0</v>
      </c>
      <c r="AD142" s="5">
        <f>IF(AND(ISNUMBER(H142),ISNUMBER(P142)),1,0)</f>
        <v>0</v>
      </c>
      <c r="AE142" s="5">
        <f>W142</f>
        <v>0.03</v>
      </c>
      <c r="AF142" s="5">
        <f>X142</f>
        <v>0.17299999999999999</v>
      </c>
      <c r="AG142" s="5">
        <f>Y142</f>
        <v>0</v>
      </c>
      <c r="AH142" s="5">
        <f>IF(OR(G142="C",G142="S",G142="U"),1,0)</f>
        <v>1</v>
      </c>
      <c r="AI142" s="5">
        <f>IF(ISNUMBER(H142),1,0)</f>
        <v>0</v>
      </c>
      <c r="AJ142" s="5">
        <f>IF(ISNUMBER(P142),1,0)</f>
        <v>1</v>
      </c>
      <c r="AK142" s="5" t="str">
        <f>IF(AI142=1,IF(J142&gt;0,1,0),"")</f>
        <v/>
      </c>
      <c r="AL142" s="5">
        <f>IF(AJ142=1,IF(OR(Q142&gt;0,R142&gt;0),1,0),"")</f>
        <v>0</v>
      </c>
    </row>
    <row r="143" spans="1:38">
      <c r="A143">
        <v>102526</v>
      </c>
      <c r="B143" t="s">
        <v>195</v>
      </c>
      <c r="C143" t="s">
        <v>37</v>
      </c>
      <c r="D143" t="s">
        <v>24</v>
      </c>
      <c r="E143">
        <v>4</v>
      </c>
      <c r="F143">
        <v>261356</v>
      </c>
      <c r="H143" t="s">
        <v>26</v>
      </c>
      <c r="I143" t="s">
        <v>26</v>
      </c>
      <c r="J143" t="s">
        <v>26</v>
      </c>
      <c r="K143" t="s">
        <v>26</v>
      </c>
      <c r="L143" t="s">
        <v>26</v>
      </c>
      <c r="M143" t="s">
        <v>26</v>
      </c>
      <c r="N143" t="s">
        <v>26</v>
      </c>
      <c r="O143" t="s">
        <v>26</v>
      </c>
      <c r="P143">
        <v>1</v>
      </c>
      <c r="Q143">
        <v>0</v>
      </c>
      <c r="R143">
        <v>0</v>
      </c>
      <c r="S143">
        <v>1</v>
      </c>
      <c r="T143">
        <v>3.8262</v>
      </c>
      <c r="U143">
        <v>0.25</v>
      </c>
      <c r="V143">
        <v>0</v>
      </c>
      <c r="W143">
        <f>E143/100</f>
        <v>0.04</v>
      </c>
      <c r="X143">
        <f>F143/1000000</f>
        <v>0.26135599999999998</v>
      </c>
      <c r="Y143">
        <f>IF(D143="C",1,0)</f>
        <v>0</v>
      </c>
      <c r="Z143">
        <f>IF(G143="C",1,0)</f>
        <v>0</v>
      </c>
      <c r="AA143">
        <f>IF(G143="S",1,0)</f>
        <v>0</v>
      </c>
      <c r="AB143">
        <f>IF(G143="U",1,0)</f>
        <v>0</v>
      </c>
      <c r="AC143" s="5">
        <f>IF(AND(ISNUMBER(H143),NOT(ISNUMBER(P143))),1,0)</f>
        <v>0</v>
      </c>
      <c r="AD143" s="5">
        <f>IF(AND(ISNUMBER(H143),ISNUMBER(P143)),1,0)</f>
        <v>0</v>
      </c>
      <c r="AE143" s="5">
        <f>W143</f>
        <v>0.04</v>
      </c>
      <c r="AF143" s="5">
        <f>X143</f>
        <v>0.26135599999999998</v>
      </c>
      <c r="AG143" s="5">
        <f>Y143</f>
        <v>0</v>
      </c>
      <c r="AH143" s="5">
        <f>IF(OR(G143="C",G143="S",G143="U"),1,0)</f>
        <v>0</v>
      </c>
      <c r="AI143" s="5">
        <f>IF(ISNUMBER(H143),1,0)</f>
        <v>0</v>
      </c>
      <c r="AJ143" s="5">
        <f>IF(ISNUMBER(P143),1,0)</f>
        <v>1</v>
      </c>
      <c r="AK143" s="5" t="str">
        <f>IF(AI143=1,IF(J143&gt;0,1,0),"")</f>
        <v/>
      </c>
      <c r="AL143" s="5">
        <f>IF(AJ143=1,IF(OR(Q143&gt;0,R143&gt;0),1,0),"")</f>
        <v>0</v>
      </c>
    </row>
    <row r="144" spans="1:38">
      <c r="A144">
        <v>102871</v>
      </c>
      <c r="B144" t="s">
        <v>196</v>
      </c>
      <c r="C144" t="s">
        <v>37</v>
      </c>
      <c r="D144" t="s">
        <v>24</v>
      </c>
      <c r="E144">
        <v>27</v>
      </c>
      <c r="F144">
        <v>2503543</v>
      </c>
      <c r="G144" t="s">
        <v>25</v>
      </c>
      <c r="H144" t="s">
        <v>26</v>
      </c>
      <c r="I144" t="s">
        <v>26</v>
      </c>
      <c r="J144" t="s">
        <v>26</v>
      </c>
      <c r="K144" t="s">
        <v>26</v>
      </c>
      <c r="L144" t="s">
        <v>26</v>
      </c>
      <c r="M144" t="s">
        <v>26</v>
      </c>
      <c r="N144" t="s">
        <v>26</v>
      </c>
      <c r="O144" t="s">
        <v>26</v>
      </c>
      <c r="P144">
        <v>1</v>
      </c>
      <c r="Q144">
        <v>0</v>
      </c>
      <c r="R144">
        <v>0</v>
      </c>
      <c r="S144">
        <v>1</v>
      </c>
      <c r="T144">
        <v>0.39939999999999998</v>
      </c>
      <c r="U144">
        <v>3.6999999999999998E-2</v>
      </c>
      <c r="V144">
        <v>0</v>
      </c>
      <c r="W144">
        <f>E144/100</f>
        <v>0.27</v>
      </c>
      <c r="X144">
        <f>F144/1000000</f>
        <v>2.5035430000000001</v>
      </c>
      <c r="Y144">
        <f>IF(D144="C",1,0)</f>
        <v>0</v>
      </c>
      <c r="Z144">
        <f>IF(G144="C",1,0)</f>
        <v>0</v>
      </c>
      <c r="AA144">
        <f>IF(G144="S",1,0)</f>
        <v>1</v>
      </c>
      <c r="AB144">
        <f>IF(G144="U",1,0)</f>
        <v>0</v>
      </c>
      <c r="AC144" s="5">
        <f>IF(AND(ISNUMBER(H144),NOT(ISNUMBER(P144))),1,0)</f>
        <v>0</v>
      </c>
      <c r="AD144" s="5">
        <f>IF(AND(ISNUMBER(H144),ISNUMBER(P144)),1,0)</f>
        <v>0</v>
      </c>
      <c r="AE144" s="5">
        <f>W144</f>
        <v>0.27</v>
      </c>
      <c r="AF144" s="5">
        <f>X144</f>
        <v>2.5035430000000001</v>
      </c>
      <c r="AG144" s="5">
        <f>Y144</f>
        <v>0</v>
      </c>
      <c r="AH144" s="5">
        <f>IF(OR(G144="C",G144="S",G144="U"),1,0)</f>
        <v>1</v>
      </c>
      <c r="AI144" s="5">
        <f>IF(ISNUMBER(H144),1,0)</f>
        <v>0</v>
      </c>
      <c r="AJ144" s="5">
        <f>IF(ISNUMBER(P144),1,0)</f>
        <v>1</v>
      </c>
      <c r="AK144" s="5" t="str">
        <f>IF(AI144=1,IF(J144&gt;0,1,0),"")</f>
        <v/>
      </c>
      <c r="AL144" s="5">
        <f>IF(AJ144=1,IF(OR(Q144&gt;0,R144&gt;0),1,0),"")</f>
        <v>0</v>
      </c>
    </row>
    <row r="145" spans="1:38">
      <c r="A145">
        <v>103544</v>
      </c>
      <c r="B145" t="s">
        <v>197</v>
      </c>
      <c r="C145" t="s">
        <v>77</v>
      </c>
      <c r="D145" t="s">
        <v>24</v>
      </c>
      <c r="E145">
        <v>125</v>
      </c>
      <c r="F145">
        <v>7447032</v>
      </c>
      <c r="G145" t="s">
        <v>25</v>
      </c>
      <c r="H145" t="s">
        <v>26</v>
      </c>
      <c r="I145" t="s">
        <v>26</v>
      </c>
      <c r="J145" t="s">
        <v>26</v>
      </c>
      <c r="K145" t="s">
        <v>26</v>
      </c>
      <c r="L145" t="s">
        <v>26</v>
      </c>
      <c r="M145" t="s">
        <v>26</v>
      </c>
      <c r="N145" t="s">
        <v>26</v>
      </c>
      <c r="O145" t="s">
        <v>26</v>
      </c>
      <c r="P145">
        <v>1</v>
      </c>
      <c r="Q145">
        <v>0</v>
      </c>
      <c r="R145">
        <v>0</v>
      </c>
      <c r="S145">
        <v>1</v>
      </c>
      <c r="T145">
        <v>0.1343</v>
      </c>
      <c r="U145">
        <v>8.0000000000000002E-3</v>
      </c>
      <c r="V145">
        <v>0</v>
      </c>
      <c r="W145">
        <f>E145/100</f>
        <v>1.25</v>
      </c>
      <c r="X145">
        <f>F145/1000000</f>
        <v>7.4470320000000001</v>
      </c>
      <c r="Y145">
        <f>IF(D145="C",1,0)</f>
        <v>0</v>
      </c>
      <c r="Z145">
        <f>IF(G145="C",1,0)</f>
        <v>0</v>
      </c>
      <c r="AA145">
        <f>IF(G145="S",1,0)</f>
        <v>1</v>
      </c>
      <c r="AB145">
        <f>IF(G145="U",1,0)</f>
        <v>0</v>
      </c>
      <c r="AC145" s="5">
        <f>IF(AND(ISNUMBER(H145),NOT(ISNUMBER(P145))),1,0)</f>
        <v>0</v>
      </c>
      <c r="AD145" s="5">
        <f>IF(AND(ISNUMBER(H145),ISNUMBER(P145)),1,0)</f>
        <v>0</v>
      </c>
      <c r="AE145" s="5">
        <f>W145</f>
        <v>1.25</v>
      </c>
      <c r="AF145" s="5">
        <f>X145</f>
        <v>7.4470320000000001</v>
      </c>
      <c r="AG145" s="5">
        <f>Y145</f>
        <v>0</v>
      </c>
      <c r="AH145" s="5">
        <f>IF(OR(G145="C",G145="S",G145="U"),1,0)</f>
        <v>1</v>
      </c>
      <c r="AI145" s="5">
        <f>IF(ISNUMBER(H145),1,0)</f>
        <v>0</v>
      </c>
      <c r="AJ145" s="5">
        <f>IF(ISNUMBER(P145),1,0)</f>
        <v>1</v>
      </c>
      <c r="AK145" s="5" t="str">
        <f>IF(AI145=1,IF(J145&gt;0,1,0),"")</f>
        <v/>
      </c>
      <c r="AL145" s="5">
        <f>IF(AJ145=1,IF(OR(Q145&gt;0,R145&gt;0),1,0),"")</f>
        <v>0</v>
      </c>
    </row>
    <row r="146" spans="1:38">
      <c r="A146">
        <v>103899</v>
      </c>
      <c r="B146" t="s">
        <v>198</v>
      </c>
      <c r="C146" t="s">
        <v>77</v>
      </c>
      <c r="D146" t="s">
        <v>24</v>
      </c>
      <c r="E146">
        <v>41</v>
      </c>
      <c r="F146">
        <v>3500000</v>
      </c>
      <c r="G146" t="s">
        <v>25</v>
      </c>
      <c r="H146" t="s">
        <v>26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>
        <v>1</v>
      </c>
      <c r="Q146">
        <v>0</v>
      </c>
      <c r="R146">
        <v>1</v>
      </c>
      <c r="S146">
        <v>1</v>
      </c>
      <c r="T146">
        <v>0.28570000000000001</v>
      </c>
      <c r="U146">
        <v>2.4400000000000002E-2</v>
      </c>
      <c r="V146">
        <v>1</v>
      </c>
      <c r="W146">
        <f>E146/100</f>
        <v>0.41</v>
      </c>
      <c r="X146">
        <f>F146/1000000</f>
        <v>3.5</v>
      </c>
      <c r="Y146">
        <f>IF(D146="C",1,0)</f>
        <v>0</v>
      </c>
      <c r="Z146">
        <f>IF(G146="C",1,0)</f>
        <v>0</v>
      </c>
      <c r="AA146">
        <f>IF(G146="S",1,0)</f>
        <v>1</v>
      </c>
      <c r="AB146">
        <f>IF(G146="U",1,0)</f>
        <v>0</v>
      </c>
      <c r="AC146" s="5">
        <f>IF(AND(ISNUMBER(H146),NOT(ISNUMBER(P146))),1,0)</f>
        <v>0</v>
      </c>
      <c r="AD146" s="5">
        <f>IF(AND(ISNUMBER(H146),ISNUMBER(P146)),1,0)</f>
        <v>0</v>
      </c>
      <c r="AE146" s="5">
        <f>W146</f>
        <v>0.41</v>
      </c>
      <c r="AF146" s="5">
        <f>X146</f>
        <v>3.5</v>
      </c>
      <c r="AG146" s="5">
        <f>Y146</f>
        <v>0</v>
      </c>
      <c r="AH146" s="5">
        <f>IF(OR(G146="C",G146="S",G146="U"),1,0)</f>
        <v>1</v>
      </c>
      <c r="AI146" s="5">
        <f>IF(ISNUMBER(H146),1,0)</f>
        <v>0</v>
      </c>
      <c r="AJ146" s="5">
        <f>IF(ISNUMBER(P146),1,0)</f>
        <v>1</v>
      </c>
      <c r="AK146" s="5" t="str">
        <f>IF(AI146=1,IF(J146&gt;0,1,0),"")</f>
        <v/>
      </c>
      <c r="AL146" s="5">
        <f>IF(AJ146=1,IF(OR(Q146&gt;0,R146&gt;0),1,0),"")</f>
        <v>1</v>
      </c>
    </row>
    <row r="147" spans="1:38">
      <c r="A147">
        <v>104267</v>
      </c>
      <c r="B147" t="s">
        <v>199</v>
      </c>
      <c r="C147" t="s">
        <v>162</v>
      </c>
      <c r="D147" t="s">
        <v>24</v>
      </c>
      <c r="E147">
        <v>22</v>
      </c>
      <c r="F147">
        <v>973826</v>
      </c>
      <c r="G147" t="s">
        <v>25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26</v>
      </c>
      <c r="O147" t="s">
        <v>26</v>
      </c>
      <c r="P147">
        <v>1</v>
      </c>
      <c r="Q147">
        <v>0</v>
      </c>
      <c r="R147">
        <v>0</v>
      </c>
      <c r="S147">
        <v>1</v>
      </c>
      <c r="T147">
        <v>1.0268999999999999</v>
      </c>
      <c r="U147">
        <v>4.5499999999999999E-2</v>
      </c>
      <c r="V147">
        <v>0</v>
      </c>
      <c r="W147">
        <f>E147/100</f>
        <v>0.22</v>
      </c>
      <c r="X147">
        <f>F147/1000000</f>
        <v>0.97382599999999997</v>
      </c>
      <c r="Y147">
        <f>IF(D147="C",1,0)</f>
        <v>0</v>
      </c>
      <c r="Z147">
        <f>IF(G147="C",1,0)</f>
        <v>0</v>
      </c>
      <c r="AA147">
        <f>IF(G147="S",1,0)</f>
        <v>1</v>
      </c>
      <c r="AB147">
        <f>IF(G147="U",1,0)</f>
        <v>0</v>
      </c>
      <c r="AC147" s="5">
        <f>IF(AND(ISNUMBER(H147),NOT(ISNUMBER(P147))),1,0)</f>
        <v>0</v>
      </c>
      <c r="AD147" s="5">
        <f>IF(AND(ISNUMBER(H147),ISNUMBER(P147)),1,0)</f>
        <v>0</v>
      </c>
      <c r="AE147" s="5">
        <f>W147</f>
        <v>0.22</v>
      </c>
      <c r="AF147" s="5">
        <f>X147</f>
        <v>0.97382599999999997</v>
      </c>
      <c r="AG147" s="5">
        <f>Y147</f>
        <v>0</v>
      </c>
      <c r="AH147" s="5">
        <f>IF(OR(G147="C",G147="S",G147="U"),1,0)</f>
        <v>1</v>
      </c>
      <c r="AI147" s="5">
        <f>IF(ISNUMBER(H147),1,0)</f>
        <v>0</v>
      </c>
      <c r="AJ147" s="5">
        <f>IF(ISNUMBER(P147),1,0)</f>
        <v>1</v>
      </c>
      <c r="AK147" s="5" t="str">
        <f>IF(AI147=1,IF(J147&gt;0,1,0),"")</f>
        <v/>
      </c>
      <c r="AL147" s="5">
        <f>IF(AJ147=1,IF(OR(Q147&gt;0,R147&gt;0),1,0),"")</f>
        <v>0</v>
      </c>
    </row>
    <row r="148" spans="1:38">
      <c r="A148">
        <v>107013</v>
      </c>
      <c r="B148" t="s">
        <v>200</v>
      </c>
      <c r="C148" t="s">
        <v>84</v>
      </c>
      <c r="D148" t="s">
        <v>24</v>
      </c>
      <c r="E148">
        <v>260</v>
      </c>
      <c r="F148">
        <v>4256171</v>
      </c>
      <c r="G148" t="s">
        <v>25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>
        <v>1</v>
      </c>
      <c r="Q148">
        <v>0</v>
      </c>
      <c r="R148">
        <v>0</v>
      </c>
      <c r="S148">
        <v>1</v>
      </c>
      <c r="T148">
        <v>0.23499999999999999</v>
      </c>
      <c r="U148">
        <v>3.8E-3</v>
      </c>
      <c r="V148">
        <v>0</v>
      </c>
      <c r="W148">
        <f>E148/100</f>
        <v>2.6</v>
      </c>
      <c r="X148">
        <f>F148/1000000</f>
        <v>4.2561710000000001</v>
      </c>
      <c r="Y148">
        <f>IF(D148="C",1,0)</f>
        <v>0</v>
      </c>
      <c r="Z148">
        <f>IF(G148="C",1,0)</f>
        <v>0</v>
      </c>
      <c r="AA148">
        <f>IF(G148="S",1,0)</f>
        <v>1</v>
      </c>
      <c r="AB148">
        <f>IF(G148="U",1,0)</f>
        <v>0</v>
      </c>
      <c r="AC148" s="5">
        <f>IF(AND(ISNUMBER(H148),NOT(ISNUMBER(P148))),1,0)</f>
        <v>0</v>
      </c>
      <c r="AD148" s="5">
        <f>IF(AND(ISNUMBER(H148),ISNUMBER(P148)),1,0)</f>
        <v>0</v>
      </c>
      <c r="AE148" s="5">
        <f>W148</f>
        <v>2.6</v>
      </c>
      <c r="AF148" s="5">
        <f>X148</f>
        <v>4.2561710000000001</v>
      </c>
      <c r="AG148" s="5">
        <f>Y148</f>
        <v>0</v>
      </c>
      <c r="AH148" s="5">
        <f>IF(OR(G148="C",G148="S",G148="U"),1,0)</f>
        <v>1</v>
      </c>
      <c r="AI148" s="5">
        <f>IF(ISNUMBER(H148),1,0)</f>
        <v>0</v>
      </c>
      <c r="AJ148" s="5">
        <f>IF(ISNUMBER(P148),1,0)</f>
        <v>1</v>
      </c>
      <c r="AK148" s="5" t="str">
        <f>IF(AI148=1,IF(J148&gt;0,1,0),"")</f>
        <v/>
      </c>
      <c r="AL148" s="5">
        <f>IF(AJ148=1,IF(OR(Q148&gt;0,R148&gt;0),1,0),"")</f>
        <v>0</v>
      </c>
    </row>
    <row r="149" spans="1:38">
      <c r="A149">
        <v>109205</v>
      </c>
      <c r="B149" t="s">
        <v>202</v>
      </c>
      <c r="C149" t="s">
        <v>23</v>
      </c>
      <c r="D149" t="s">
        <v>33</v>
      </c>
      <c r="E149">
        <v>9</v>
      </c>
      <c r="F149">
        <v>219000</v>
      </c>
      <c r="H149" t="s">
        <v>26</v>
      </c>
      <c r="I149" t="s">
        <v>26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>
        <v>1</v>
      </c>
      <c r="Q149">
        <v>0</v>
      </c>
      <c r="R149">
        <v>0</v>
      </c>
      <c r="S149">
        <v>1</v>
      </c>
      <c r="T149">
        <v>4.5662000000000003</v>
      </c>
      <c r="U149">
        <v>0.1111</v>
      </c>
      <c r="V149">
        <v>0</v>
      </c>
      <c r="W149">
        <f>E149/100</f>
        <v>0.09</v>
      </c>
      <c r="X149">
        <f>F149/1000000</f>
        <v>0.219</v>
      </c>
      <c r="Y149">
        <f>IF(D149="C",1,0)</f>
        <v>1</v>
      </c>
      <c r="Z149">
        <f>IF(G149="C",1,0)</f>
        <v>0</v>
      </c>
      <c r="AA149">
        <f>IF(G149="S",1,0)</f>
        <v>0</v>
      </c>
      <c r="AB149">
        <f>IF(G149="U",1,0)</f>
        <v>0</v>
      </c>
      <c r="AC149" s="5">
        <f>IF(AND(ISNUMBER(H149),NOT(ISNUMBER(P149))),1,0)</f>
        <v>0</v>
      </c>
      <c r="AD149" s="5">
        <f>IF(AND(ISNUMBER(H149),ISNUMBER(P149)),1,0)</f>
        <v>0</v>
      </c>
      <c r="AE149" s="5">
        <f>W149</f>
        <v>0.09</v>
      </c>
      <c r="AF149" s="5">
        <f>X149</f>
        <v>0.219</v>
      </c>
      <c r="AG149" s="5">
        <f>Y149</f>
        <v>1</v>
      </c>
      <c r="AH149" s="5">
        <f>IF(OR(G149="C",G149="S",G149="U"),1,0)</f>
        <v>0</v>
      </c>
      <c r="AI149" s="5">
        <f>IF(ISNUMBER(H149),1,0)</f>
        <v>0</v>
      </c>
      <c r="AJ149" s="5">
        <f>IF(ISNUMBER(P149),1,0)</f>
        <v>1</v>
      </c>
      <c r="AK149" s="5" t="str">
        <f>IF(AI149=1,IF(J149&gt;0,1,0),"")</f>
        <v/>
      </c>
      <c r="AL149" s="5">
        <f>IF(AJ149=1,IF(OR(Q149&gt;0,R149&gt;0),1,0),"")</f>
        <v>0</v>
      </c>
    </row>
    <row r="150" spans="1:38">
      <c r="A150">
        <v>109265</v>
      </c>
      <c r="B150" t="s">
        <v>204</v>
      </c>
      <c r="C150" t="s">
        <v>23</v>
      </c>
      <c r="D150" t="s">
        <v>24</v>
      </c>
      <c r="E150">
        <v>2</v>
      </c>
      <c r="F150">
        <v>5000</v>
      </c>
      <c r="G150" t="s">
        <v>25</v>
      </c>
      <c r="H150" t="s">
        <v>26</v>
      </c>
      <c r="I150" t="s">
        <v>26</v>
      </c>
      <c r="J150" t="s">
        <v>26</v>
      </c>
      <c r="K150" t="s">
        <v>26</v>
      </c>
      <c r="L150" t="s">
        <v>26</v>
      </c>
      <c r="M150" t="s">
        <v>26</v>
      </c>
      <c r="N150" t="s">
        <v>26</v>
      </c>
      <c r="O150" t="s">
        <v>26</v>
      </c>
      <c r="P150">
        <v>1</v>
      </c>
      <c r="Q150">
        <v>0</v>
      </c>
      <c r="R150">
        <v>0</v>
      </c>
      <c r="S150">
        <v>1</v>
      </c>
      <c r="T150">
        <v>200</v>
      </c>
      <c r="U150">
        <v>0.5</v>
      </c>
      <c r="V150">
        <v>0</v>
      </c>
      <c r="W150">
        <f>E150/100</f>
        <v>0.02</v>
      </c>
      <c r="X150">
        <f>F150/1000000</f>
        <v>5.0000000000000001E-3</v>
      </c>
      <c r="Y150">
        <f>IF(D150="C",1,0)</f>
        <v>0</v>
      </c>
      <c r="Z150">
        <f>IF(G150="C",1,0)</f>
        <v>0</v>
      </c>
      <c r="AA150">
        <f>IF(G150="S",1,0)</f>
        <v>1</v>
      </c>
      <c r="AB150">
        <f>IF(G150="U",1,0)</f>
        <v>0</v>
      </c>
      <c r="AC150" s="5">
        <f>IF(AND(ISNUMBER(H150),NOT(ISNUMBER(P150))),1,0)</f>
        <v>0</v>
      </c>
      <c r="AD150" s="5">
        <f>IF(AND(ISNUMBER(H150),ISNUMBER(P150)),1,0)</f>
        <v>0</v>
      </c>
      <c r="AE150" s="5">
        <f>W150</f>
        <v>0.02</v>
      </c>
      <c r="AF150" s="5">
        <f>X150</f>
        <v>5.0000000000000001E-3</v>
      </c>
      <c r="AG150" s="5">
        <f>Y150</f>
        <v>0</v>
      </c>
      <c r="AH150" s="5">
        <f>IF(OR(G150="C",G150="S",G150="U"),1,0)</f>
        <v>1</v>
      </c>
      <c r="AI150" s="5">
        <f>IF(ISNUMBER(H150),1,0)</f>
        <v>0</v>
      </c>
      <c r="AJ150" s="5">
        <f>IF(ISNUMBER(P150),1,0)</f>
        <v>1</v>
      </c>
      <c r="AK150" s="5" t="str">
        <f>IF(AI150=1,IF(J150&gt;0,1,0),"")</f>
        <v/>
      </c>
      <c r="AL150" s="5">
        <f>IF(AJ150=1,IF(OR(Q150&gt;0,R150&gt;0),1,0),"")</f>
        <v>0</v>
      </c>
    </row>
    <row r="151" spans="1:38">
      <c r="A151">
        <v>110987</v>
      </c>
      <c r="B151" t="s">
        <v>206</v>
      </c>
      <c r="C151" t="s">
        <v>23</v>
      </c>
      <c r="D151" t="s">
        <v>24</v>
      </c>
      <c r="E151">
        <v>65</v>
      </c>
      <c r="F151">
        <v>750000</v>
      </c>
      <c r="G151" t="s">
        <v>25</v>
      </c>
      <c r="H151" t="s">
        <v>26</v>
      </c>
      <c r="I151" t="s">
        <v>26</v>
      </c>
      <c r="J151" t="s">
        <v>26</v>
      </c>
      <c r="K151" t="s">
        <v>26</v>
      </c>
      <c r="L151" t="s">
        <v>26</v>
      </c>
      <c r="M151" t="s">
        <v>26</v>
      </c>
      <c r="N151" t="s">
        <v>26</v>
      </c>
      <c r="O151" t="s">
        <v>26</v>
      </c>
      <c r="P151">
        <v>1</v>
      </c>
      <c r="Q151">
        <v>0</v>
      </c>
      <c r="R151">
        <v>1</v>
      </c>
      <c r="S151">
        <v>1</v>
      </c>
      <c r="T151">
        <v>1.3332999999999999</v>
      </c>
      <c r="U151">
        <v>1.54E-2</v>
      </c>
      <c r="V151">
        <v>1</v>
      </c>
      <c r="W151">
        <f>E151/100</f>
        <v>0.65</v>
      </c>
      <c r="X151">
        <f>F151/1000000</f>
        <v>0.75</v>
      </c>
      <c r="Y151">
        <f>IF(D151="C",1,0)</f>
        <v>0</v>
      </c>
      <c r="Z151">
        <f>IF(G151="C",1,0)</f>
        <v>0</v>
      </c>
      <c r="AA151">
        <f>IF(G151="S",1,0)</f>
        <v>1</v>
      </c>
      <c r="AB151">
        <f>IF(G151="U",1,0)</f>
        <v>0</v>
      </c>
      <c r="AC151" s="5">
        <f>IF(AND(ISNUMBER(H151),NOT(ISNUMBER(P151))),1,0)</f>
        <v>0</v>
      </c>
      <c r="AD151" s="5">
        <f>IF(AND(ISNUMBER(H151),ISNUMBER(P151)),1,0)</f>
        <v>0</v>
      </c>
      <c r="AE151" s="5">
        <f>W151</f>
        <v>0.65</v>
      </c>
      <c r="AF151" s="5">
        <f>X151</f>
        <v>0.75</v>
      </c>
      <c r="AG151" s="5">
        <f>Y151</f>
        <v>0</v>
      </c>
      <c r="AH151" s="5">
        <f>IF(OR(G151="C",G151="S",G151="U"),1,0)</f>
        <v>1</v>
      </c>
      <c r="AI151" s="5">
        <f>IF(ISNUMBER(H151),1,0)</f>
        <v>0</v>
      </c>
      <c r="AJ151" s="5">
        <f>IF(ISNUMBER(P151),1,0)</f>
        <v>1</v>
      </c>
      <c r="AK151" s="5" t="str">
        <f>IF(AI151=1,IF(J151&gt;0,1,0),"")</f>
        <v/>
      </c>
      <c r="AL151" s="5">
        <f>IF(AJ151=1,IF(OR(Q151&gt;0,R151&gt;0),1,0),"")</f>
        <v>1</v>
      </c>
    </row>
    <row r="152" spans="1:38">
      <c r="A152">
        <v>113450</v>
      </c>
      <c r="B152" t="s">
        <v>207</v>
      </c>
      <c r="C152" t="s">
        <v>23</v>
      </c>
      <c r="D152" t="s">
        <v>24</v>
      </c>
      <c r="E152">
        <v>52</v>
      </c>
      <c r="F152">
        <v>2652979</v>
      </c>
      <c r="G152" t="s">
        <v>25</v>
      </c>
      <c r="H152" t="s">
        <v>26</v>
      </c>
      <c r="I152" t="s">
        <v>26</v>
      </c>
      <c r="J152" t="s">
        <v>26</v>
      </c>
      <c r="K152" t="s">
        <v>26</v>
      </c>
      <c r="L152" t="s">
        <v>26</v>
      </c>
      <c r="M152" t="s">
        <v>26</v>
      </c>
      <c r="N152" t="s">
        <v>26</v>
      </c>
      <c r="O152" t="s">
        <v>26</v>
      </c>
      <c r="P152">
        <v>2</v>
      </c>
      <c r="Q152">
        <v>0</v>
      </c>
      <c r="R152">
        <v>1</v>
      </c>
      <c r="S152">
        <v>2</v>
      </c>
      <c r="T152">
        <v>0.75390000000000001</v>
      </c>
      <c r="U152">
        <v>3.85E-2</v>
      </c>
      <c r="V152">
        <v>1</v>
      </c>
      <c r="W152">
        <f>E152/100</f>
        <v>0.52</v>
      </c>
      <c r="X152">
        <f>F152/1000000</f>
        <v>2.6529790000000002</v>
      </c>
      <c r="Y152">
        <f>IF(D152="C",1,0)</f>
        <v>0</v>
      </c>
      <c r="Z152">
        <f>IF(G152="C",1,0)</f>
        <v>0</v>
      </c>
      <c r="AA152">
        <f>IF(G152="S",1,0)</f>
        <v>1</v>
      </c>
      <c r="AB152">
        <f>IF(G152="U",1,0)</f>
        <v>0</v>
      </c>
      <c r="AC152" s="5">
        <f>IF(AND(ISNUMBER(H152),NOT(ISNUMBER(P152))),1,0)</f>
        <v>0</v>
      </c>
      <c r="AD152" s="5">
        <f>IF(AND(ISNUMBER(H152),ISNUMBER(P152)),1,0)</f>
        <v>0</v>
      </c>
      <c r="AE152" s="5">
        <f>W152</f>
        <v>0.52</v>
      </c>
      <c r="AF152" s="5">
        <f>X152</f>
        <v>2.6529790000000002</v>
      </c>
      <c r="AG152" s="5">
        <f>Y152</f>
        <v>0</v>
      </c>
      <c r="AH152" s="5">
        <f>IF(OR(G152="C",G152="S",G152="U"),1,0)</f>
        <v>1</v>
      </c>
      <c r="AI152" s="5">
        <f>IF(ISNUMBER(H152),1,0)</f>
        <v>0</v>
      </c>
      <c r="AJ152" s="5">
        <f>IF(ISNUMBER(P152),1,0)</f>
        <v>1</v>
      </c>
      <c r="AK152" s="5" t="str">
        <f>IF(AI152=1,IF(J152&gt;0,1,0),"")</f>
        <v/>
      </c>
      <c r="AL152" s="5">
        <f>IF(AJ152=1,IF(OR(Q152&gt;0,R152&gt;0),1,0),"")</f>
        <v>1</v>
      </c>
    </row>
    <row r="153" spans="1:38">
      <c r="A153">
        <v>113689</v>
      </c>
      <c r="B153" t="s">
        <v>209</v>
      </c>
      <c r="C153" t="s">
        <v>23</v>
      </c>
      <c r="D153" t="s">
        <v>24</v>
      </c>
      <c r="E153">
        <v>18</v>
      </c>
      <c r="F153">
        <v>687954</v>
      </c>
      <c r="G153" t="s">
        <v>25</v>
      </c>
      <c r="H153" t="s">
        <v>26</v>
      </c>
      <c r="I153" t="s">
        <v>26</v>
      </c>
      <c r="J153" t="s">
        <v>26</v>
      </c>
      <c r="K153" t="s">
        <v>26</v>
      </c>
      <c r="L153" t="s">
        <v>26</v>
      </c>
      <c r="M153" t="s">
        <v>26</v>
      </c>
      <c r="N153" t="s">
        <v>26</v>
      </c>
      <c r="O153" t="s">
        <v>26</v>
      </c>
      <c r="P153">
        <v>1</v>
      </c>
      <c r="Q153">
        <v>0</v>
      </c>
      <c r="R153">
        <v>0</v>
      </c>
      <c r="S153">
        <v>1</v>
      </c>
      <c r="T153">
        <v>1.4536</v>
      </c>
      <c r="U153">
        <v>5.5599999999999997E-2</v>
      </c>
      <c r="V153">
        <v>0</v>
      </c>
      <c r="W153">
        <f>E153/100</f>
        <v>0.18</v>
      </c>
      <c r="X153">
        <f>F153/1000000</f>
        <v>0.68795399999999995</v>
      </c>
      <c r="Y153">
        <f>IF(D153="C",1,0)</f>
        <v>0</v>
      </c>
      <c r="Z153">
        <f>IF(G153="C",1,0)</f>
        <v>0</v>
      </c>
      <c r="AA153">
        <f>IF(G153="S",1,0)</f>
        <v>1</v>
      </c>
      <c r="AB153">
        <f>IF(G153="U",1,0)</f>
        <v>0</v>
      </c>
      <c r="AC153" s="5">
        <f>IF(AND(ISNUMBER(H153),NOT(ISNUMBER(P153))),1,0)</f>
        <v>0</v>
      </c>
      <c r="AD153" s="5">
        <f>IF(AND(ISNUMBER(H153),ISNUMBER(P153)),1,0)</f>
        <v>0</v>
      </c>
      <c r="AE153" s="5">
        <f>W153</f>
        <v>0.18</v>
      </c>
      <c r="AF153" s="5">
        <f>X153</f>
        <v>0.68795399999999995</v>
      </c>
      <c r="AG153" s="5">
        <f>Y153</f>
        <v>0</v>
      </c>
      <c r="AH153" s="5">
        <f>IF(OR(G153="C",G153="S",G153="U"),1,0)</f>
        <v>1</v>
      </c>
      <c r="AI153" s="5">
        <f>IF(ISNUMBER(H153),1,0)</f>
        <v>0</v>
      </c>
      <c r="AJ153" s="5">
        <f>IF(ISNUMBER(P153),1,0)</f>
        <v>1</v>
      </c>
      <c r="AK153" s="5" t="str">
        <f>IF(AI153=1,IF(J153&gt;0,1,0),"")</f>
        <v/>
      </c>
      <c r="AL153" s="5">
        <f>IF(AJ153=1,IF(OR(Q153&gt;0,R153&gt;0),1,0),"")</f>
        <v>0</v>
      </c>
    </row>
    <row r="154" spans="1:38">
      <c r="A154">
        <v>114804</v>
      </c>
      <c r="B154" t="s">
        <v>210</v>
      </c>
      <c r="C154" t="s">
        <v>162</v>
      </c>
      <c r="D154" t="s">
        <v>24</v>
      </c>
      <c r="E154">
        <v>747</v>
      </c>
      <c r="F154">
        <v>4375000</v>
      </c>
      <c r="G154" t="s">
        <v>25</v>
      </c>
      <c r="H154" t="s">
        <v>26</v>
      </c>
      <c r="I154" t="s">
        <v>26</v>
      </c>
      <c r="J154" t="s">
        <v>26</v>
      </c>
      <c r="K154" t="s">
        <v>26</v>
      </c>
      <c r="L154" t="s">
        <v>26</v>
      </c>
      <c r="M154" t="s">
        <v>26</v>
      </c>
      <c r="N154" t="s">
        <v>26</v>
      </c>
      <c r="O154" t="s">
        <v>26</v>
      </c>
      <c r="P154">
        <v>1</v>
      </c>
      <c r="Q154">
        <v>0</v>
      </c>
      <c r="R154">
        <v>1</v>
      </c>
      <c r="S154">
        <v>1</v>
      </c>
      <c r="T154">
        <v>0.2286</v>
      </c>
      <c r="U154">
        <v>1.2999999999999999E-3</v>
      </c>
      <c r="V154">
        <v>1</v>
      </c>
      <c r="W154">
        <f>E154/100</f>
        <v>7.47</v>
      </c>
      <c r="X154">
        <f>F154/1000000</f>
        <v>4.375</v>
      </c>
      <c r="Y154">
        <f>IF(D154="C",1,0)</f>
        <v>0</v>
      </c>
      <c r="Z154">
        <f>IF(G154="C",1,0)</f>
        <v>0</v>
      </c>
      <c r="AA154">
        <f>IF(G154="S",1,0)</f>
        <v>1</v>
      </c>
      <c r="AB154">
        <f>IF(G154="U",1,0)</f>
        <v>0</v>
      </c>
      <c r="AC154" s="5">
        <f>IF(AND(ISNUMBER(H154),NOT(ISNUMBER(P154))),1,0)</f>
        <v>0</v>
      </c>
      <c r="AD154" s="5">
        <f>IF(AND(ISNUMBER(H154),ISNUMBER(P154)),1,0)</f>
        <v>0</v>
      </c>
      <c r="AE154" s="5">
        <f>W154</f>
        <v>7.47</v>
      </c>
      <c r="AF154" s="5">
        <f>X154</f>
        <v>4.375</v>
      </c>
      <c r="AG154" s="5">
        <f>Y154</f>
        <v>0</v>
      </c>
      <c r="AH154" s="5">
        <f>IF(OR(G154="C",G154="S",G154="U"),1,0)</f>
        <v>1</v>
      </c>
      <c r="AI154" s="5">
        <f>IF(ISNUMBER(H154),1,0)</f>
        <v>0</v>
      </c>
      <c r="AJ154" s="5">
        <f>IF(ISNUMBER(P154),1,0)</f>
        <v>1</v>
      </c>
      <c r="AK154" s="5" t="str">
        <f>IF(AI154=1,IF(J154&gt;0,1,0),"")</f>
        <v/>
      </c>
      <c r="AL154" s="5">
        <f>IF(AJ154=1,IF(OR(Q154&gt;0,R154&gt;0),1,0),"")</f>
        <v>1</v>
      </c>
    </row>
    <row r="155" spans="1:38">
      <c r="A155">
        <v>116131</v>
      </c>
      <c r="B155" t="s">
        <v>211</v>
      </c>
      <c r="C155" t="s">
        <v>212</v>
      </c>
      <c r="D155" t="s">
        <v>24</v>
      </c>
      <c r="E155">
        <v>182</v>
      </c>
      <c r="F155">
        <v>2285000</v>
      </c>
      <c r="H155" t="s">
        <v>26</v>
      </c>
      <c r="I155" t="s">
        <v>26</v>
      </c>
      <c r="J155" t="s">
        <v>26</v>
      </c>
      <c r="K155" t="s">
        <v>26</v>
      </c>
      <c r="L155" t="s">
        <v>26</v>
      </c>
      <c r="M155" t="s">
        <v>26</v>
      </c>
      <c r="N155" t="s">
        <v>26</v>
      </c>
      <c r="O155" t="s">
        <v>26</v>
      </c>
      <c r="P155">
        <v>1</v>
      </c>
      <c r="Q155">
        <v>0</v>
      </c>
      <c r="R155">
        <v>0</v>
      </c>
      <c r="S155">
        <v>1</v>
      </c>
      <c r="T155">
        <v>0.43759999999999999</v>
      </c>
      <c r="U155">
        <v>5.4999999999999997E-3</v>
      </c>
      <c r="V155">
        <v>0</v>
      </c>
      <c r="W155">
        <f>E155/100</f>
        <v>1.82</v>
      </c>
      <c r="X155">
        <f>F155/1000000</f>
        <v>2.2850000000000001</v>
      </c>
      <c r="Y155">
        <f>IF(D155="C",1,0)</f>
        <v>0</v>
      </c>
      <c r="Z155">
        <f>IF(G155="C",1,0)</f>
        <v>0</v>
      </c>
      <c r="AA155">
        <f>IF(G155="S",1,0)</f>
        <v>0</v>
      </c>
      <c r="AB155">
        <f>IF(G155="U",1,0)</f>
        <v>0</v>
      </c>
      <c r="AC155" s="5">
        <f>IF(AND(ISNUMBER(H155),NOT(ISNUMBER(P155))),1,0)</f>
        <v>0</v>
      </c>
      <c r="AD155" s="5">
        <f>IF(AND(ISNUMBER(H155),ISNUMBER(P155)),1,0)</f>
        <v>0</v>
      </c>
      <c r="AE155" s="5">
        <f>W155</f>
        <v>1.82</v>
      </c>
      <c r="AF155" s="5">
        <f>X155</f>
        <v>2.2850000000000001</v>
      </c>
      <c r="AG155" s="5">
        <f>Y155</f>
        <v>0</v>
      </c>
      <c r="AH155" s="5">
        <f>IF(OR(G155="C",G155="S",G155="U"),1,0)</f>
        <v>0</v>
      </c>
      <c r="AI155" s="5">
        <f>IF(ISNUMBER(H155),1,0)</f>
        <v>0</v>
      </c>
      <c r="AJ155" s="5">
        <f>IF(ISNUMBER(P155),1,0)</f>
        <v>1</v>
      </c>
      <c r="AK155" s="5" t="str">
        <f>IF(AI155=1,IF(J155&gt;0,1,0),"")</f>
        <v/>
      </c>
      <c r="AL155" s="5">
        <f>IF(AJ155=1,IF(OR(Q155&gt;0,R155&gt;0),1,0),"")</f>
        <v>0</v>
      </c>
    </row>
    <row r="156" spans="1:38">
      <c r="A156">
        <v>120699</v>
      </c>
      <c r="B156" t="s">
        <v>213</v>
      </c>
      <c r="C156" t="s">
        <v>77</v>
      </c>
      <c r="D156" t="s">
        <v>24</v>
      </c>
      <c r="E156">
        <v>113</v>
      </c>
      <c r="F156">
        <v>8100000</v>
      </c>
      <c r="G156" t="s">
        <v>25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>
        <v>1</v>
      </c>
      <c r="Q156">
        <v>0</v>
      </c>
      <c r="R156">
        <v>0</v>
      </c>
      <c r="S156">
        <v>1</v>
      </c>
      <c r="T156">
        <v>0.1235</v>
      </c>
      <c r="U156">
        <v>8.8000000000000005E-3</v>
      </c>
      <c r="V156">
        <v>0</v>
      </c>
      <c r="W156">
        <f>E156/100</f>
        <v>1.1299999999999999</v>
      </c>
      <c r="X156">
        <f>F156/1000000</f>
        <v>8.1</v>
      </c>
      <c r="Y156">
        <f>IF(D156="C",1,0)</f>
        <v>0</v>
      </c>
      <c r="Z156">
        <f>IF(G156="C",1,0)</f>
        <v>0</v>
      </c>
      <c r="AA156">
        <f>IF(G156="S",1,0)</f>
        <v>1</v>
      </c>
      <c r="AB156">
        <f>IF(G156="U",1,0)</f>
        <v>0</v>
      </c>
      <c r="AC156" s="5">
        <f>IF(AND(ISNUMBER(H156),NOT(ISNUMBER(P156))),1,0)</f>
        <v>0</v>
      </c>
      <c r="AD156" s="5">
        <f>IF(AND(ISNUMBER(H156),ISNUMBER(P156)),1,0)</f>
        <v>0</v>
      </c>
      <c r="AE156" s="5">
        <f>W156</f>
        <v>1.1299999999999999</v>
      </c>
      <c r="AF156" s="5">
        <f>X156</f>
        <v>8.1</v>
      </c>
      <c r="AG156" s="5">
        <f>Y156</f>
        <v>0</v>
      </c>
      <c r="AH156" s="5">
        <f>IF(OR(G156="C",G156="S",G156="U"),1,0)</f>
        <v>1</v>
      </c>
      <c r="AI156" s="5">
        <f>IF(ISNUMBER(H156),1,0)</f>
        <v>0</v>
      </c>
      <c r="AJ156" s="5">
        <f>IF(ISNUMBER(P156),1,0)</f>
        <v>1</v>
      </c>
      <c r="AK156" s="5" t="str">
        <f>IF(AI156=1,IF(J156&gt;0,1,0),"")</f>
        <v/>
      </c>
      <c r="AL156" s="5">
        <f>IF(AJ156=1,IF(OR(Q156&gt;0,R156&gt;0),1,0),"")</f>
        <v>0</v>
      </c>
    </row>
    <row r="157" spans="1:38">
      <c r="A157">
        <v>120878</v>
      </c>
      <c r="B157" t="s">
        <v>215</v>
      </c>
      <c r="C157" t="s">
        <v>23</v>
      </c>
      <c r="D157" t="s">
        <v>24</v>
      </c>
      <c r="E157">
        <v>25</v>
      </c>
      <c r="F157">
        <v>2062942</v>
      </c>
      <c r="G157" t="s">
        <v>25</v>
      </c>
      <c r="H157" t="s">
        <v>26</v>
      </c>
      <c r="I157" t="s">
        <v>26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26</v>
      </c>
      <c r="P157">
        <v>1</v>
      </c>
      <c r="Q157">
        <v>0</v>
      </c>
      <c r="R157">
        <v>0</v>
      </c>
      <c r="S157">
        <v>1</v>
      </c>
      <c r="T157">
        <v>0.48470000000000002</v>
      </c>
      <c r="U157">
        <v>0.04</v>
      </c>
      <c r="V157">
        <v>0</v>
      </c>
      <c r="W157">
        <f>E157/100</f>
        <v>0.25</v>
      </c>
      <c r="X157">
        <f>F157/1000000</f>
        <v>2.0629420000000001</v>
      </c>
      <c r="Y157">
        <f>IF(D157="C",1,0)</f>
        <v>0</v>
      </c>
      <c r="Z157">
        <f>IF(G157="C",1,0)</f>
        <v>0</v>
      </c>
      <c r="AA157">
        <f>IF(G157="S",1,0)</f>
        <v>1</v>
      </c>
      <c r="AB157">
        <f>IF(G157="U",1,0)</f>
        <v>0</v>
      </c>
      <c r="AC157" s="5">
        <f>IF(AND(ISNUMBER(H157),NOT(ISNUMBER(P157))),1,0)</f>
        <v>0</v>
      </c>
      <c r="AD157" s="5">
        <f>IF(AND(ISNUMBER(H157),ISNUMBER(P157)),1,0)</f>
        <v>0</v>
      </c>
      <c r="AE157" s="5">
        <f>W157</f>
        <v>0.25</v>
      </c>
      <c r="AF157" s="5">
        <f>X157</f>
        <v>2.0629420000000001</v>
      </c>
      <c r="AG157" s="5">
        <f>Y157</f>
        <v>0</v>
      </c>
      <c r="AH157" s="5">
        <f>IF(OR(G157="C",G157="S",G157="U"),1,0)</f>
        <v>1</v>
      </c>
      <c r="AI157" s="5">
        <f>IF(ISNUMBER(H157),1,0)</f>
        <v>0</v>
      </c>
      <c r="AJ157" s="5">
        <f>IF(ISNUMBER(P157),1,0)</f>
        <v>1</v>
      </c>
      <c r="AK157" s="5" t="str">
        <f>IF(AI157=1,IF(J157&gt;0,1,0),"")</f>
        <v/>
      </c>
      <c r="AL157" s="5">
        <f>IF(AJ157=1,IF(OR(Q157&gt;0,R157&gt;0),1,0),"")</f>
        <v>0</v>
      </c>
    </row>
    <row r="158" spans="1:38">
      <c r="A158">
        <v>120883</v>
      </c>
      <c r="B158" t="s">
        <v>216</v>
      </c>
      <c r="C158" t="s">
        <v>23</v>
      </c>
      <c r="D158" t="s">
        <v>24</v>
      </c>
      <c r="E158">
        <v>42</v>
      </c>
      <c r="F158">
        <v>1930321</v>
      </c>
      <c r="G158" t="s">
        <v>25</v>
      </c>
      <c r="H158" t="s">
        <v>26</v>
      </c>
      <c r="I158" t="s">
        <v>26</v>
      </c>
      <c r="J158" t="s">
        <v>26</v>
      </c>
      <c r="K158" t="s">
        <v>26</v>
      </c>
      <c r="L158" t="s">
        <v>26</v>
      </c>
      <c r="M158" t="s">
        <v>26</v>
      </c>
      <c r="N158" t="s">
        <v>26</v>
      </c>
      <c r="O158" t="s">
        <v>26</v>
      </c>
      <c r="P158">
        <v>1</v>
      </c>
      <c r="Q158">
        <v>0</v>
      </c>
      <c r="R158">
        <v>1</v>
      </c>
      <c r="S158">
        <v>1</v>
      </c>
      <c r="T158">
        <v>0.51800000000000002</v>
      </c>
      <c r="U158">
        <v>2.3800000000000002E-2</v>
      </c>
      <c r="V158">
        <v>1</v>
      </c>
      <c r="W158">
        <f>E158/100</f>
        <v>0.42</v>
      </c>
      <c r="X158">
        <f>F158/1000000</f>
        <v>1.930321</v>
      </c>
      <c r="Y158">
        <f>IF(D158="C",1,0)</f>
        <v>0</v>
      </c>
      <c r="Z158">
        <f>IF(G158="C",1,0)</f>
        <v>0</v>
      </c>
      <c r="AA158">
        <f>IF(G158="S",1,0)</f>
        <v>1</v>
      </c>
      <c r="AB158">
        <f>IF(G158="U",1,0)</f>
        <v>0</v>
      </c>
      <c r="AC158" s="5">
        <f>IF(AND(ISNUMBER(H158),NOT(ISNUMBER(P158))),1,0)</f>
        <v>0</v>
      </c>
      <c r="AD158" s="5">
        <f>IF(AND(ISNUMBER(H158),ISNUMBER(P158)),1,0)</f>
        <v>0</v>
      </c>
      <c r="AE158" s="5">
        <f>W158</f>
        <v>0.42</v>
      </c>
      <c r="AF158" s="5">
        <f>X158</f>
        <v>1.930321</v>
      </c>
      <c r="AG158" s="5">
        <f>Y158</f>
        <v>0</v>
      </c>
      <c r="AH158" s="5">
        <f>IF(OR(G158="C",G158="S",G158="U"),1,0)</f>
        <v>1</v>
      </c>
      <c r="AI158" s="5">
        <f>IF(ISNUMBER(H158),1,0)</f>
        <v>0</v>
      </c>
      <c r="AJ158" s="5">
        <f>IF(ISNUMBER(P158),1,0)</f>
        <v>1</v>
      </c>
      <c r="AK158" s="5" t="str">
        <f>IF(AI158=1,IF(J158&gt;0,1,0),"")</f>
        <v/>
      </c>
      <c r="AL158" s="5">
        <f>IF(AJ158=1,IF(OR(Q158&gt;0,R158&gt;0),1,0),"")</f>
        <v>1</v>
      </c>
    </row>
    <row r="159" spans="1:38">
      <c r="A159">
        <v>120890</v>
      </c>
      <c r="B159" t="s">
        <v>217</v>
      </c>
      <c r="C159" t="s">
        <v>23</v>
      </c>
      <c r="D159" t="s">
        <v>24</v>
      </c>
      <c r="E159">
        <v>21</v>
      </c>
      <c r="F159">
        <v>942340</v>
      </c>
      <c r="G159" t="s">
        <v>33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>
        <v>1</v>
      </c>
      <c r="Q159">
        <v>0</v>
      </c>
      <c r="R159">
        <v>0</v>
      </c>
      <c r="S159">
        <v>1</v>
      </c>
      <c r="T159">
        <v>1.0611999999999999</v>
      </c>
      <c r="U159">
        <v>4.7600000000000003E-2</v>
      </c>
      <c r="V159">
        <v>0</v>
      </c>
      <c r="W159">
        <f>E159/100</f>
        <v>0.21</v>
      </c>
      <c r="X159">
        <f>F159/1000000</f>
        <v>0.94233999999999996</v>
      </c>
      <c r="Y159">
        <f>IF(D159="C",1,0)</f>
        <v>0</v>
      </c>
      <c r="Z159">
        <f>IF(G159="C",1,0)</f>
        <v>1</v>
      </c>
      <c r="AA159">
        <f>IF(G159="S",1,0)</f>
        <v>0</v>
      </c>
      <c r="AB159">
        <f>IF(G159="U",1,0)</f>
        <v>0</v>
      </c>
      <c r="AC159" s="5">
        <f>IF(AND(ISNUMBER(H159),NOT(ISNUMBER(P159))),1,0)</f>
        <v>0</v>
      </c>
      <c r="AD159" s="5">
        <f>IF(AND(ISNUMBER(H159),ISNUMBER(P159)),1,0)</f>
        <v>0</v>
      </c>
      <c r="AE159" s="5">
        <f>W159</f>
        <v>0.21</v>
      </c>
      <c r="AF159" s="5">
        <f>X159</f>
        <v>0.94233999999999996</v>
      </c>
      <c r="AG159" s="5">
        <f>Y159</f>
        <v>0</v>
      </c>
      <c r="AH159" s="5">
        <f>IF(OR(G159="C",G159="S",G159="U"),1,0)</f>
        <v>1</v>
      </c>
      <c r="AI159" s="5">
        <f>IF(ISNUMBER(H159),1,0)</f>
        <v>0</v>
      </c>
      <c r="AJ159" s="5">
        <f>IF(ISNUMBER(P159),1,0)</f>
        <v>1</v>
      </c>
      <c r="AK159" s="5" t="str">
        <f>IF(AI159=1,IF(J159&gt;0,1,0),"")</f>
        <v/>
      </c>
      <c r="AL159" s="5">
        <f>IF(AJ159=1,IF(OR(Q159&gt;0,R159&gt;0),1,0),"")</f>
        <v>0</v>
      </c>
    </row>
    <row r="160" spans="1:38">
      <c r="A160">
        <v>120943</v>
      </c>
      <c r="B160" t="s">
        <v>218</v>
      </c>
      <c r="C160" t="s">
        <v>23</v>
      </c>
      <c r="D160" t="s">
        <v>24</v>
      </c>
      <c r="E160">
        <v>7</v>
      </c>
      <c r="F160">
        <v>600000</v>
      </c>
      <c r="G160" t="s">
        <v>25</v>
      </c>
      <c r="H160" t="s">
        <v>26</v>
      </c>
      <c r="I160" t="s">
        <v>26</v>
      </c>
      <c r="J160" t="s">
        <v>26</v>
      </c>
      <c r="K160" t="s">
        <v>26</v>
      </c>
      <c r="L160" t="s">
        <v>26</v>
      </c>
      <c r="M160" t="s">
        <v>26</v>
      </c>
      <c r="N160" t="s">
        <v>26</v>
      </c>
      <c r="O160" t="s">
        <v>26</v>
      </c>
      <c r="P160">
        <v>1</v>
      </c>
      <c r="Q160">
        <v>0</v>
      </c>
      <c r="R160">
        <v>0</v>
      </c>
      <c r="S160">
        <v>1</v>
      </c>
      <c r="T160">
        <v>1.6667000000000001</v>
      </c>
      <c r="U160">
        <v>0.1429</v>
      </c>
      <c r="V160">
        <v>0</v>
      </c>
      <c r="W160">
        <f>E160/100</f>
        <v>7.0000000000000007E-2</v>
      </c>
      <c r="X160">
        <f>F160/1000000</f>
        <v>0.6</v>
      </c>
      <c r="Y160">
        <f>IF(D160="C",1,0)</f>
        <v>0</v>
      </c>
      <c r="Z160">
        <f>IF(G160="C",1,0)</f>
        <v>0</v>
      </c>
      <c r="AA160">
        <f>IF(G160="S",1,0)</f>
        <v>1</v>
      </c>
      <c r="AB160">
        <f>IF(G160="U",1,0)</f>
        <v>0</v>
      </c>
      <c r="AC160" s="5">
        <f>IF(AND(ISNUMBER(H160),NOT(ISNUMBER(P160))),1,0)</f>
        <v>0</v>
      </c>
      <c r="AD160" s="5">
        <f>IF(AND(ISNUMBER(H160),ISNUMBER(P160)),1,0)</f>
        <v>0</v>
      </c>
      <c r="AE160" s="5">
        <f>W160</f>
        <v>7.0000000000000007E-2</v>
      </c>
      <c r="AF160" s="5">
        <f>X160</f>
        <v>0.6</v>
      </c>
      <c r="AG160" s="5">
        <f>Y160</f>
        <v>0</v>
      </c>
      <c r="AH160" s="5">
        <f>IF(OR(G160="C",G160="S",G160="U"),1,0)</f>
        <v>1</v>
      </c>
      <c r="AI160" s="5">
        <f>IF(ISNUMBER(H160),1,0)</f>
        <v>0</v>
      </c>
      <c r="AJ160" s="5">
        <f>IF(ISNUMBER(P160),1,0)</f>
        <v>1</v>
      </c>
      <c r="AK160" s="5" t="str">
        <f>IF(AI160=1,IF(J160&gt;0,1,0),"")</f>
        <v/>
      </c>
      <c r="AL160" s="5">
        <f>IF(AJ160=1,IF(OR(Q160&gt;0,R160&gt;0),1,0),"")</f>
        <v>0</v>
      </c>
    </row>
    <row r="161" spans="1:38">
      <c r="A161">
        <v>121332</v>
      </c>
      <c r="B161" t="s">
        <v>219</v>
      </c>
      <c r="C161" t="s">
        <v>220</v>
      </c>
      <c r="D161" t="s">
        <v>24</v>
      </c>
      <c r="E161">
        <v>42</v>
      </c>
      <c r="F161">
        <v>3904153</v>
      </c>
      <c r="G161" t="s">
        <v>25</v>
      </c>
      <c r="H161" t="s">
        <v>26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>
        <v>1</v>
      </c>
      <c r="Q161">
        <v>0</v>
      </c>
      <c r="R161">
        <v>0</v>
      </c>
      <c r="S161">
        <v>1</v>
      </c>
      <c r="T161">
        <v>0.25609999999999999</v>
      </c>
      <c r="U161">
        <v>2.3800000000000002E-2</v>
      </c>
      <c r="V161">
        <v>0</v>
      </c>
      <c r="W161">
        <f>E161/100</f>
        <v>0.42</v>
      </c>
      <c r="X161">
        <f>F161/1000000</f>
        <v>3.904153</v>
      </c>
      <c r="Y161">
        <f>IF(D161="C",1,0)</f>
        <v>0</v>
      </c>
      <c r="Z161">
        <f>IF(G161="C",1,0)</f>
        <v>0</v>
      </c>
      <c r="AA161">
        <f>IF(G161="S",1,0)</f>
        <v>1</v>
      </c>
      <c r="AB161">
        <f>IF(G161="U",1,0)</f>
        <v>0</v>
      </c>
      <c r="AC161" s="5">
        <f>IF(AND(ISNUMBER(H161),NOT(ISNUMBER(P161))),1,0)</f>
        <v>0</v>
      </c>
      <c r="AD161" s="5">
        <f>IF(AND(ISNUMBER(H161),ISNUMBER(P161)),1,0)</f>
        <v>0</v>
      </c>
      <c r="AE161" s="5">
        <f>W161</f>
        <v>0.42</v>
      </c>
      <c r="AF161" s="5">
        <f>X161</f>
        <v>3.904153</v>
      </c>
      <c r="AG161" s="5">
        <f>Y161</f>
        <v>0</v>
      </c>
      <c r="AH161" s="5">
        <f>IF(OR(G161="C",G161="S",G161="U"),1,0)</f>
        <v>1</v>
      </c>
      <c r="AI161" s="5">
        <f>IF(ISNUMBER(H161),1,0)</f>
        <v>0</v>
      </c>
      <c r="AJ161" s="5">
        <f>IF(ISNUMBER(P161),1,0)</f>
        <v>1</v>
      </c>
      <c r="AK161" s="5" t="str">
        <f>IF(AI161=1,IF(J161&gt;0,1,0),"")</f>
        <v/>
      </c>
      <c r="AL161" s="5">
        <f>IF(AJ161=1,IF(OR(Q161&gt;0,R161&gt;0),1,0),"")</f>
        <v>0</v>
      </c>
    </row>
    <row r="162" spans="1:38">
      <c r="A162">
        <v>125448</v>
      </c>
      <c r="B162" t="s">
        <v>222</v>
      </c>
      <c r="C162" t="s">
        <v>190</v>
      </c>
      <c r="D162" t="s">
        <v>24</v>
      </c>
      <c r="E162">
        <v>45</v>
      </c>
      <c r="F162">
        <v>1560076</v>
      </c>
      <c r="G162" t="s">
        <v>25</v>
      </c>
      <c r="H162" t="s">
        <v>26</v>
      </c>
      <c r="I162" t="s">
        <v>26</v>
      </c>
      <c r="J162" t="s">
        <v>26</v>
      </c>
      <c r="K162" t="s">
        <v>26</v>
      </c>
      <c r="L162" t="s">
        <v>26</v>
      </c>
      <c r="M162" t="s">
        <v>26</v>
      </c>
      <c r="N162" t="s">
        <v>26</v>
      </c>
      <c r="O162" t="s">
        <v>26</v>
      </c>
      <c r="P162">
        <v>1</v>
      </c>
      <c r="Q162">
        <v>0</v>
      </c>
      <c r="R162">
        <v>1</v>
      </c>
      <c r="S162">
        <v>1</v>
      </c>
      <c r="T162">
        <v>0.64100000000000001</v>
      </c>
      <c r="U162">
        <v>2.2200000000000001E-2</v>
      </c>
      <c r="V162">
        <v>1</v>
      </c>
      <c r="W162">
        <f>E162/100</f>
        <v>0.45</v>
      </c>
      <c r="X162">
        <f>F162/1000000</f>
        <v>1.560076</v>
      </c>
      <c r="Y162">
        <f>IF(D162="C",1,0)</f>
        <v>0</v>
      </c>
      <c r="Z162">
        <f>IF(G162="C",1,0)</f>
        <v>0</v>
      </c>
      <c r="AA162">
        <f>IF(G162="S",1,0)</f>
        <v>1</v>
      </c>
      <c r="AB162">
        <f>IF(G162="U",1,0)</f>
        <v>0</v>
      </c>
      <c r="AC162" s="5">
        <f>IF(AND(ISNUMBER(H162),NOT(ISNUMBER(P162))),1,0)</f>
        <v>0</v>
      </c>
      <c r="AD162" s="5">
        <f>IF(AND(ISNUMBER(H162),ISNUMBER(P162)),1,0)</f>
        <v>0</v>
      </c>
      <c r="AE162" s="5">
        <f>W162</f>
        <v>0.45</v>
      </c>
      <c r="AF162" s="5">
        <f>X162</f>
        <v>1.560076</v>
      </c>
      <c r="AG162" s="5">
        <f>Y162</f>
        <v>0</v>
      </c>
      <c r="AH162" s="5">
        <f>IF(OR(G162="C",G162="S",G162="U"),1,0)</f>
        <v>1</v>
      </c>
      <c r="AI162" s="5">
        <f>IF(ISNUMBER(H162),1,0)</f>
        <v>0</v>
      </c>
      <c r="AJ162" s="5">
        <f>IF(ISNUMBER(P162),1,0)</f>
        <v>1</v>
      </c>
      <c r="AK162" s="5" t="str">
        <f>IF(AI162=1,IF(J162&gt;0,1,0),"")</f>
        <v/>
      </c>
      <c r="AL162" s="5">
        <f>IF(AJ162=1,IF(OR(Q162&gt;0,R162&gt;0),1,0),"")</f>
        <v>1</v>
      </c>
    </row>
    <row r="163" spans="1:38">
      <c r="A163">
        <v>127360</v>
      </c>
      <c r="B163" t="s">
        <v>223</v>
      </c>
      <c r="C163" t="s">
        <v>37</v>
      </c>
      <c r="D163" t="s">
        <v>24</v>
      </c>
      <c r="E163">
        <v>30</v>
      </c>
      <c r="F163">
        <v>459775</v>
      </c>
      <c r="H163" t="s">
        <v>26</v>
      </c>
      <c r="I163" t="s">
        <v>26</v>
      </c>
      <c r="J163" t="s">
        <v>26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>
        <v>1</v>
      </c>
      <c r="Q163">
        <v>0</v>
      </c>
      <c r="R163">
        <v>0</v>
      </c>
      <c r="S163">
        <v>1</v>
      </c>
      <c r="T163">
        <v>2.1749999999999998</v>
      </c>
      <c r="U163">
        <v>3.3300000000000003E-2</v>
      </c>
      <c r="V163">
        <v>0</v>
      </c>
      <c r="W163">
        <f>E163/100</f>
        <v>0.3</v>
      </c>
      <c r="X163">
        <f>F163/1000000</f>
        <v>0.45977499999999999</v>
      </c>
      <c r="Y163">
        <f>IF(D163="C",1,0)</f>
        <v>0</v>
      </c>
      <c r="Z163">
        <f>IF(G163="C",1,0)</f>
        <v>0</v>
      </c>
      <c r="AA163">
        <f>IF(G163="S",1,0)</f>
        <v>0</v>
      </c>
      <c r="AB163">
        <f>IF(G163="U",1,0)</f>
        <v>0</v>
      </c>
      <c r="AC163" s="5">
        <f>IF(AND(ISNUMBER(H163),NOT(ISNUMBER(P163))),1,0)</f>
        <v>0</v>
      </c>
      <c r="AD163" s="5">
        <f>IF(AND(ISNUMBER(H163),ISNUMBER(P163)),1,0)</f>
        <v>0</v>
      </c>
      <c r="AE163" s="5">
        <f>W163</f>
        <v>0.3</v>
      </c>
      <c r="AF163" s="5">
        <f>X163</f>
        <v>0.45977499999999999</v>
      </c>
      <c r="AG163" s="5">
        <f>Y163</f>
        <v>0</v>
      </c>
      <c r="AH163" s="5">
        <f>IF(OR(G163="C",G163="S",G163="U"),1,0)</f>
        <v>0</v>
      </c>
      <c r="AI163" s="5">
        <f>IF(ISNUMBER(H163),1,0)</f>
        <v>0</v>
      </c>
      <c r="AJ163" s="5">
        <f>IF(ISNUMBER(P163),1,0)</f>
        <v>1</v>
      </c>
      <c r="AK163" s="5" t="str">
        <f>IF(AI163=1,IF(J163&gt;0,1,0),"")</f>
        <v/>
      </c>
      <c r="AL163" s="5">
        <f>IF(AJ163=1,IF(OR(Q163&gt;0,R163&gt;0),1,0),"")</f>
        <v>0</v>
      </c>
    </row>
    <row r="164" spans="1:38">
      <c r="A164">
        <v>128139</v>
      </c>
      <c r="B164" t="s">
        <v>224</v>
      </c>
      <c r="C164" t="s">
        <v>37</v>
      </c>
      <c r="D164" t="s">
        <v>24</v>
      </c>
      <c r="E164">
        <v>1</v>
      </c>
      <c r="F164">
        <v>57000</v>
      </c>
      <c r="G164" t="s">
        <v>25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>
        <v>1</v>
      </c>
      <c r="Q164">
        <v>0</v>
      </c>
      <c r="R164">
        <v>0</v>
      </c>
      <c r="S164">
        <v>1</v>
      </c>
      <c r="T164">
        <v>17.543900000000001</v>
      </c>
      <c r="U164">
        <v>1</v>
      </c>
      <c r="V164">
        <v>0</v>
      </c>
      <c r="W164">
        <f>E164/100</f>
        <v>0.01</v>
      </c>
      <c r="X164">
        <f>F164/1000000</f>
        <v>5.7000000000000002E-2</v>
      </c>
      <c r="Y164">
        <f>IF(D164="C",1,0)</f>
        <v>0</v>
      </c>
      <c r="Z164">
        <f>IF(G164="C",1,0)</f>
        <v>0</v>
      </c>
      <c r="AA164">
        <f>IF(G164="S",1,0)</f>
        <v>1</v>
      </c>
      <c r="AB164">
        <f>IF(G164="U",1,0)</f>
        <v>0</v>
      </c>
      <c r="AC164" s="5">
        <f>IF(AND(ISNUMBER(H164),NOT(ISNUMBER(P164))),1,0)</f>
        <v>0</v>
      </c>
      <c r="AD164" s="5">
        <f>IF(AND(ISNUMBER(H164),ISNUMBER(P164)),1,0)</f>
        <v>0</v>
      </c>
      <c r="AE164" s="5">
        <f>W164</f>
        <v>0.01</v>
      </c>
      <c r="AF164" s="5">
        <f>X164</f>
        <v>5.7000000000000002E-2</v>
      </c>
      <c r="AG164" s="5">
        <f>Y164</f>
        <v>0</v>
      </c>
      <c r="AH164" s="5">
        <f>IF(OR(G164="C",G164="S",G164="U"),1,0)</f>
        <v>1</v>
      </c>
      <c r="AI164" s="5">
        <f>IF(ISNUMBER(H164),1,0)</f>
        <v>0</v>
      </c>
      <c r="AJ164" s="5">
        <f>IF(ISNUMBER(P164),1,0)</f>
        <v>1</v>
      </c>
      <c r="AK164" s="5" t="str">
        <f>IF(AI164=1,IF(J164&gt;0,1,0),"")</f>
        <v/>
      </c>
      <c r="AL164" s="5">
        <f>IF(AJ164=1,IF(OR(Q164&gt;0,R164&gt;0),1,0),"")</f>
        <v>0</v>
      </c>
    </row>
    <row r="165" spans="1:38">
      <c r="A165">
        <v>129909</v>
      </c>
      <c r="B165" t="s">
        <v>227</v>
      </c>
      <c r="C165" t="s">
        <v>82</v>
      </c>
      <c r="D165" t="s">
        <v>33</v>
      </c>
      <c r="E165">
        <v>1</v>
      </c>
      <c r="F165">
        <v>1258950</v>
      </c>
      <c r="H165" t="s">
        <v>26</v>
      </c>
      <c r="I165" t="s">
        <v>26</v>
      </c>
      <c r="J165" t="s">
        <v>26</v>
      </c>
      <c r="K165" t="s">
        <v>26</v>
      </c>
      <c r="L165" t="s">
        <v>26</v>
      </c>
      <c r="M165" t="s">
        <v>26</v>
      </c>
      <c r="N165" t="s">
        <v>26</v>
      </c>
      <c r="O165" t="s">
        <v>26</v>
      </c>
      <c r="P165">
        <v>1</v>
      </c>
      <c r="Q165">
        <v>0</v>
      </c>
      <c r="R165">
        <v>1</v>
      </c>
      <c r="S165">
        <v>1</v>
      </c>
      <c r="T165">
        <v>0.79430000000000001</v>
      </c>
      <c r="U165">
        <v>1</v>
      </c>
      <c r="V165">
        <v>1</v>
      </c>
      <c r="W165">
        <f>E165/100</f>
        <v>0.01</v>
      </c>
      <c r="X165">
        <f>F165/1000000</f>
        <v>1.25895</v>
      </c>
      <c r="Y165">
        <f>IF(D165="C",1,0)</f>
        <v>1</v>
      </c>
      <c r="Z165">
        <f>IF(G165="C",1,0)</f>
        <v>0</v>
      </c>
      <c r="AA165">
        <f>IF(G165="S",1,0)</f>
        <v>0</v>
      </c>
      <c r="AB165">
        <f>IF(G165="U",1,0)</f>
        <v>0</v>
      </c>
      <c r="AC165" s="5">
        <f>IF(AND(ISNUMBER(H165),NOT(ISNUMBER(P165))),1,0)</f>
        <v>0</v>
      </c>
      <c r="AD165" s="5">
        <f>IF(AND(ISNUMBER(H165),ISNUMBER(P165)),1,0)</f>
        <v>0</v>
      </c>
      <c r="AE165" s="5">
        <f>W165</f>
        <v>0.01</v>
      </c>
      <c r="AF165" s="5">
        <f>X165</f>
        <v>1.25895</v>
      </c>
      <c r="AG165" s="5">
        <f>Y165</f>
        <v>1</v>
      </c>
      <c r="AH165" s="5">
        <f>IF(OR(G165="C",G165="S",G165="U"),1,0)</f>
        <v>0</v>
      </c>
      <c r="AI165" s="5">
        <f>IF(ISNUMBER(H165),1,0)</f>
        <v>0</v>
      </c>
      <c r="AJ165" s="5">
        <f>IF(ISNUMBER(P165),1,0)</f>
        <v>1</v>
      </c>
      <c r="AK165" s="5" t="str">
        <f>IF(AI165=1,IF(J165&gt;0,1,0),"")</f>
        <v/>
      </c>
      <c r="AL165" s="5">
        <f>IF(AJ165=1,IF(OR(Q165&gt;0,R165&gt;0),1,0),"")</f>
        <v>1</v>
      </c>
    </row>
    <row r="166" spans="1:38">
      <c r="A166">
        <v>130071</v>
      </c>
      <c r="B166" t="s">
        <v>228</v>
      </c>
      <c r="C166" t="s">
        <v>37</v>
      </c>
      <c r="D166" t="s">
        <v>24</v>
      </c>
      <c r="E166">
        <v>60</v>
      </c>
      <c r="F166">
        <v>20000</v>
      </c>
      <c r="G166" t="s">
        <v>25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>
        <v>1</v>
      </c>
      <c r="Q166">
        <v>0</v>
      </c>
      <c r="R166">
        <v>1</v>
      </c>
      <c r="S166">
        <v>1</v>
      </c>
      <c r="T166">
        <v>50</v>
      </c>
      <c r="U166">
        <v>1.67E-2</v>
      </c>
      <c r="V166">
        <v>1</v>
      </c>
      <c r="W166">
        <f>E166/100</f>
        <v>0.6</v>
      </c>
      <c r="X166">
        <f>F166/1000000</f>
        <v>0.02</v>
      </c>
      <c r="Y166">
        <f>IF(D166="C",1,0)</f>
        <v>0</v>
      </c>
      <c r="Z166">
        <f>IF(G166="C",1,0)</f>
        <v>0</v>
      </c>
      <c r="AA166">
        <f>IF(G166="S",1,0)</f>
        <v>1</v>
      </c>
      <c r="AB166">
        <f>IF(G166="U",1,0)</f>
        <v>0</v>
      </c>
      <c r="AC166" s="5">
        <f>IF(AND(ISNUMBER(H166),NOT(ISNUMBER(P166))),1,0)</f>
        <v>0</v>
      </c>
      <c r="AD166" s="5">
        <f>IF(AND(ISNUMBER(H166),ISNUMBER(P166)),1,0)</f>
        <v>0</v>
      </c>
      <c r="AE166" s="5">
        <f>W166</f>
        <v>0.6</v>
      </c>
      <c r="AF166" s="5">
        <f>X166</f>
        <v>0.02</v>
      </c>
      <c r="AG166" s="5">
        <f>Y166</f>
        <v>0</v>
      </c>
      <c r="AH166" s="5">
        <f>IF(OR(G166="C",G166="S",G166="U"),1,0)</f>
        <v>1</v>
      </c>
      <c r="AI166" s="5">
        <f>IF(ISNUMBER(H166),1,0)</f>
        <v>0</v>
      </c>
      <c r="AJ166" s="5">
        <f>IF(ISNUMBER(P166),1,0)</f>
        <v>1</v>
      </c>
      <c r="AK166" s="5" t="str">
        <f>IF(AI166=1,IF(J166&gt;0,1,0),"")</f>
        <v/>
      </c>
      <c r="AL166" s="5">
        <f>IF(AJ166=1,IF(OR(Q166&gt;0,R166&gt;0),1,0),"")</f>
        <v>1</v>
      </c>
    </row>
    <row r="167" spans="1:38">
      <c r="A167">
        <v>137476</v>
      </c>
      <c r="B167" t="s">
        <v>229</v>
      </c>
      <c r="C167" t="s">
        <v>82</v>
      </c>
      <c r="D167" t="s">
        <v>24</v>
      </c>
      <c r="E167">
        <v>40</v>
      </c>
      <c r="F167">
        <v>2120000</v>
      </c>
      <c r="G167" t="s">
        <v>25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>
        <v>1</v>
      </c>
      <c r="Q167">
        <v>0</v>
      </c>
      <c r="R167">
        <v>1</v>
      </c>
      <c r="S167">
        <v>0</v>
      </c>
      <c r="T167">
        <v>0.47170000000000001</v>
      </c>
      <c r="U167">
        <v>2.5000000000000001E-2</v>
      </c>
      <c r="V167">
        <v>1</v>
      </c>
      <c r="W167">
        <f>E167/100</f>
        <v>0.4</v>
      </c>
      <c r="X167">
        <f>F167/1000000</f>
        <v>2.12</v>
      </c>
      <c r="Y167">
        <f>IF(D167="C",1,0)</f>
        <v>0</v>
      </c>
      <c r="Z167">
        <f>IF(G167="C",1,0)</f>
        <v>0</v>
      </c>
      <c r="AA167">
        <f>IF(G167="S",1,0)</f>
        <v>1</v>
      </c>
      <c r="AB167">
        <f>IF(G167="U",1,0)</f>
        <v>0</v>
      </c>
      <c r="AC167" s="5">
        <f>IF(AND(ISNUMBER(H167),NOT(ISNUMBER(P167))),1,0)</f>
        <v>0</v>
      </c>
      <c r="AD167" s="5">
        <f>IF(AND(ISNUMBER(H167),ISNUMBER(P167)),1,0)</f>
        <v>0</v>
      </c>
      <c r="AE167" s="5">
        <f>W167</f>
        <v>0.4</v>
      </c>
      <c r="AF167" s="5">
        <f>X167</f>
        <v>2.12</v>
      </c>
      <c r="AG167" s="5">
        <f>Y167</f>
        <v>0</v>
      </c>
      <c r="AH167" s="5">
        <f>IF(OR(G167="C",G167="S",G167="U"),1,0)</f>
        <v>1</v>
      </c>
      <c r="AI167" s="5">
        <f>IF(ISNUMBER(H167),1,0)</f>
        <v>0</v>
      </c>
      <c r="AJ167" s="5">
        <f>IF(ISNUMBER(P167),1,0)</f>
        <v>1</v>
      </c>
      <c r="AK167" s="5" t="str">
        <f>IF(AI167=1,IF(J167&gt;0,1,0),"")</f>
        <v/>
      </c>
      <c r="AL167" s="5">
        <f>IF(AJ167=1,IF(OR(Q167&gt;0,R167&gt;0),1,0),"")</f>
        <v>1</v>
      </c>
    </row>
    <row r="168" spans="1:38">
      <c r="A168">
        <v>138882</v>
      </c>
      <c r="B168" t="s">
        <v>230</v>
      </c>
      <c r="C168" t="s">
        <v>23</v>
      </c>
      <c r="D168" t="s">
        <v>24</v>
      </c>
      <c r="E168">
        <v>131</v>
      </c>
      <c r="F168">
        <v>862187</v>
      </c>
      <c r="G168" t="s">
        <v>25</v>
      </c>
      <c r="H168" t="s">
        <v>26</v>
      </c>
      <c r="I168" t="s">
        <v>26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>
        <v>1</v>
      </c>
      <c r="Q168">
        <v>0</v>
      </c>
      <c r="R168">
        <v>0</v>
      </c>
      <c r="S168">
        <v>1</v>
      </c>
      <c r="T168">
        <v>1.1597999999999999</v>
      </c>
      <c r="U168">
        <v>7.6E-3</v>
      </c>
      <c r="V168">
        <v>0</v>
      </c>
      <c r="W168">
        <f>E168/100</f>
        <v>1.31</v>
      </c>
      <c r="X168">
        <f>F168/1000000</f>
        <v>0.86218700000000004</v>
      </c>
      <c r="Y168">
        <f>IF(D168="C",1,0)</f>
        <v>0</v>
      </c>
      <c r="Z168">
        <f>IF(G168="C",1,0)</f>
        <v>0</v>
      </c>
      <c r="AA168">
        <f>IF(G168="S",1,0)</f>
        <v>1</v>
      </c>
      <c r="AB168">
        <f>IF(G168="U",1,0)</f>
        <v>0</v>
      </c>
      <c r="AC168" s="5">
        <f>IF(AND(ISNUMBER(H168),NOT(ISNUMBER(P168))),1,0)</f>
        <v>0</v>
      </c>
      <c r="AD168" s="5">
        <f>IF(AND(ISNUMBER(H168),ISNUMBER(P168)),1,0)</f>
        <v>0</v>
      </c>
      <c r="AE168" s="5">
        <f>W168</f>
        <v>1.31</v>
      </c>
      <c r="AF168" s="5">
        <f>X168</f>
        <v>0.86218700000000004</v>
      </c>
      <c r="AG168" s="5">
        <f>Y168</f>
        <v>0</v>
      </c>
      <c r="AH168" s="5">
        <f>IF(OR(G168="C",G168="S",G168="U"),1,0)</f>
        <v>1</v>
      </c>
      <c r="AI168" s="5">
        <f>IF(ISNUMBER(H168),1,0)</f>
        <v>0</v>
      </c>
      <c r="AJ168" s="5">
        <f>IF(ISNUMBER(P168),1,0)</f>
        <v>1</v>
      </c>
      <c r="AK168" s="5" t="str">
        <f>IF(AI168=1,IF(J168&gt;0,1,0),"")</f>
        <v/>
      </c>
      <c r="AL168" s="5">
        <f>IF(AJ168=1,IF(OR(Q168&gt;0,R168&gt;0),1,0),"")</f>
        <v>0</v>
      </c>
    </row>
    <row r="169" spans="1:38">
      <c r="A169">
        <v>139153</v>
      </c>
      <c r="B169" t="s">
        <v>231</v>
      </c>
      <c r="C169" t="s">
        <v>23</v>
      </c>
      <c r="D169" t="s">
        <v>24</v>
      </c>
      <c r="E169">
        <v>11</v>
      </c>
      <c r="F169">
        <v>429717</v>
      </c>
      <c r="G169" t="s">
        <v>25</v>
      </c>
      <c r="H169" t="s">
        <v>26</v>
      </c>
      <c r="I169" t="s">
        <v>26</v>
      </c>
      <c r="J169" t="s">
        <v>26</v>
      </c>
      <c r="K169" t="s">
        <v>26</v>
      </c>
      <c r="L169" t="s">
        <v>26</v>
      </c>
      <c r="M169" t="s">
        <v>26</v>
      </c>
      <c r="N169" t="s">
        <v>26</v>
      </c>
      <c r="O169" t="s">
        <v>26</v>
      </c>
      <c r="P169">
        <v>1</v>
      </c>
      <c r="Q169">
        <v>0</v>
      </c>
      <c r="R169">
        <v>1</v>
      </c>
      <c r="S169">
        <v>0</v>
      </c>
      <c r="T169">
        <v>2.3271000000000002</v>
      </c>
      <c r="U169">
        <v>9.0899999999999995E-2</v>
      </c>
      <c r="V169">
        <v>1</v>
      </c>
      <c r="W169">
        <f>E169/100</f>
        <v>0.11</v>
      </c>
      <c r="X169">
        <f>F169/1000000</f>
        <v>0.42971700000000002</v>
      </c>
      <c r="Y169">
        <f>IF(D169="C",1,0)</f>
        <v>0</v>
      </c>
      <c r="Z169">
        <f>IF(G169="C",1,0)</f>
        <v>0</v>
      </c>
      <c r="AA169">
        <f>IF(G169="S",1,0)</f>
        <v>1</v>
      </c>
      <c r="AB169">
        <f>IF(G169="U",1,0)</f>
        <v>0</v>
      </c>
      <c r="AC169" s="5">
        <f>IF(AND(ISNUMBER(H169),NOT(ISNUMBER(P169))),1,0)</f>
        <v>0</v>
      </c>
      <c r="AD169" s="5">
        <f>IF(AND(ISNUMBER(H169),ISNUMBER(P169)),1,0)</f>
        <v>0</v>
      </c>
      <c r="AE169" s="5">
        <f>W169</f>
        <v>0.11</v>
      </c>
      <c r="AF169" s="5">
        <f>X169</f>
        <v>0.42971700000000002</v>
      </c>
      <c r="AG169" s="5">
        <f>Y169</f>
        <v>0</v>
      </c>
      <c r="AH169" s="5">
        <f>IF(OR(G169="C",G169="S",G169="U"),1,0)</f>
        <v>1</v>
      </c>
      <c r="AI169" s="5">
        <f>IF(ISNUMBER(H169),1,0)</f>
        <v>0</v>
      </c>
      <c r="AJ169" s="5">
        <f>IF(ISNUMBER(P169),1,0)</f>
        <v>1</v>
      </c>
      <c r="AK169" s="5" t="str">
        <f>IF(AI169=1,IF(J169&gt;0,1,0),"")</f>
        <v/>
      </c>
      <c r="AL169" s="5">
        <f>IF(AJ169=1,IF(OR(Q169&gt;0,R169&gt;0),1,0),"")</f>
        <v>1</v>
      </c>
    </row>
    <row r="170" spans="1:38">
      <c r="A170">
        <v>140103</v>
      </c>
      <c r="B170" t="s">
        <v>232</v>
      </c>
      <c r="C170" t="s">
        <v>30</v>
      </c>
      <c r="D170" t="s">
        <v>24</v>
      </c>
      <c r="E170">
        <v>54</v>
      </c>
      <c r="F170">
        <v>5797965</v>
      </c>
      <c r="G170" t="s">
        <v>25</v>
      </c>
      <c r="H170" t="s">
        <v>26</v>
      </c>
      <c r="I170" t="s">
        <v>26</v>
      </c>
      <c r="J170" t="s">
        <v>26</v>
      </c>
      <c r="K170" t="s">
        <v>26</v>
      </c>
      <c r="L170" t="s">
        <v>26</v>
      </c>
      <c r="M170" t="s">
        <v>26</v>
      </c>
      <c r="N170" t="s">
        <v>26</v>
      </c>
      <c r="O170" t="s">
        <v>26</v>
      </c>
      <c r="P170">
        <v>1</v>
      </c>
      <c r="Q170">
        <v>0</v>
      </c>
      <c r="R170">
        <v>0</v>
      </c>
      <c r="S170">
        <v>1</v>
      </c>
      <c r="T170">
        <v>0.17249999999999999</v>
      </c>
      <c r="U170">
        <v>1.8499999999999999E-2</v>
      </c>
      <c r="V170">
        <v>0</v>
      </c>
      <c r="W170">
        <f>E170/100</f>
        <v>0.54</v>
      </c>
      <c r="X170">
        <f>F170/1000000</f>
        <v>5.7979649999999996</v>
      </c>
      <c r="Y170">
        <f>IF(D170="C",1,0)</f>
        <v>0</v>
      </c>
      <c r="Z170">
        <f>IF(G170="C",1,0)</f>
        <v>0</v>
      </c>
      <c r="AA170">
        <f>IF(G170="S",1,0)</f>
        <v>1</v>
      </c>
      <c r="AB170">
        <f>IF(G170="U",1,0)</f>
        <v>0</v>
      </c>
      <c r="AC170" s="5">
        <f>IF(AND(ISNUMBER(H170),NOT(ISNUMBER(P170))),1,0)</f>
        <v>0</v>
      </c>
      <c r="AD170" s="5">
        <f>IF(AND(ISNUMBER(H170),ISNUMBER(P170)),1,0)</f>
        <v>0</v>
      </c>
      <c r="AE170" s="5">
        <f>W170</f>
        <v>0.54</v>
      </c>
      <c r="AF170" s="5">
        <f>X170</f>
        <v>5.7979649999999996</v>
      </c>
      <c r="AG170" s="5">
        <f>Y170</f>
        <v>0</v>
      </c>
      <c r="AH170" s="5">
        <f>IF(OR(G170="C",G170="S",G170="U"),1,0)</f>
        <v>1</v>
      </c>
      <c r="AI170" s="5">
        <f>IF(ISNUMBER(H170),1,0)</f>
        <v>0</v>
      </c>
      <c r="AJ170" s="5">
        <f>IF(ISNUMBER(P170),1,0)</f>
        <v>1</v>
      </c>
      <c r="AK170" s="5" t="str">
        <f>IF(AI170=1,IF(J170&gt;0,1,0),"")</f>
        <v/>
      </c>
      <c r="AL170" s="5">
        <f>IF(AJ170=1,IF(OR(Q170&gt;0,R170&gt;0),1,0),"")</f>
        <v>0</v>
      </c>
    </row>
    <row r="171" spans="1:38">
      <c r="A171">
        <v>144979</v>
      </c>
      <c r="B171" t="s">
        <v>234</v>
      </c>
      <c r="C171" t="s">
        <v>82</v>
      </c>
      <c r="D171" t="s">
        <v>24</v>
      </c>
      <c r="E171">
        <v>19</v>
      </c>
      <c r="F171">
        <v>1284320</v>
      </c>
      <c r="G171" t="s">
        <v>25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>
        <v>1</v>
      </c>
      <c r="Q171">
        <v>0</v>
      </c>
      <c r="R171">
        <v>1</v>
      </c>
      <c r="S171">
        <v>1</v>
      </c>
      <c r="T171">
        <v>0.77859999999999996</v>
      </c>
      <c r="U171">
        <v>5.2600000000000001E-2</v>
      </c>
      <c r="V171">
        <v>1</v>
      </c>
      <c r="W171">
        <f>E171/100</f>
        <v>0.19</v>
      </c>
      <c r="X171">
        <f>F171/1000000</f>
        <v>1.2843199999999999</v>
      </c>
      <c r="Y171">
        <f>IF(D171="C",1,0)</f>
        <v>0</v>
      </c>
      <c r="Z171">
        <f>IF(G171="C",1,0)</f>
        <v>0</v>
      </c>
      <c r="AA171">
        <f>IF(G171="S",1,0)</f>
        <v>1</v>
      </c>
      <c r="AB171">
        <f>IF(G171="U",1,0)</f>
        <v>0</v>
      </c>
      <c r="AC171" s="5">
        <f>IF(AND(ISNUMBER(H171),NOT(ISNUMBER(P171))),1,0)</f>
        <v>0</v>
      </c>
      <c r="AD171" s="5">
        <f>IF(AND(ISNUMBER(H171),ISNUMBER(P171)),1,0)</f>
        <v>0</v>
      </c>
      <c r="AE171" s="5">
        <f>W171</f>
        <v>0.19</v>
      </c>
      <c r="AF171" s="5">
        <f>X171</f>
        <v>1.2843199999999999</v>
      </c>
      <c r="AG171" s="5">
        <f>Y171</f>
        <v>0</v>
      </c>
      <c r="AH171" s="5">
        <f>IF(OR(G171="C",G171="S",G171="U"),1,0)</f>
        <v>1</v>
      </c>
      <c r="AI171" s="5">
        <f>IF(ISNUMBER(H171),1,0)</f>
        <v>0</v>
      </c>
      <c r="AJ171" s="5">
        <f>IF(ISNUMBER(P171),1,0)</f>
        <v>1</v>
      </c>
      <c r="AK171" s="5" t="str">
        <f>IF(AI171=1,IF(J171&gt;0,1,0),"")</f>
        <v/>
      </c>
      <c r="AL171" s="5">
        <f>IF(AJ171=1,IF(OR(Q171&gt;0,R171&gt;0),1,0),"")</f>
        <v>1</v>
      </c>
    </row>
    <row r="172" spans="1:38">
      <c r="A172">
        <v>145713</v>
      </c>
      <c r="B172" t="s">
        <v>236</v>
      </c>
      <c r="C172" t="s">
        <v>23</v>
      </c>
      <c r="D172" t="s">
        <v>24</v>
      </c>
      <c r="E172">
        <v>2</v>
      </c>
      <c r="F172">
        <v>84458</v>
      </c>
      <c r="H172" t="s">
        <v>26</v>
      </c>
      <c r="I172" t="s">
        <v>26</v>
      </c>
      <c r="J172" t="s">
        <v>26</v>
      </c>
      <c r="K172" t="s">
        <v>26</v>
      </c>
      <c r="L172" t="s">
        <v>26</v>
      </c>
      <c r="M172" t="s">
        <v>26</v>
      </c>
      <c r="N172" t="s">
        <v>26</v>
      </c>
      <c r="O172" t="s">
        <v>26</v>
      </c>
      <c r="P172">
        <v>1</v>
      </c>
      <c r="Q172">
        <v>0</v>
      </c>
      <c r="R172">
        <v>1</v>
      </c>
      <c r="S172">
        <v>1</v>
      </c>
      <c r="T172">
        <v>11.840199999999999</v>
      </c>
      <c r="U172">
        <v>0.5</v>
      </c>
      <c r="V172">
        <v>1</v>
      </c>
      <c r="W172">
        <f>E172/100</f>
        <v>0.02</v>
      </c>
      <c r="X172">
        <f>F172/1000000</f>
        <v>8.4458000000000005E-2</v>
      </c>
      <c r="Y172">
        <f>IF(D172="C",1,0)</f>
        <v>0</v>
      </c>
      <c r="Z172">
        <f>IF(G172="C",1,0)</f>
        <v>0</v>
      </c>
      <c r="AA172">
        <f>IF(G172="S",1,0)</f>
        <v>0</v>
      </c>
      <c r="AB172">
        <f>IF(G172="U",1,0)</f>
        <v>0</v>
      </c>
      <c r="AC172" s="5">
        <f>IF(AND(ISNUMBER(H172),NOT(ISNUMBER(P172))),1,0)</f>
        <v>0</v>
      </c>
      <c r="AD172" s="5">
        <f>IF(AND(ISNUMBER(H172),ISNUMBER(P172)),1,0)</f>
        <v>0</v>
      </c>
      <c r="AE172" s="5">
        <f>W172</f>
        <v>0.02</v>
      </c>
      <c r="AF172" s="5">
        <f>X172</f>
        <v>8.4458000000000005E-2</v>
      </c>
      <c r="AG172" s="5">
        <f>Y172</f>
        <v>0</v>
      </c>
      <c r="AH172" s="5">
        <f>IF(OR(G172="C",G172="S",G172="U"),1,0)</f>
        <v>0</v>
      </c>
      <c r="AI172" s="5">
        <f>IF(ISNUMBER(H172),1,0)</f>
        <v>0</v>
      </c>
      <c r="AJ172" s="5">
        <f>IF(ISNUMBER(P172),1,0)</f>
        <v>1</v>
      </c>
      <c r="AK172" s="5" t="str">
        <f>IF(AI172=1,IF(J172&gt;0,1,0),"")</f>
        <v/>
      </c>
      <c r="AL172" s="5">
        <f>IF(AJ172=1,IF(OR(Q172&gt;0,R172&gt;0),1,0),"")</f>
        <v>1</v>
      </c>
    </row>
    <row r="173" spans="1:38">
      <c r="A173">
        <v>147462</v>
      </c>
      <c r="B173" t="s">
        <v>237</v>
      </c>
      <c r="C173" t="s">
        <v>23</v>
      </c>
      <c r="D173" t="s">
        <v>24</v>
      </c>
      <c r="E173">
        <v>16</v>
      </c>
      <c r="F173">
        <v>209000</v>
      </c>
      <c r="H173" t="s">
        <v>26</v>
      </c>
      <c r="I173" t="s">
        <v>26</v>
      </c>
      <c r="J173" t="s">
        <v>26</v>
      </c>
      <c r="K173" t="s">
        <v>26</v>
      </c>
      <c r="L173" t="s">
        <v>26</v>
      </c>
      <c r="M173" t="s">
        <v>26</v>
      </c>
      <c r="N173" t="s">
        <v>26</v>
      </c>
      <c r="O173" t="s">
        <v>26</v>
      </c>
      <c r="P173">
        <v>1</v>
      </c>
      <c r="Q173">
        <v>0</v>
      </c>
      <c r="R173">
        <v>0</v>
      </c>
      <c r="S173">
        <v>1</v>
      </c>
      <c r="T173">
        <v>4.7847</v>
      </c>
      <c r="U173">
        <v>6.25E-2</v>
      </c>
      <c r="V173">
        <v>0</v>
      </c>
      <c r="W173">
        <f>E173/100</f>
        <v>0.16</v>
      </c>
      <c r="X173">
        <f>F173/1000000</f>
        <v>0.20899999999999999</v>
      </c>
      <c r="Y173">
        <f>IF(D173="C",1,0)</f>
        <v>0</v>
      </c>
      <c r="Z173">
        <f>IF(G173="C",1,0)</f>
        <v>0</v>
      </c>
      <c r="AA173">
        <f>IF(G173="S",1,0)</f>
        <v>0</v>
      </c>
      <c r="AB173">
        <f>IF(G173="U",1,0)</f>
        <v>0</v>
      </c>
      <c r="AC173" s="5">
        <f>IF(AND(ISNUMBER(H173),NOT(ISNUMBER(P173))),1,0)</f>
        <v>0</v>
      </c>
      <c r="AD173" s="5">
        <f>IF(AND(ISNUMBER(H173),ISNUMBER(P173)),1,0)</f>
        <v>0</v>
      </c>
      <c r="AE173" s="5">
        <f>W173</f>
        <v>0.16</v>
      </c>
      <c r="AF173" s="5">
        <f>X173</f>
        <v>0.20899999999999999</v>
      </c>
      <c r="AG173" s="5">
        <f>Y173</f>
        <v>0</v>
      </c>
      <c r="AH173" s="5">
        <f>IF(OR(G173="C",G173="S",G173="U"),1,0)</f>
        <v>0</v>
      </c>
      <c r="AI173" s="5">
        <f>IF(ISNUMBER(H173),1,0)</f>
        <v>0</v>
      </c>
      <c r="AJ173" s="5">
        <f>IF(ISNUMBER(P173),1,0)</f>
        <v>1</v>
      </c>
      <c r="AK173" s="5" t="str">
        <f>IF(AI173=1,IF(J173&gt;0,1,0),"")</f>
        <v/>
      </c>
      <c r="AL173" s="5">
        <f>IF(AJ173=1,IF(OR(Q173&gt;0,R173&gt;0),1,0),"")</f>
        <v>0</v>
      </c>
    </row>
    <row r="174" spans="1:38">
      <c r="A174">
        <v>148235</v>
      </c>
      <c r="B174" t="s">
        <v>238</v>
      </c>
      <c r="C174" t="s">
        <v>183</v>
      </c>
      <c r="D174" t="s">
        <v>24</v>
      </c>
      <c r="E174">
        <v>16</v>
      </c>
      <c r="F174">
        <v>311337</v>
      </c>
      <c r="G174" t="s">
        <v>25</v>
      </c>
      <c r="H174" t="s">
        <v>26</v>
      </c>
      <c r="I174" t="s">
        <v>26</v>
      </c>
      <c r="J174" t="s">
        <v>26</v>
      </c>
      <c r="K174" t="s">
        <v>26</v>
      </c>
      <c r="L174" t="s">
        <v>26</v>
      </c>
      <c r="M174" t="s">
        <v>26</v>
      </c>
      <c r="N174" t="s">
        <v>26</v>
      </c>
      <c r="O174" t="s">
        <v>26</v>
      </c>
      <c r="P174">
        <v>1</v>
      </c>
      <c r="Q174">
        <v>0</v>
      </c>
      <c r="R174">
        <v>1</v>
      </c>
      <c r="S174">
        <v>0</v>
      </c>
      <c r="T174">
        <v>3.2120000000000002</v>
      </c>
      <c r="U174">
        <v>6.25E-2</v>
      </c>
      <c r="V174">
        <v>1</v>
      </c>
      <c r="W174">
        <f>E174/100</f>
        <v>0.16</v>
      </c>
      <c r="X174">
        <f>F174/1000000</f>
        <v>0.31133699999999997</v>
      </c>
      <c r="Y174">
        <f>IF(D174="C",1,0)</f>
        <v>0</v>
      </c>
      <c r="Z174">
        <f>IF(G174="C",1,0)</f>
        <v>0</v>
      </c>
      <c r="AA174">
        <f>IF(G174="S",1,0)</f>
        <v>1</v>
      </c>
      <c r="AB174">
        <f>IF(G174="U",1,0)</f>
        <v>0</v>
      </c>
      <c r="AC174" s="5">
        <f>IF(AND(ISNUMBER(H174),NOT(ISNUMBER(P174))),1,0)</f>
        <v>0</v>
      </c>
      <c r="AD174" s="5">
        <f>IF(AND(ISNUMBER(H174),ISNUMBER(P174)),1,0)</f>
        <v>0</v>
      </c>
      <c r="AE174" s="5">
        <f>W174</f>
        <v>0.16</v>
      </c>
      <c r="AF174" s="5">
        <f>X174</f>
        <v>0.31133699999999997</v>
      </c>
      <c r="AG174" s="5">
        <f>Y174</f>
        <v>0</v>
      </c>
      <c r="AH174" s="5">
        <f>IF(OR(G174="C",G174="S",G174="U"),1,0)</f>
        <v>1</v>
      </c>
      <c r="AI174" s="5">
        <f>IF(ISNUMBER(H174),1,0)</f>
        <v>0</v>
      </c>
      <c r="AJ174" s="5">
        <f>IF(ISNUMBER(P174),1,0)</f>
        <v>1</v>
      </c>
      <c r="AK174" s="5" t="str">
        <f>IF(AI174=1,IF(J174&gt;0,1,0),"")</f>
        <v/>
      </c>
      <c r="AL174" s="5">
        <f>IF(AJ174=1,IF(OR(Q174&gt;0,R174&gt;0),1,0),"")</f>
        <v>1</v>
      </c>
    </row>
    <row r="175" spans="1:38">
      <c r="A175">
        <v>149180</v>
      </c>
      <c r="B175" t="s">
        <v>239</v>
      </c>
      <c r="C175" t="s">
        <v>42</v>
      </c>
      <c r="D175" t="s">
        <v>24</v>
      </c>
      <c r="E175">
        <v>137</v>
      </c>
      <c r="F175">
        <v>9200000</v>
      </c>
      <c r="G175" t="s">
        <v>25</v>
      </c>
      <c r="H175" t="s">
        <v>26</v>
      </c>
      <c r="I175" t="s">
        <v>26</v>
      </c>
      <c r="J175" t="s">
        <v>26</v>
      </c>
      <c r="K175" t="s">
        <v>26</v>
      </c>
      <c r="L175" t="s">
        <v>26</v>
      </c>
      <c r="M175" t="s">
        <v>26</v>
      </c>
      <c r="N175" t="s">
        <v>26</v>
      </c>
      <c r="O175" t="s">
        <v>26</v>
      </c>
      <c r="P175">
        <v>2</v>
      </c>
      <c r="Q175">
        <v>0</v>
      </c>
      <c r="R175">
        <v>1</v>
      </c>
      <c r="S175">
        <v>2</v>
      </c>
      <c r="T175">
        <v>0.21740000000000001</v>
      </c>
      <c r="U175">
        <v>1.46E-2</v>
      </c>
      <c r="V175">
        <v>1</v>
      </c>
      <c r="W175">
        <f>E175/100</f>
        <v>1.37</v>
      </c>
      <c r="X175">
        <f>F175/1000000</f>
        <v>9.1999999999999993</v>
      </c>
      <c r="Y175">
        <f>IF(D175="C",1,0)</f>
        <v>0</v>
      </c>
      <c r="Z175">
        <f>IF(G175="C",1,0)</f>
        <v>0</v>
      </c>
      <c r="AA175">
        <f>IF(G175="S",1,0)</f>
        <v>1</v>
      </c>
      <c r="AB175">
        <f>IF(G175="U",1,0)</f>
        <v>0</v>
      </c>
      <c r="AC175" s="5">
        <f>IF(AND(ISNUMBER(H175),NOT(ISNUMBER(P175))),1,0)</f>
        <v>0</v>
      </c>
      <c r="AD175" s="5">
        <f>IF(AND(ISNUMBER(H175),ISNUMBER(P175)),1,0)</f>
        <v>0</v>
      </c>
      <c r="AE175" s="5">
        <f>W175</f>
        <v>1.37</v>
      </c>
      <c r="AF175" s="5">
        <f>X175</f>
        <v>9.1999999999999993</v>
      </c>
      <c r="AG175" s="5">
        <f>Y175</f>
        <v>0</v>
      </c>
      <c r="AH175" s="5">
        <f>IF(OR(G175="C",G175="S",G175="U"),1,0)</f>
        <v>1</v>
      </c>
      <c r="AI175" s="5">
        <f>IF(ISNUMBER(H175),1,0)</f>
        <v>0</v>
      </c>
      <c r="AJ175" s="5">
        <f>IF(ISNUMBER(P175),1,0)</f>
        <v>1</v>
      </c>
      <c r="AK175" s="5" t="str">
        <f>IF(AI175=1,IF(J175&gt;0,1,0),"")</f>
        <v/>
      </c>
      <c r="AL175" s="5">
        <f>IF(AJ175=1,IF(OR(Q175&gt;0,R175&gt;0),1,0),"")</f>
        <v>1</v>
      </c>
    </row>
    <row r="176" spans="1:38">
      <c r="A176">
        <v>150457</v>
      </c>
      <c r="B176" t="s">
        <v>240</v>
      </c>
      <c r="C176" t="s">
        <v>82</v>
      </c>
      <c r="D176" t="s">
        <v>24</v>
      </c>
      <c r="E176">
        <v>76</v>
      </c>
      <c r="F176">
        <v>4780000</v>
      </c>
      <c r="G176" t="s">
        <v>25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>
        <v>1</v>
      </c>
      <c r="Q176">
        <v>0</v>
      </c>
      <c r="R176">
        <v>1</v>
      </c>
      <c r="S176">
        <v>0</v>
      </c>
      <c r="T176">
        <v>0.2092</v>
      </c>
      <c r="U176">
        <v>1.32E-2</v>
      </c>
      <c r="V176">
        <v>1</v>
      </c>
      <c r="W176">
        <f>E176/100</f>
        <v>0.76</v>
      </c>
      <c r="X176">
        <f>F176/1000000</f>
        <v>4.78</v>
      </c>
      <c r="Y176">
        <f>IF(D176="C",1,0)</f>
        <v>0</v>
      </c>
      <c r="Z176">
        <f>IF(G176="C",1,0)</f>
        <v>0</v>
      </c>
      <c r="AA176">
        <f>IF(G176="S",1,0)</f>
        <v>1</v>
      </c>
      <c r="AB176">
        <f>IF(G176="U",1,0)</f>
        <v>0</v>
      </c>
      <c r="AC176" s="5">
        <f>IF(AND(ISNUMBER(H176),NOT(ISNUMBER(P176))),1,0)</f>
        <v>0</v>
      </c>
      <c r="AD176" s="5">
        <f>IF(AND(ISNUMBER(H176),ISNUMBER(P176)),1,0)</f>
        <v>0</v>
      </c>
      <c r="AE176" s="5">
        <f>W176</f>
        <v>0.76</v>
      </c>
      <c r="AF176" s="5">
        <f>X176</f>
        <v>4.78</v>
      </c>
      <c r="AG176" s="5">
        <f>Y176</f>
        <v>0</v>
      </c>
      <c r="AH176" s="5">
        <f>IF(OR(G176="C",G176="S",G176="U"),1,0)</f>
        <v>1</v>
      </c>
      <c r="AI176" s="5">
        <f>IF(ISNUMBER(H176),1,0)</f>
        <v>0</v>
      </c>
      <c r="AJ176" s="5">
        <f>IF(ISNUMBER(P176),1,0)</f>
        <v>1</v>
      </c>
      <c r="AK176" s="5" t="str">
        <f>IF(AI176=1,IF(J176&gt;0,1,0),"")</f>
        <v/>
      </c>
      <c r="AL176" s="5">
        <f>IF(AJ176=1,IF(OR(Q176&gt;0,R176&gt;0),1,0),"")</f>
        <v>1</v>
      </c>
    </row>
    <row r="177" spans="1:38">
      <c r="A177">
        <v>151375</v>
      </c>
      <c r="B177" t="s">
        <v>241</v>
      </c>
      <c r="C177" t="s">
        <v>135</v>
      </c>
      <c r="D177" t="s">
        <v>24</v>
      </c>
      <c r="E177">
        <v>1</v>
      </c>
      <c r="F177">
        <v>10000</v>
      </c>
      <c r="G177" t="s">
        <v>25</v>
      </c>
      <c r="H177" t="s">
        <v>26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>
        <v>1</v>
      </c>
      <c r="Q177">
        <v>0</v>
      </c>
      <c r="R177">
        <v>1</v>
      </c>
      <c r="S177">
        <v>1</v>
      </c>
      <c r="T177">
        <v>100</v>
      </c>
      <c r="U177">
        <v>1</v>
      </c>
      <c r="V177">
        <v>1</v>
      </c>
      <c r="W177">
        <f>E177/100</f>
        <v>0.01</v>
      </c>
      <c r="X177">
        <f>F177/1000000</f>
        <v>0.01</v>
      </c>
      <c r="Y177">
        <f>IF(D177="C",1,0)</f>
        <v>0</v>
      </c>
      <c r="Z177">
        <f>IF(G177="C",1,0)</f>
        <v>0</v>
      </c>
      <c r="AA177">
        <f>IF(G177="S",1,0)</f>
        <v>1</v>
      </c>
      <c r="AB177">
        <f>IF(G177="U",1,0)</f>
        <v>0</v>
      </c>
      <c r="AC177" s="5">
        <f>IF(AND(ISNUMBER(H177),NOT(ISNUMBER(P177))),1,0)</f>
        <v>0</v>
      </c>
      <c r="AD177" s="5">
        <f>IF(AND(ISNUMBER(H177),ISNUMBER(P177)),1,0)</f>
        <v>0</v>
      </c>
      <c r="AE177" s="5">
        <f>W177</f>
        <v>0.01</v>
      </c>
      <c r="AF177" s="5">
        <f>X177</f>
        <v>0.01</v>
      </c>
      <c r="AG177" s="5">
        <f>Y177</f>
        <v>0</v>
      </c>
      <c r="AH177" s="5">
        <f>IF(OR(G177="C",G177="S",G177="U"),1,0)</f>
        <v>1</v>
      </c>
      <c r="AI177" s="5">
        <f>IF(ISNUMBER(H177),1,0)</f>
        <v>0</v>
      </c>
      <c r="AJ177" s="5">
        <f>IF(ISNUMBER(P177),1,0)</f>
        <v>1</v>
      </c>
      <c r="AK177" s="5" t="str">
        <f>IF(AI177=1,IF(J177&gt;0,1,0),"")</f>
        <v/>
      </c>
      <c r="AL177" s="5">
        <f>IF(AJ177=1,IF(OR(Q177&gt;0,R177&gt;0),1,0),"")</f>
        <v>1</v>
      </c>
    </row>
    <row r="178" spans="1:38">
      <c r="A178">
        <v>151391</v>
      </c>
      <c r="B178" t="s">
        <v>242</v>
      </c>
      <c r="C178" t="s">
        <v>23</v>
      </c>
      <c r="D178" t="s">
        <v>24</v>
      </c>
      <c r="E178">
        <v>5</v>
      </c>
      <c r="F178">
        <v>282000</v>
      </c>
      <c r="G178" t="s">
        <v>25</v>
      </c>
      <c r="H178" t="s">
        <v>26</v>
      </c>
      <c r="I178" t="s">
        <v>26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>
        <v>1</v>
      </c>
      <c r="Q178">
        <v>0</v>
      </c>
      <c r="R178">
        <v>1</v>
      </c>
      <c r="S178">
        <v>1</v>
      </c>
      <c r="T178">
        <v>3.5461</v>
      </c>
      <c r="U178">
        <v>0.2</v>
      </c>
      <c r="V178">
        <v>1</v>
      </c>
      <c r="W178">
        <f>E178/100</f>
        <v>0.05</v>
      </c>
      <c r="X178">
        <f>F178/1000000</f>
        <v>0.28199999999999997</v>
      </c>
      <c r="Y178">
        <f>IF(D178="C",1,0)</f>
        <v>0</v>
      </c>
      <c r="Z178">
        <f>IF(G178="C",1,0)</f>
        <v>0</v>
      </c>
      <c r="AA178">
        <f>IF(G178="S",1,0)</f>
        <v>1</v>
      </c>
      <c r="AB178">
        <f>IF(G178="U",1,0)</f>
        <v>0</v>
      </c>
      <c r="AC178" s="5">
        <f>IF(AND(ISNUMBER(H178),NOT(ISNUMBER(P178))),1,0)</f>
        <v>0</v>
      </c>
      <c r="AD178" s="5">
        <f>IF(AND(ISNUMBER(H178),ISNUMBER(P178)),1,0)</f>
        <v>0</v>
      </c>
      <c r="AE178" s="5">
        <f>W178</f>
        <v>0.05</v>
      </c>
      <c r="AF178" s="5">
        <f>X178</f>
        <v>0.28199999999999997</v>
      </c>
      <c r="AG178" s="5">
        <f>Y178</f>
        <v>0</v>
      </c>
      <c r="AH178" s="5">
        <f>IF(OR(G178="C",G178="S",G178="U"),1,0)</f>
        <v>1</v>
      </c>
      <c r="AI178" s="5">
        <f>IF(ISNUMBER(H178),1,0)</f>
        <v>0</v>
      </c>
      <c r="AJ178" s="5">
        <f>IF(ISNUMBER(P178),1,0)</f>
        <v>1</v>
      </c>
      <c r="AK178" s="5" t="str">
        <f>IF(AI178=1,IF(J178&gt;0,1,0),"")</f>
        <v/>
      </c>
      <c r="AL178" s="5">
        <f>IF(AJ178=1,IF(OR(Q178&gt;0,R178&gt;0),1,0),"")</f>
        <v>1</v>
      </c>
    </row>
    <row r="179" spans="1:38">
      <c r="A179">
        <v>153358</v>
      </c>
      <c r="B179" t="s">
        <v>243</v>
      </c>
      <c r="C179" t="s">
        <v>82</v>
      </c>
      <c r="D179" t="s">
        <v>24</v>
      </c>
      <c r="E179">
        <v>8</v>
      </c>
      <c r="F179">
        <v>300144</v>
      </c>
      <c r="G179" t="s">
        <v>33</v>
      </c>
      <c r="H179" t="s">
        <v>26</v>
      </c>
      <c r="I179" t="s">
        <v>26</v>
      </c>
      <c r="J179" t="s">
        <v>26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>
        <v>1</v>
      </c>
      <c r="Q179">
        <v>0</v>
      </c>
      <c r="R179">
        <v>0</v>
      </c>
      <c r="S179">
        <v>1</v>
      </c>
      <c r="T179">
        <v>3.3317000000000001</v>
      </c>
      <c r="U179">
        <v>0.125</v>
      </c>
      <c r="V179">
        <v>0</v>
      </c>
      <c r="W179">
        <f>E179/100</f>
        <v>0.08</v>
      </c>
      <c r="X179">
        <f>F179/1000000</f>
        <v>0.30014400000000002</v>
      </c>
      <c r="Y179">
        <f>IF(D179="C",1,0)</f>
        <v>0</v>
      </c>
      <c r="Z179">
        <f>IF(G179="C",1,0)</f>
        <v>1</v>
      </c>
      <c r="AA179">
        <f>IF(G179="S",1,0)</f>
        <v>0</v>
      </c>
      <c r="AB179">
        <f>IF(G179="U",1,0)</f>
        <v>0</v>
      </c>
      <c r="AC179" s="5">
        <f>IF(AND(ISNUMBER(H179),NOT(ISNUMBER(P179))),1,0)</f>
        <v>0</v>
      </c>
      <c r="AD179" s="5">
        <f>IF(AND(ISNUMBER(H179),ISNUMBER(P179)),1,0)</f>
        <v>0</v>
      </c>
      <c r="AE179" s="5">
        <f>W179</f>
        <v>0.08</v>
      </c>
      <c r="AF179" s="5">
        <f>X179</f>
        <v>0.30014400000000002</v>
      </c>
      <c r="AG179" s="5">
        <f>Y179</f>
        <v>0</v>
      </c>
      <c r="AH179" s="5">
        <f>IF(OR(G179="C",G179="S",G179="U"),1,0)</f>
        <v>1</v>
      </c>
      <c r="AI179" s="5">
        <f>IF(ISNUMBER(H179),1,0)</f>
        <v>0</v>
      </c>
      <c r="AJ179" s="5">
        <f>IF(ISNUMBER(P179),1,0)</f>
        <v>1</v>
      </c>
      <c r="AK179" s="5" t="str">
        <f>IF(AI179=1,IF(J179&gt;0,1,0),"")</f>
        <v/>
      </c>
      <c r="AL179" s="5">
        <f>IF(AJ179=1,IF(OR(Q179&gt;0,R179&gt;0),1,0),"")</f>
        <v>0</v>
      </c>
    </row>
    <row r="180" spans="1:38">
      <c r="A180">
        <v>153497</v>
      </c>
      <c r="B180" t="s">
        <v>244</v>
      </c>
      <c r="C180" t="s">
        <v>82</v>
      </c>
      <c r="D180" t="s">
        <v>24</v>
      </c>
      <c r="E180">
        <v>112</v>
      </c>
      <c r="F180">
        <v>3065000</v>
      </c>
      <c r="G180" t="s">
        <v>25</v>
      </c>
      <c r="H180" t="s">
        <v>26</v>
      </c>
      <c r="I180" t="s">
        <v>26</v>
      </c>
      <c r="J180" t="s">
        <v>26</v>
      </c>
      <c r="K180" t="s">
        <v>26</v>
      </c>
      <c r="L180" t="s">
        <v>26</v>
      </c>
      <c r="M180" t="s">
        <v>26</v>
      </c>
      <c r="N180" t="s">
        <v>26</v>
      </c>
      <c r="O180" t="s">
        <v>26</v>
      </c>
      <c r="P180">
        <v>1</v>
      </c>
      <c r="Q180">
        <v>0</v>
      </c>
      <c r="R180">
        <v>0</v>
      </c>
      <c r="S180">
        <v>1</v>
      </c>
      <c r="T180">
        <v>0.32629999999999998</v>
      </c>
      <c r="U180">
        <v>8.8999999999999999E-3</v>
      </c>
      <c r="V180">
        <v>0</v>
      </c>
      <c r="W180">
        <f>E180/100</f>
        <v>1.1200000000000001</v>
      </c>
      <c r="X180">
        <f>F180/1000000</f>
        <v>3.0649999999999999</v>
      </c>
      <c r="Y180">
        <f>IF(D180="C",1,0)</f>
        <v>0</v>
      </c>
      <c r="Z180">
        <f>IF(G180="C",1,0)</f>
        <v>0</v>
      </c>
      <c r="AA180">
        <f>IF(G180="S",1,0)</f>
        <v>1</v>
      </c>
      <c r="AB180">
        <f>IF(G180="U",1,0)</f>
        <v>0</v>
      </c>
      <c r="AC180" s="5">
        <f>IF(AND(ISNUMBER(H180),NOT(ISNUMBER(P180))),1,0)</f>
        <v>0</v>
      </c>
      <c r="AD180" s="5">
        <f>IF(AND(ISNUMBER(H180),ISNUMBER(P180)),1,0)</f>
        <v>0</v>
      </c>
      <c r="AE180" s="5">
        <f>W180</f>
        <v>1.1200000000000001</v>
      </c>
      <c r="AF180" s="5">
        <f>X180</f>
        <v>3.0649999999999999</v>
      </c>
      <c r="AG180" s="5">
        <f>Y180</f>
        <v>0</v>
      </c>
      <c r="AH180" s="5">
        <f>IF(OR(G180="C",G180="S",G180="U"),1,0)</f>
        <v>1</v>
      </c>
      <c r="AI180" s="5">
        <f>IF(ISNUMBER(H180),1,0)</f>
        <v>0</v>
      </c>
      <c r="AJ180" s="5">
        <f>IF(ISNUMBER(P180),1,0)</f>
        <v>1</v>
      </c>
      <c r="AK180" s="5" t="str">
        <f>IF(AI180=1,IF(J180&gt;0,1,0),"")</f>
        <v/>
      </c>
      <c r="AL180" s="5">
        <f>IF(AJ180=1,IF(OR(Q180&gt;0,R180&gt;0),1,0),"")</f>
        <v>0</v>
      </c>
    </row>
    <row r="181" spans="1:38">
      <c r="A181">
        <v>153643</v>
      </c>
      <c r="B181" t="s">
        <v>245</v>
      </c>
      <c r="C181" t="s">
        <v>82</v>
      </c>
      <c r="D181" t="s">
        <v>24</v>
      </c>
      <c r="E181">
        <v>76</v>
      </c>
      <c r="F181">
        <v>2311160</v>
      </c>
      <c r="G181" t="s">
        <v>25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>
        <v>1</v>
      </c>
      <c r="Q181">
        <v>0</v>
      </c>
      <c r="R181">
        <v>1</v>
      </c>
      <c r="S181">
        <v>0</v>
      </c>
      <c r="T181">
        <v>0.43269999999999997</v>
      </c>
      <c r="U181">
        <v>1.32E-2</v>
      </c>
      <c r="V181">
        <v>1</v>
      </c>
      <c r="W181">
        <f>E181/100</f>
        <v>0.76</v>
      </c>
      <c r="X181">
        <f>F181/1000000</f>
        <v>2.3111600000000001</v>
      </c>
      <c r="Y181">
        <f>IF(D181="C",1,0)</f>
        <v>0</v>
      </c>
      <c r="Z181">
        <f>IF(G181="C",1,0)</f>
        <v>0</v>
      </c>
      <c r="AA181">
        <f>IF(G181="S",1,0)</f>
        <v>1</v>
      </c>
      <c r="AB181">
        <f>IF(G181="U",1,0)</f>
        <v>0</v>
      </c>
      <c r="AC181" s="5">
        <f>IF(AND(ISNUMBER(H181),NOT(ISNUMBER(P181))),1,0)</f>
        <v>0</v>
      </c>
      <c r="AD181" s="5">
        <f>IF(AND(ISNUMBER(H181),ISNUMBER(P181)),1,0)</f>
        <v>0</v>
      </c>
      <c r="AE181" s="5">
        <f>W181</f>
        <v>0.76</v>
      </c>
      <c r="AF181" s="5">
        <f>X181</f>
        <v>2.3111600000000001</v>
      </c>
      <c r="AG181" s="5">
        <f>Y181</f>
        <v>0</v>
      </c>
      <c r="AH181" s="5">
        <f>IF(OR(G181="C",G181="S",G181="U"),1,0)</f>
        <v>1</v>
      </c>
      <c r="AI181" s="5">
        <f>IF(ISNUMBER(H181),1,0)</f>
        <v>0</v>
      </c>
      <c r="AJ181" s="5">
        <f>IF(ISNUMBER(P181),1,0)</f>
        <v>1</v>
      </c>
      <c r="AK181" s="5" t="str">
        <f>IF(AI181=1,IF(J181&gt;0,1,0),"")</f>
        <v/>
      </c>
      <c r="AL181" s="5">
        <f>IF(AJ181=1,IF(OR(Q181&gt;0,R181&gt;0),1,0),"")</f>
        <v>1</v>
      </c>
    </row>
    <row r="182" spans="1:38">
      <c r="A182">
        <v>154396</v>
      </c>
      <c r="B182" t="s">
        <v>246</v>
      </c>
      <c r="C182" t="s">
        <v>84</v>
      </c>
      <c r="D182" t="s">
        <v>24</v>
      </c>
      <c r="E182">
        <v>7</v>
      </c>
      <c r="F182">
        <v>150346</v>
      </c>
      <c r="G182" t="s">
        <v>33</v>
      </c>
      <c r="H182" t="s">
        <v>26</v>
      </c>
      <c r="I182" t="s">
        <v>26</v>
      </c>
      <c r="J182" t="s">
        <v>26</v>
      </c>
      <c r="K182" t="s">
        <v>26</v>
      </c>
      <c r="L182" t="s">
        <v>26</v>
      </c>
      <c r="M182" t="s">
        <v>26</v>
      </c>
      <c r="N182" t="s">
        <v>26</v>
      </c>
      <c r="O182" t="s">
        <v>26</v>
      </c>
      <c r="P182">
        <v>1</v>
      </c>
      <c r="Q182">
        <v>0</v>
      </c>
      <c r="R182">
        <v>0</v>
      </c>
      <c r="S182">
        <v>1</v>
      </c>
      <c r="T182">
        <v>6.6513</v>
      </c>
      <c r="U182">
        <v>0.1429</v>
      </c>
      <c r="V182">
        <v>0</v>
      </c>
      <c r="W182">
        <f>E182/100</f>
        <v>7.0000000000000007E-2</v>
      </c>
      <c r="X182">
        <f>F182/1000000</f>
        <v>0.15034600000000001</v>
      </c>
      <c r="Y182">
        <f>IF(D182="C",1,0)</f>
        <v>0</v>
      </c>
      <c r="Z182">
        <f>IF(G182="C",1,0)</f>
        <v>1</v>
      </c>
      <c r="AA182">
        <f>IF(G182="S",1,0)</f>
        <v>0</v>
      </c>
      <c r="AB182">
        <f>IF(G182="U",1,0)</f>
        <v>0</v>
      </c>
      <c r="AC182" s="5">
        <f>IF(AND(ISNUMBER(H182),NOT(ISNUMBER(P182))),1,0)</f>
        <v>0</v>
      </c>
      <c r="AD182" s="5">
        <f>IF(AND(ISNUMBER(H182),ISNUMBER(P182)),1,0)</f>
        <v>0</v>
      </c>
      <c r="AE182" s="5">
        <f>W182</f>
        <v>7.0000000000000007E-2</v>
      </c>
      <c r="AF182" s="5">
        <f>X182</f>
        <v>0.15034600000000001</v>
      </c>
      <c r="AG182" s="5">
        <f>Y182</f>
        <v>0</v>
      </c>
      <c r="AH182" s="5">
        <f>IF(OR(G182="C",G182="S",G182="U"),1,0)</f>
        <v>1</v>
      </c>
      <c r="AI182" s="5">
        <f>IF(ISNUMBER(H182),1,0)</f>
        <v>0</v>
      </c>
      <c r="AJ182" s="5">
        <f>IF(ISNUMBER(P182),1,0)</f>
        <v>1</v>
      </c>
      <c r="AK182" s="5" t="str">
        <f>IF(AI182=1,IF(J182&gt;0,1,0),"")</f>
        <v/>
      </c>
      <c r="AL182" s="5">
        <f>IF(AJ182=1,IF(OR(Q182&gt;0,R182&gt;0),1,0),"")</f>
        <v>0</v>
      </c>
    </row>
    <row r="183" spans="1:38">
      <c r="A183">
        <v>154662</v>
      </c>
      <c r="B183" t="s">
        <v>247</v>
      </c>
      <c r="C183" t="s">
        <v>23</v>
      </c>
      <c r="D183" t="s">
        <v>33</v>
      </c>
      <c r="E183">
        <v>106</v>
      </c>
      <c r="F183">
        <v>1100000</v>
      </c>
      <c r="H183" t="s">
        <v>26</v>
      </c>
      <c r="I183" t="s">
        <v>26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>
        <v>1</v>
      </c>
      <c r="Q183">
        <v>0</v>
      </c>
      <c r="R183">
        <v>1</v>
      </c>
      <c r="S183">
        <v>1</v>
      </c>
      <c r="T183">
        <v>0.90910000000000002</v>
      </c>
      <c r="U183">
        <v>9.4000000000000004E-3</v>
      </c>
      <c r="V183">
        <v>1</v>
      </c>
      <c r="W183">
        <f>E183/100</f>
        <v>1.06</v>
      </c>
      <c r="X183">
        <f>F183/1000000</f>
        <v>1.1000000000000001</v>
      </c>
      <c r="Y183">
        <f>IF(D183="C",1,0)</f>
        <v>1</v>
      </c>
      <c r="Z183">
        <f>IF(G183="C",1,0)</f>
        <v>0</v>
      </c>
      <c r="AA183">
        <f>IF(G183="S",1,0)</f>
        <v>0</v>
      </c>
      <c r="AB183">
        <f>IF(G183="U",1,0)</f>
        <v>0</v>
      </c>
      <c r="AC183" s="5">
        <f>IF(AND(ISNUMBER(H183),NOT(ISNUMBER(P183))),1,0)</f>
        <v>0</v>
      </c>
      <c r="AD183" s="5">
        <f>IF(AND(ISNUMBER(H183),ISNUMBER(P183)),1,0)</f>
        <v>0</v>
      </c>
      <c r="AE183" s="5">
        <f>W183</f>
        <v>1.06</v>
      </c>
      <c r="AF183" s="5">
        <f>X183</f>
        <v>1.1000000000000001</v>
      </c>
      <c r="AG183" s="5">
        <f>Y183</f>
        <v>1</v>
      </c>
      <c r="AH183" s="5">
        <f>IF(OR(G183="C",G183="S",G183="U"),1,0)</f>
        <v>0</v>
      </c>
      <c r="AI183" s="5">
        <f>IF(ISNUMBER(H183),1,0)</f>
        <v>0</v>
      </c>
      <c r="AJ183" s="5">
        <f>IF(ISNUMBER(P183),1,0)</f>
        <v>1</v>
      </c>
      <c r="AK183" s="5" t="str">
        <f>IF(AI183=1,IF(J183&gt;0,1,0),"")</f>
        <v/>
      </c>
      <c r="AL183" s="5">
        <f>IF(AJ183=1,IF(OR(Q183&gt;0,R183&gt;0),1,0),"")</f>
        <v>1</v>
      </c>
    </row>
    <row r="184" spans="1:38">
      <c r="A184">
        <v>155349</v>
      </c>
      <c r="B184" t="s">
        <v>248</v>
      </c>
      <c r="C184" t="s">
        <v>23</v>
      </c>
      <c r="D184" t="s">
        <v>24</v>
      </c>
      <c r="E184">
        <v>5</v>
      </c>
      <c r="F184">
        <v>75000</v>
      </c>
      <c r="G184" t="s">
        <v>25</v>
      </c>
      <c r="H184" t="s">
        <v>26</v>
      </c>
      <c r="I184" t="s">
        <v>26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26</v>
      </c>
      <c r="P184">
        <v>1</v>
      </c>
      <c r="Q184">
        <v>0</v>
      </c>
      <c r="R184">
        <v>1</v>
      </c>
      <c r="S184">
        <v>1</v>
      </c>
      <c r="T184">
        <v>13.333299999999999</v>
      </c>
      <c r="U184">
        <v>0.2</v>
      </c>
      <c r="V184">
        <v>1</v>
      </c>
      <c r="W184">
        <f>E184/100</f>
        <v>0.05</v>
      </c>
      <c r="X184">
        <f>F184/1000000</f>
        <v>7.4999999999999997E-2</v>
      </c>
      <c r="Y184">
        <f>IF(D184="C",1,0)</f>
        <v>0</v>
      </c>
      <c r="Z184">
        <f>IF(G184="C",1,0)</f>
        <v>0</v>
      </c>
      <c r="AA184">
        <f>IF(G184="S",1,0)</f>
        <v>1</v>
      </c>
      <c r="AB184">
        <f>IF(G184="U",1,0)</f>
        <v>0</v>
      </c>
      <c r="AC184" s="5">
        <f>IF(AND(ISNUMBER(H184),NOT(ISNUMBER(P184))),1,0)</f>
        <v>0</v>
      </c>
      <c r="AD184" s="5">
        <f>IF(AND(ISNUMBER(H184),ISNUMBER(P184)),1,0)</f>
        <v>0</v>
      </c>
      <c r="AE184" s="5">
        <f>W184</f>
        <v>0.05</v>
      </c>
      <c r="AF184" s="5">
        <f>X184</f>
        <v>7.4999999999999997E-2</v>
      </c>
      <c r="AG184" s="5">
        <f>Y184</f>
        <v>0</v>
      </c>
      <c r="AH184" s="5">
        <f>IF(OR(G184="C",G184="S",G184="U"),1,0)</f>
        <v>1</v>
      </c>
      <c r="AI184" s="5">
        <f>IF(ISNUMBER(H184),1,0)</f>
        <v>0</v>
      </c>
      <c r="AJ184" s="5">
        <f>IF(ISNUMBER(P184),1,0)</f>
        <v>1</v>
      </c>
      <c r="AK184" s="5" t="str">
        <f>IF(AI184=1,IF(J184&gt;0,1,0),"")</f>
        <v/>
      </c>
      <c r="AL184" s="5">
        <f>IF(AJ184=1,IF(OR(Q184&gt;0,R184&gt;0),1,0),"")</f>
        <v>1</v>
      </c>
    </row>
    <row r="185" spans="1:38">
      <c r="A185">
        <v>156872</v>
      </c>
      <c r="B185" t="s">
        <v>249</v>
      </c>
      <c r="C185" t="s">
        <v>23</v>
      </c>
      <c r="D185" t="s">
        <v>24</v>
      </c>
      <c r="E185">
        <v>6</v>
      </c>
      <c r="F185">
        <v>722307</v>
      </c>
      <c r="G185" t="s">
        <v>25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26</v>
      </c>
      <c r="P185">
        <v>1</v>
      </c>
      <c r="Q185">
        <v>0</v>
      </c>
      <c r="R185">
        <v>1</v>
      </c>
      <c r="S185">
        <v>1</v>
      </c>
      <c r="T185">
        <v>1.3845000000000001</v>
      </c>
      <c r="U185">
        <v>0.16669999999999999</v>
      </c>
      <c r="V185">
        <v>1</v>
      </c>
      <c r="W185">
        <f>E185/100</f>
        <v>0.06</v>
      </c>
      <c r="X185">
        <f>F185/1000000</f>
        <v>0.72230700000000003</v>
      </c>
      <c r="Y185">
        <f>IF(D185="C",1,0)</f>
        <v>0</v>
      </c>
      <c r="Z185">
        <f>IF(G185="C",1,0)</f>
        <v>0</v>
      </c>
      <c r="AA185">
        <f>IF(G185="S",1,0)</f>
        <v>1</v>
      </c>
      <c r="AB185">
        <f>IF(G185="U",1,0)</f>
        <v>0</v>
      </c>
      <c r="AC185" s="5">
        <f>IF(AND(ISNUMBER(H185),NOT(ISNUMBER(P185))),1,0)</f>
        <v>0</v>
      </c>
      <c r="AD185" s="5">
        <f>IF(AND(ISNUMBER(H185),ISNUMBER(P185)),1,0)</f>
        <v>0</v>
      </c>
      <c r="AE185" s="5">
        <f>W185</f>
        <v>0.06</v>
      </c>
      <c r="AF185" s="5">
        <f>X185</f>
        <v>0.72230700000000003</v>
      </c>
      <c r="AG185" s="5">
        <f>Y185</f>
        <v>0</v>
      </c>
      <c r="AH185" s="5">
        <f>IF(OR(G185="C",G185="S",G185="U"),1,0)</f>
        <v>1</v>
      </c>
      <c r="AI185" s="5">
        <f>IF(ISNUMBER(H185),1,0)</f>
        <v>0</v>
      </c>
      <c r="AJ185" s="5">
        <f>IF(ISNUMBER(P185),1,0)</f>
        <v>1</v>
      </c>
      <c r="AK185" s="5" t="str">
        <f>IF(AI185=1,IF(J185&gt;0,1,0),"")</f>
        <v/>
      </c>
      <c r="AL185" s="5">
        <f>IF(AJ185=1,IF(OR(Q185&gt;0,R185&gt;0),1,0),"")</f>
        <v>1</v>
      </c>
    </row>
    <row r="186" spans="1:38">
      <c r="A186">
        <v>158045</v>
      </c>
      <c r="B186" t="s">
        <v>250</v>
      </c>
      <c r="C186" t="s">
        <v>162</v>
      </c>
      <c r="D186" t="s">
        <v>24</v>
      </c>
      <c r="E186">
        <v>44</v>
      </c>
      <c r="F186">
        <v>4709814</v>
      </c>
      <c r="G186" t="s">
        <v>25</v>
      </c>
      <c r="H186" t="s">
        <v>26</v>
      </c>
      <c r="I186" t="s">
        <v>26</v>
      </c>
      <c r="J186" t="s">
        <v>26</v>
      </c>
      <c r="K186" t="s">
        <v>26</v>
      </c>
      <c r="L186" t="s">
        <v>26</v>
      </c>
      <c r="M186" t="s">
        <v>26</v>
      </c>
      <c r="N186" t="s">
        <v>26</v>
      </c>
      <c r="O186" t="s">
        <v>26</v>
      </c>
      <c r="P186">
        <v>1</v>
      </c>
      <c r="Q186">
        <v>0</v>
      </c>
      <c r="R186">
        <v>1</v>
      </c>
      <c r="S186">
        <v>1</v>
      </c>
      <c r="T186">
        <v>0.21229999999999999</v>
      </c>
      <c r="U186">
        <v>2.2700000000000001E-2</v>
      </c>
      <c r="V186">
        <v>1</v>
      </c>
      <c r="W186">
        <f>E186/100</f>
        <v>0.44</v>
      </c>
      <c r="X186">
        <f>F186/1000000</f>
        <v>4.7098139999999997</v>
      </c>
      <c r="Y186">
        <f>IF(D186="C",1,0)</f>
        <v>0</v>
      </c>
      <c r="Z186">
        <f>IF(G186="C",1,0)</f>
        <v>0</v>
      </c>
      <c r="AA186">
        <f>IF(G186="S",1,0)</f>
        <v>1</v>
      </c>
      <c r="AB186">
        <f>IF(G186="U",1,0)</f>
        <v>0</v>
      </c>
      <c r="AC186" s="5">
        <f>IF(AND(ISNUMBER(H186),NOT(ISNUMBER(P186))),1,0)</f>
        <v>0</v>
      </c>
      <c r="AD186" s="5">
        <f>IF(AND(ISNUMBER(H186),ISNUMBER(P186)),1,0)</f>
        <v>0</v>
      </c>
      <c r="AE186" s="5">
        <f>W186</f>
        <v>0.44</v>
      </c>
      <c r="AF186" s="5">
        <f>X186</f>
        <v>4.7098139999999997</v>
      </c>
      <c r="AG186" s="5">
        <f>Y186</f>
        <v>0</v>
      </c>
      <c r="AH186" s="5">
        <f>IF(OR(G186="C",G186="S",G186="U"),1,0)</f>
        <v>1</v>
      </c>
      <c r="AI186" s="5">
        <f>IF(ISNUMBER(H186),1,0)</f>
        <v>0</v>
      </c>
      <c r="AJ186" s="5">
        <f>IF(ISNUMBER(P186),1,0)</f>
        <v>1</v>
      </c>
      <c r="AK186" s="5" t="str">
        <f>IF(AI186=1,IF(J186&gt;0,1,0),"")</f>
        <v/>
      </c>
      <c r="AL186" s="5">
        <f>IF(AJ186=1,IF(OR(Q186&gt;0,R186&gt;0),1,0),"")</f>
        <v>1</v>
      </c>
    </row>
    <row r="187" spans="1:38">
      <c r="A187">
        <v>158799</v>
      </c>
      <c r="B187" t="s">
        <v>251</v>
      </c>
      <c r="C187" t="s">
        <v>252</v>
      </c>
      <c r="D187" t="s">
        <v>24</v>
      </c>
      <c r="E187">
        <v>2</v>
      </c>
      <c r="F187">
        <v>1224129</v>
      </c>
      <c r="G187" t="s">
        <v>25</v>
      </c>
      <c r="H187" t="s">
        <v>26</v>
      </c>
      <c r="I187" t="s">
        <v>26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>
        <v>1</v>
      </c>
      <c r="Q187">
        <v>0</v>
      </c>
      <c r="R187">
        <v>0</v>
      </c>
      <c r="S187">
        <v>1</v>
      </c>
      <c r="T187">
        <v>0.81689999999999996</v>
      </c>
      <c r="U187">
        <v>0.5</v>
      </c>
      <c r="V187">
        <v>0</v>
      </c>
      <c r="W187">
        <f>E187/100</f>
        <v>0.02</v>
      </c>
      <c r="X187">
        <f>F187/1000000</f>
        <v>1.224129</v>
      </c>
      <c r="Y187">
        <f>IF(D187="C",1,0)</f>
        <v>0</v>
      </c>
      <c r="Z187">
        <f>IF(G187="C",1,0)</f>
        <v>0</v>
      </c>
      <c r="AA187">
        <f>IF(G187="S",1,0)</f>
        <v>1</v>
      </c>
      <c r="AB187">
        <f>IF(G187="U",1,0)</f>
        <v>0</v>
      </c>
      <c r="AC187" s="5">
        <f>IF(AND(ISNUMBER(H187),NOT(ISNUMBER(P187))),1,0)</f>
        <v>0</v>
      </c>
      <c r="AD187" s="5">
        <f>IF(AND(ISNUMBER(H187),ISNUMBER(P187)),1,0)</f>
        <v>0</v>
      </c>
      <c r="AE187" s="5">
        <f>W187</f>
        <v>0.02</v>
      </c>
      <c r="AF187" s="5">
        <f>X187</f>
        <v>1.224129</v>
      </c>
      <c r="AG187" s="5">
        <f>Y187</f>
        <v>0</v>
      </c>
      <c r="AH187" s="5">
        <f>IF(OR(G187="C",G187="S",G187="U"),1,0)</f>
        <v>1</v>
      </c>
      <c r="AI187" s="5">
        <f>IF(ISNUMBER(H187),1,0)</f>
        <v>0</v>
      </c>
      <c r="AJ187" s="5">
        <f>IF(ISNUMBER(P187),1,0)</f>
        <v>1</v>
      </c>
      <c r="AK187" s="5" t="str">
        <f>IF(AI187=1,IF(J187&gt;0,1,0),"")</f>
        <v/>
      </c>
      <c r="AL187" s="5">
        <f>IF(AJ187=1,IF(OR(Q187&gt;0,R187&gt;0),1,0),"")</f>
        <v>0</v>
      </c>
    </row>
    <row r="188" spans="1:38">
      <c r="A188">
        <v>160095</v>
      </c>
      <c r="B188" t="s">
        <v>253</v>
      </c>
      <c r="C188" t="s">
        <v>254</v>
      </c>
      <c r="D188" t="s">
        <v>24</v>
      </c>
      <c r="E188">
        <v>1</v>
      </c>
      <c r="F188">
        <v>10000</v>
      </c>
      <c r="G188" t="s">
        <v>25</v>
      </c>
      <c r="H188" t="s">
        <v>26</v>
      </c>
      <c r="I188" t="s">
        <v>26</v>
      </c>
      <c r="J188" t="s">
        <v>26</v>
      </c>
      <c r="K188" t="s">
        <v>26</v>
      </c>
      <c r="L188" t="s">
        <v>26</v>
      </c>
      <c r="M188" t="s">
        <v>26</v>
      </c>
      <c r="N188" t="s">
        <v>26</v>
      </c>
      <c r="O188" t="s">
        <v>26</v>
      </c>
      <c r="P188">
        <v>10</v>
      </c>
      <c r="Q188">
        <v>1</v>
      </c>
      <c r="R188">
        <v>4</v>
      </c>
      <c r="S188">
        <v>9</v>
      </c>
      <c r="T188">
        <v>1000</v>
      </c>
      <c r="U188">
        <v>10</v>
      </c>
      <c r="V188">
        <v>1</v>
      </c>
      <c r="W188">
        <f>E188/100</f>
        <v>0.01</v>
      </c>
      <c r="X188">
        <f>F188/1000000</f>
        <v>0.01</v>
      </c>
      <c r="Y188">
        <f>IF(D188="C",1,0)</f>
        <v>0</v>
      </c>
      <c r="Z188">
        <f>IF(G188="C",1,0)</f>
        <v>0</v>
      </c>
      <c r="AA188">
        <f>IF(G188="S",1,0)</f>
        <v>1</v>
      </c>
      <c r="AB188">
        <f>IF(G188="U",1,0)</f>
        <v>0</v>
      </c>
      <c r="AC188" s="5">
        <f>IF(AND(ISNUMBER(H188),NOT(ISNUMBER(P188))),1,0)</f>
        <v>0</v>
      </c>
      <c r="AD188" s="5">
        <f>IF(AND(ISNUMBER(H188),ISNUMBER(P188)),1,0)</f>
        <v>0</v>
      </c>
      <c r="AE188" s="5">
        <f>W188</f>
        <v>0.01</v>
      </c>
      <c r="AF188" s="5">
        <f>X188</f>
        <v>0.01</v>
      </c>
      <c r="AG188" s="5">
        <f>Y188</f>
        <v>0</v>
      </c>
      <c r="AH188" s="5">
        <f>IF(OR(G188="C",G188="S",G188="U"),1,0)</f>
        <v>1</v>
      </c>
      <c r="AI188" s="5">
        <f>IF(ISNUMBER(H188),1,0)</f>
        <v>0</v>
      </c>
      <c r="AJ188" s="5">
        <f>IF(ISNUMBER(P188),1,0)</f>
        <v>1</v>
      </c>
      <c r="AK188" s="5" t="str">
        <f>IF(AI188=1,IF(J188&gt;0,1,0),"")</f>
        <v/>
      </c>
      <c r="AL188" s="5">
        <f>IF(AJ188=1,IF(OR(Q188&gt;0,R188&gt;0),1,0),"")</f>
        <v>1</v>
      </c>
    </row>
    <row r="189" spans="1:38">
      <c r="A189">
        <v>161476</v>
      </c>
      <c r="B189" t="s">
        <v>255</v>
      </c>
      <c r="C189" t="s">
        <v>23</v>
      </c>
      <c r="D189" t="s">
        <v>24</v>
      </c>
      <c r="E189">
        <v>48</v>
      </c>
      <c r="F189">
        <v>5000000</v>
      </c>
      <c r="G189" t="s">
        <v>25</v>
      </c>
      <c r="H189" t="s">
        <v>26</v>
      </c>
      <c r="I189" t="s">
        <v>26</v>
      </c>
      <c r="J189" t="s">
        <v>26</v>
      </c>
      <c r="K189" t="s">
        <v>26</v>
      </c>
      <c r="L189" t="s">
        <v>26</v>
      </c>
      <c r="M189" t="s">
        <v>26</v>
      </c>
      <c r="N189" t="s">
        <v>26</v>
      </c>
      <c r="O189" t="s">
        <v>26</v>
      </c>
      <c r="P189">
        <v>2</v>
      </c>
      <c r="Q189">
        <v>0</v>
      </c>
      <c r="R189">
        <v>1</v>
      </c>
      <c r="S189">
        <v>1</v>
      </c>
      <c r="T189">
        <v>0.4</v>
      </c>
      <c r="U189">
        <v>4.1700000000000001E-2</v>
      </c>
      <c r="V189">
        <v>1</v>
      </c>
      <c r="W189">
        <f>E189/100</f>
        <v>0.48</v>
      </c>
      <c r="X189">
        <f>F189/1000000</f>
        <v>5</v>
      </c>
      <c r="Y189">
        <f>IF(D189="C",1,0)</f>
        <v>0</v>
      </c>
      <c r="Z189">
        <f>IF(G189="C",1,0)</f>
        <v>0</v>
      </c>
      <c r="AA189">
        <f>IF(G189="S",1,0)</f>
        <v>1</v>
      </c>
      <c r="AB189">
        <f>IF(G189="U",1,0)</f>
        <v>0</v>
      </c>
      <c r="AC189" s="5">
        <f>IF(AND(ISNUMBER(H189),NOT(ISNUMBER(P189))),1,0)</f>
        <v>0</v>
      </c>
      <c r="AD189" s="5">
        <f>IF(AND(ISNUMBER(H189),ISNUMBER(P189)),1,0)</f>
        <v>0</v>
      </c>
      <c r="AE189" s="5">
        <f>W189</f>
        <v>0.48</v>
      </c>
      <c r="AF189" s="5">
        <f>X189</f>
        <v>5</v>
      </c>
      <c r="AG189" s="5">
        <f>Y189</f>
        <v>0</v>
      </c>
      <c r="AH189" s="5">
        <f>IF(OR(G189="C",G189="S",G189="U"),1,0)</f>
        <v>1</v>
      </c>
      <c r="AI189" s="5">
        <f>IF(ISNUMBER(H189),1,0)</f>
        <v>0</v>
      </c>
      <c r="AJ189" s="5">
        <f>IF(ISNUMBER(P189),1,0)</f>
        <v>1</v>
      </c>
      <c r="AK189" s="5" t="str">
        <f>IF(AI189=1,IF(J189&gt;0,1,0),"")</f>
        <v/>
      </c>
      <c r="AL189" s="5">
        <f>IF(AJ189=1,IF(OR(Q189&gt;0,R189&gt;0),1,0),"")</f>
        <v>1</v>
      </c>
    </row>
    <row r="190" spans="1:38">
      <c r="A190">
        <v>163362</v>
      </c>
      <c r="B190" t="s">
        <v>256</v>
      </c>
      <c r="C190" t="s">
        <v>82</v>
      </c>
      <c r="D190" t="s">
        <v>33</v>
      </c>
      <c r="E190">
        <v>6</v>
      </c>
      <c r="F190">
        <v>2000000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>
        <v>1</v>
      </c>
      <c r="Q190">
        <v>0</v>
      </c>
      <c r="R190">
        <v>1</v>
      </c>
      <c r="S190">
        <v>1</v>
      </c>
      <c r="T190">
        <v>0.5</v>
      </c>
      <c r="U190">
        <v>0.16669999999999999</v>
      </c>
      <c r="V190">
        <v>1</v>
      </c>
      <c r="W190">
        <f>E190/100</f>
        <v>0.06</v>
      </c>
      <c r="X190">
        <f>F190/1000000</f>
        <v>2</v>
      </c>
      <c r="Y190">
        <f>IF(D190="C",1,0)</f>
        <v>1</v>
      </c>
      <c r="Z190">
        <f>IF(G190="C",1,0)</f>
        <v>0</v>
      </c>
      <c r="AA190">
        <f>IF(G190="S",1,0)</f>
        <v>0</v>
      </c>
      <c r="AB190">
        <f>IF(G190="U",1,0)</f>
        <v>0</v>
      </c>
      <c r="AC190" s="5">
        <f>IF(AND(ISNUMBER(H190),NOT(ISNUMBER(P190))),1,0)</f>
        <v>0</v>
      </c>
      <c r="AD190" s="5">
        <f>IF(AND(ISNUMBER(H190),ISNUMBER(P190)),1,0)</f>
        <v>0</v>
      </c>
      <c r="AE190" s="5">
        <f>W190</f>
        <v>0.06</v>
      </c>
      <c r="AF190" s="5">
        <f>X190</f>
        <v>2</v>
      </c>
      <c r="AG190" s="5">
        <f>Y190</f>
        <v>1</v>
      </c>
      <c r="AH190" s="5">
        <f>IF(OR(G190="C",G190="S",G190="U"),1,0)</f>
        <v>0</v>
      </c>
      <c r="AI190" s="5">
        <f>IF(ISNUMBER(H190),1,0)</f>
        <v>0</v>
      </c>
      <c r="AJ190" s="5">
        <f>IF(ISNUMBER(P190),1,0)</f>
        <v>1</v>
      </c>
      <c r="AK190" s="5" t="str">
        <f>IF(AI190=1,IF(J190&gt;0,1,0),"")</f>
        <v/>
      </c>
      <c r="AL190" s="5">
        <f>IF(AJ190=1,IF(OR(Q190&gt;0,R190&gt;0),1,0),"")</f>
        <v>1</v>
      </c>
    </row>
    <row r="191" spans="1:38">
      <c r="A191">
        <v>163478</v>
      </c>
      <c r="B191" t="s">
        <v>257</v>
      </c>
      <c r="C191" t="s">
        <v>37</v>
      </c>
      <c r="D191" t="s">
        <v>24</v>
      </c>
      <c r="E191">
        <v>28</v>
      </c>
      <c r="F191">
        <v>1531425</v>
      </c>
      <c r="G191" t="s">
        <v>25</v>
      </c>
      <c r="H191" t="s">
        <v>26</v>
      </c>
      <c r="I191" t="s">
        <v>26</v>
      </c>
      <c r="J191" t="s">
        <v>26</v>
      </c>
      <c r="K191" t="s">
        <v>26</v>
      </c>
      <c r="L191" t="s">
        <v>26</v>
      </c>
      <c r="M191" t="s">
        <v>26</v>
      </c>
      <c r="N191" t="s">
        <v>26</v>
      </c>
      <c r="O191" t="s">
        <v>26</v>
      </c>
      <c r="P191">
        <v>1</v>
      </c>
      <c r="Q191">
        <v>0</v>
      </c>
      <c r="R191">
        <v>0</v>
      </c>
      <c r="S191">
        <v>1</v>
      </c>
      <c r="T191">
        <v>0.65300000000000002</v>
      </c>
      <c r="U191">
        <v>3.5700000000000003E-2</v>
      </c>
      <c r="V191">
        <v>0</v>
      </c>
      <c r="W191">
        <f>E191/100</f>
        <v>0.28000000000000003</v>
      </c>
      <c r="X191">
        <f>F191/1000000</f>
        <v>1.531425</v>
      </c>
      <c r="Y191">
        <f>IF(D191="C",1,0)</f>
        <v>0</v>
      </c>
      <c r="Z191">
        <f>IF(G191="C",1,0)</f>
        <v>0</v>
      </c>
      <c r="AA191">
        <f>IF(G191="S",1,0)</f>
        <v>1</v>
      </c>
      <c r="AB191">
        <f>IF(G191="U",1,0)</f>
        <v>0</v>
      </c>
      <c r="AC191" s="5">
        <f>IF(AND(ISNUMBER(H191),NOT(ISNUMBER(P191))),1,0)</f>
        <v>0</v>
      </c>
      <c r="AD191" s="5">
        <f>IF(AND(ISNUMBER(H191),ISNUMBER(P191)),1,0)</f>
        <v>0</v>
      </c>
      <c r="AE191" s="5">
        <f>W191</f>
        <v>0.28000000000000003</v>
      </c>
      <c r="AF191" s="5">
        <f>X191</f>
        <v>1.531425</v>
      </c>
      <c r="AG191" s="5">
        <f>Y191</f>
        <v>0</v>
      </c>
      <c r="AH191" s="5">
        <f>IF(OR(G191="C",G191="S",G191="U"),1,0)</f>
        <v>1</v>
      </c>
      <c r="AI191" s="5">
        <f>IF(ISNUMBER(H191),1,0)</f>
        <v>0</v>
      </c>
      <c r="AJ191" s="5">
        <f>IF(ISNUMBER(P191),1,0)</f>
        <v>1</v>
      </c>
      <c r="AK191" s="5" t="str">
        <f>IF(AI191=1,IF(J191&gt;0,1,0),"")</f>
        <v/>
      </c>
      <c r="AL191" s="5">
        <f>IF(AJ191=1,IF(OR(Q191&gt;0,R191&gt;0),1,0),"")</f>
        <v>0</v>
      </c>
    </row>
    <row r="192" spans="1:38">
      <c r="A192">
        <v>163487</v>
      </c>
      <c r="B192" t="s">
        <v>258</v>
      </c>
      <c r="C192" t="s">
        <v>37</v>
      </c>
      <c r="D192" t="s">
        <v>24</v>
      </c>
      <c r="E192">
        <v>15</v>
      </c>
      <c r="F192">
        <v>285000</v>
      </c>
      <c r="G192" t="s">
        <v>25</v>
      </c>
      <c r="H192" t="s">
        <v>26</v>
      </c>
      <c r="I192" t="s">
        <v>26</v>
      </c>
      <c r="J192" t="s">
        <v>26</v>
      </c>
      <c r="K192" t="s">
        <v>26</v>
      </c>
      <c r="L192" t="s">
        <v>26</v>
      </c>
      <c r="M192" t="s">
        <v>26</v>
      </c>
      <c r="N192" t="s">
        <v>26</v>
      </c>
      <c r="O192" t="s">
        <v>26</v>
      </c>
      <c r="P192">
        <v>1</v>
      </c>
      <c r="Q192">
        <v>0</v>
      </c>
      <c r="R192">
        <v>0</v>
      </c>
      <c r="S192">
        <v>1</v>
      </c>
      <c r="T192">
        <v>3.5087999999999999</v>
      </c>
      <c r="U192">
        <v>6.6699999999999995E-2</v>
      </c>
      <c r="V192">
        <v>0</v>
      </c>
      <c r="W192">
        <f>E192/100</f>
        <v>0.15</v>
      </c>
      <c r="X192">
        <f>F192/1000000</f>
        <v>0.28499999999999998</v>
      </c>
      <c r="Y192">
        <f>IF(D192="C",1,0)</f>
        <v>0</v>
      </c>
      <c r="Z192">
        <f>IF(G192="C",1,0)</f>
        <v>0</v>
      </c>
      <c r="AA192">
        <f>IF(G192="S",1,0)</f>
        <v>1</v>
      </c>
      <c r="AB192">
        <f>IF(G192="U",1,0)</f>
        <v>0</v>
      </c>
      <c r="AC192" s="5">
        <f>IF(AND(ISNUMBER(H192),NOT(ISNUMBER(P192))),1,0)</f>
        <v>0</v>
      </c>
      <c r="AD192" s="5">
        <f>IF(AND(ISNUMBER(H192),ISNUMBER(P192)),1,0)</f>
        <v>0</v>
      </c>
      <c r="AE192" s="5">
        <f>W192</f>
        <v>0.15</v>
      </c>
      <c r="AF192" s="5">
        <f>X192</f>
        <v>0.28499999999999998</v>
      </c>
      <c r="AG192" s="5">
        <f>Y192</f>
        <v>0</v>
      </c>
      <c r="AH192" s="5">
        <f>IF(OR(G192="C",G192="S",G192="U"),1,0)</f>
        <v>1</v>
      </c>
      <c r="AI192" s="5">
        <f>IF(ISNUMBER(H192),1,0)</f>
        <v>0</v>
      </c>
      <c r="AJ192" s="5">
        <f>IF(ISNUMBER(P192),1,0)</f>
        <v>1</v>
      </c>
      <c r="AK192" s="5" t="str">
        <f>IF(AI192=1,IF(J192&gt;0,1,0),"")</f>
        <v/>
      </c>
      <c r="AL192" s="5">
        <f>IF(AJ192=1,IF(OR(Q192&gt;0,R192&gt;0),1,0),"")</f>
        <v>0</v>
      </c>
    </row>
    <row r="193" spans="1:38">
      <c r="A193">
        <v>163614</v>
      </c>
      <c r="B193" t="s">
        <v>259</v>
      </c>
      <c r="C193" t="s">
        <v>23</v>
      </c>
      <c r="D193" t="s">
        <v>24</v>
      </c>
      <c r="E193">
        <v>12</v>
      </c>
      <c r="F193">
        <v>1538222</v>
      </c>
      <c r="G193" t="s">
        <v>25</v>
      </c>
      <c r="H193" t="s">
        <v>26</v>
      </c>
      <c r="I193" t="s">
        <v>26</v>
      </c>
      <c r="J193" t="s">
        <v>26</v>
      </c>
      <c r="K193" t="s">
        <v>26</v>
      </c>
      <c r="L193" t="s">
        <v>26</v>
      </c>
      <c r="M193" t="s">
        <v>26</v>
      </c>
      <c r="N193" t="s">
        <v>26</v>
      </c>
      <c r="O193" t="s">
        <v>26</v>
      </c>
      <c r="P193">
        <v>1</v>
      </c>
      <c r="Q193">
        <v>0</v>
      </c>
      <c r="R193">
        <v>1</v>
      </c>
      <c r="S193">
        <v>1</v>
      </c>
      <c r="T193">
        <v>0.65010000000000001</v>
      </c>
      <c r="U193">
        <v>8.3299999999999999E-2</v>
      </c>
      <c r="V193">
        <v>1</v>
      </c>
      <c r="W193">
        <f>E193/100</f>
        <v>0.12</v>
      </c>
      <c r="X193">
        <f>F193/1000000</f>
        <v>1.538222</v>
      </c>
      <c r="Y193">
        <f>IF(D193="C",1,0)</f>
        <v>0</v>
      </c>
      <c r="Z193">
        <f>IF(G193="C",1,0)</f>
        <v>0</v>
      </c>
      <c r="AA193">
        <f>IF(G193="S",1,0)</f>
        <v>1</v>
      </c>
      <c r="AB193">
        <f>IF(G193="U",1,0)</f>
        <v>0</v>
      </c>
      <c r="AC193" s="5">
        <f>IF(AND(ISNUMBER(H193),NOT(ISNUMBER(P193))),1,0)</f>
        <v>0</v>
      </c>
      <c r="AD193" s="5">
        <f>IF(AND(ISNUMBER(H193),ISNUMBER(P193)),1,0)</f>
        <v>0</v>
      </c>
      <c r="AE193" s="5">
        <f>W193</f>
        <v>0.12</v>
      </c>
      <c r="AF193" s="5">
        <f>X193</f>
        <v>1.538222</v>
      </c>
      <c r="AG193" s="5">
        <f>Y193</f>
        <v>0</v>
      </c>
      <c r="AH193" s="5">
        <f>IF(OR(G193="C",G193="S",G193="U"),1,0)</f>
        <v>1</v>
      </c>
      <c r="AI193" s="5">
        <f>IF(ISNUMBER(H193),1,0)</f>
        <v>0</v>
      </c>
      <c r="AJ193" s="5">
        <f>IF(ISNUMBER(P193),1,0)</f>
        <v>1</v>
      </c>
      <c r="AK193" s="5" t="str">
        <f>IF(AI193=1,IF(J193&gt;0,1,0),"")</f>
        <v/>
      </c>
      <c r="AL193" s="5">
        <f>IF(AJ193=1,IF(OR(Q193&gt;0,R193&gt;0),1,0),"")</f>
        <v>1</v>
      </c>
    </row>
    <row r="194" spans="1:38">
      <c r="A194">
        <v>163973</v>
      </c>
      <c r="B194" t="s">
        <v>260</v>
      </c>
      <c r="C194" t="s">
        <v>261</v>
      </c>
      <c r="D194" t="s">
        <v>24</v>
      </c>
      <c r="E194">
        <v>16</v>
      </c>
      <c r="F194">
        <v>700523</v>
      </c>
      <c r="G194" t="s">
        <v>25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>
        <v>1</v>
      </c>
      <c r="Q194">
        <v>0</v>
      </c>
      <c r="R194">
        <v>1</v>
      </c>
      <c r="S194">
        <v>1</v>
      </c>
      <c r="T194">
        <v>1.4275</v>
      </c>
      <c r="U194">
        <v>6.25E-2</v>
      </c>
      <c r="V194">
        <v>1</v>
      </c>
      <c r="W194">
        <f>E194/100</f>
        <v>0.16</v>
      </c>
      <c r="X194">
        <f>F194/1000000</f>
        <v>0.70052300000000001</v>
      </c>
      <c r="Y194">
        <f>IF(D194="C",1,0)</f>
        <v>0</v>
      </c>
      <c r="Z194">
        <f>IF(G194="C",1,0)</f>
        <v>0</v>
      </c>
      <c r="AA194">
        <f>IF(G194="S",1,0)</f>
        <v>1</v>
      </c>
      <c r="AB194">
        <f>IF(G194="U",1,0)</f>
        <v>0</v>
      </c>
      <c r="AC194" s="5">
        <f>IF(AND(ISNUMBER(H194),NOT(ISNUMBER(P194))),1,0)</f>
        <v>0</v>
      </c>
      <c r="AD194" s="5">
        <f>IF(AND(ISNUMBER(H194),ISNUMBER(P194)),1,0)</f>
        <v>0</v>
      </c>
      <c r="AE194" s="5">
        <f>W194</f>
        <v>0.16</v>
      </c>
      <c r="AF194" s="5">
        <f>X194</f>
        <v>0.70052300000000001</v>
      </c>
      <c r="AG194" s="5">
        <f>Y194</f>
        <v>0</v>
      </c>
      <c r="AH194" s="5">
        <f>IF(OR(G194="C",G194="S",G194="U"),1,0)</f>
        <v>1</v>
      </c>
      <c r="AI194" s="5">
        <f>IF(ISNUMBER(H194),1,0)</f>
        <v>0</v>
      </c>
      <c r="AJ194" s="5">
        <f>IF(ISNUMBER(P194),1,0)</f>
        <v>1</v>
      </c>
      <c r="AK194" s="5" t="str">
        <f>IF(AI194=1,IF(J194&gt;0,1,0),"")</f>
        <v/>
      </c>
      <c r="AL194" s="5">
        <f>IF(AJ194=1,IF(OR(Q194&gt;0,R194&gt;0),1,0),"")</f>
        <v>1</v>
      </c>
    </row>
    <row r="195" spans="1:38">
      <c r="A195">
        <v>164952</v>
      </c>
      <c r="B195" t="s">
        <v>262</v>
      </c>
      <c r="C195" t="s">
        <v>82</v>
      </c>
      <c r="D195" t="s">
        <v>24</v>
      </c>
      <c r="E195">
        <v>13</v>
      </c>
      <c r="F195">
        <v>20000</v>
      </c>
      <c r="G195" t="s">
        <v>25</v>
      </c>
      <c r="H195" t="s">
        <v>26</v>
      </c>
      <c r="I195" t="s">
        <v>26</v>
      </c>
      <c r="J195" t="s">
        <v>26</v>
      </c>
      <c r="K195" t="s">
        <v>26</v>
      </c>
      <c r="L195" t="s">
        <v>26</v>
      </c>
      <c r="M195" t="s">
        <v>26</v>
      </c>
      <c r="N195" t="s">
        <v>26</v>
      </c>
      <c r="O195" t="s">
        <v>26</v>
      </c>
      <c r="P195">
        <v>1</v>
      </c>
      <c r="Q195">
        <v>0</v>
      </c>
      <c r="R195">
        <v>1</v>
      </c>
      <c r="S195">
        <v>0</v>
      </c>
      <c r="T195">
        <v>50</v>
      </c>
      <c r="U195">
        <v>7.6899999999999996E-2</v>
      </c>
      <c r="V195">
        <v>1</v>
      </c>
      <c r="W195">
        <f>E195/100</f>
        <v>0.13</v>
      </c>
      <c r="X195">
        <f>F195/1000000</f>
        <v>0.02</v>
      </c>
      <c r="Y195">
        <f>IF(D195="C",1,0)</f>
        <v>0</v>
      </c>
      <c r="Z195">
        <f>IF(G195="C",1,0)</f>
        <v>0</v>
      </c>
      <c r="AA195">
        <f>IF(G195="S",1,0)</f>
        <v>1</v>
      </c>
      <c r="AB195">
        <f>IF(G195="U",1,0)</f>
        <v>0</v>
      </c>
      <c r="AC195" s="5">
        <f>IF(AND(ISNUMBER(H195),NOT(ISNUMBER(P195))),1,0)</f>
        <v>0</v>
      </c>
      <c r="AD195" s="5">
        <f>IF(AND(ISNUMBER(H195),ISNUMBER(P195)),1,0)</f>
        <v>0</v>
      </c>
      <c r="AE195" s="5">
        <f>W195</f>
        <v>0.13</v>
      </c>
      <c r="AF195" s="5">
        <f>X195</f>
        <v>0.02</v>
      </c>
      <c r="AG195" s="5">
        <f>Y195</f>
        <v>0</v>
      </c>
      <c r="AH195" s="5">
        <f>IF(OR(G195="C",G195="S",G195="U"),1,0)</f>
        <v>1</v>
      </c>
      <c r="AI195" s="5">
        <f>IF(ISNUMBER(H195),1,0)</f>
        <v>0</v>
      </c>
      <c r="AJ195" s="5">
        <f>IF(ISNUMBER(P195),1,0)</f>
        <v>1</v>
      </c>
      <c r="AK195" s="5" t="str">
        <f>IF(AI195=1,IF(J195&gt;0,1,0),"")</f>
        <v/>
      </c>
      <c r="AL195" s="5">
        <f>IF(AJ195=1,IF(OR(Q195&gt;0,R195&gt;0),1,0),"")</f>
        <v>1</v>
      </c>
    </row>
    <row r="196" spans="1:38">
      <c r="A196">
        <v>170776</v>
      </c>
      <c r="B196" t="s">
        <v>263</v>
      </c>
      <c r="C196" t="s">
        <v>157</v>
      </c>
      <c r="D196" t="s">
        <v>24</v>
      </c>
      <c r="E196">
        <v>17</v>
      </c>
      <c r="F196">
        <v>1996700</v>
      </c>
      <c r="G196" t="s">
        <v>25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>
        <v>1</v>
      </c>
      <c r="Q196">
        <v>1</v>
      </c>
      <c r="R196">
        <v>1</v>
      </c>
      <c r="S196">
        <v>0</v>
      </c>
      <c r="T196">
        <v>0.50080000000000002</v>
      </c>
      <c r="U196">
        <v>5.8799999999999998E-2</v>
      </c>
      <c r="V196">
        <v>1</v>
      </c>
      <c r="W196">
        <f>E196/100</f>
        <v>0.17</v>
      </c>
      <c r="X196">
        <f>F196/1000000</f>
        <v>1.9966999999999999</v>
      </c>
      <c r="Y196">
        <f>IF(D196="C",1,0)</f>
        <v>0</v>
      </c>
      <c r="Z196">
        <f>IF(G196="C",1,0)</f>
        <v>0</v>
      </c>
      <c r="AA196">
        <f>IF(G196="S",1,0)</f>
        <v>1</v>
      </c>
      <c r="AB196">
        <f>IF(G196="U",1,0)</f>
        <v>0</v>
      </c>
      <c r="AC196" s="5">
        <f>IF(AND(ISNUMBER(H196),NOT(ISNUMBER(P196))),1,0)</f>
        <v>0</v>
      </c>
      <c r="AD196" s="5">
        <f>IF(AND(ISNUMBER(H196),ISNUMBER(P196)),1,0)</f>
        <v>0</v>
      </c>
      <c r="AE196" s="5">
        <f>W196</f>
        <v>0.17</v>
      </c>
      <c r="AF196" s="5">
        <f>X196</f>
        <v>1.9966999999999999</v>
      </c>
      <c r="AG196" s="5">
        <f>Y196</f>
        <v>0</v>
      </c>
      <c r="AH196" s="5">
        <f>IF(OR(G196="C",G196="S",G196="U"),1,0)</f>
        <v>1</v>
      </c>
      <c r="AI196" s="5">
        <f>IF(ISNUMBER(H196),1,0)</f>
        <v>0</v>
      </c>
      <c r="AJ196" s="5">
        <f>IF(ISNUMBER(P196),1,0)</f>
        <v>1</v>
      </c>
      <c r="AK196" s="5" t="str">
        <f>IF(AI196=1,IF(J196&gt;0,1,0),"")</f>
        <v/>
      </c>
      <c r="AL196" s="5">
        <f>IF(AJ196=1,IF(OR(Q196&gt;0,R196&gt;0),1,0),"")</f>
        <v>1</v>
      </c>
    </row>
    <row r="197" spans="1:38">
      <c r="A197">
        <v>172348</v>
      </c>
      <c r="B197" t="s">
        <v>264</v>
      </c>
      <c r="C197" t="s">
        <v>37</v>
      </c>
      <c r="D197" t="s">
        <v>24</v>
      </c>
      <c r="E197">
        <v>29</v>
      </c>
      <c r="F197">
        <v>300000</v>
      </c>
      <c r="G197" t="s">
        <v>25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26</v>
      </c>
      <c r="P197">
        <v>1</v>
      </c>
      <c r="Q197">
        <v>0</v>
      </c>
      <c r="R197">
        <v>1</v>
      </c>
      <c r="S197">
        <v>1</v>
      </c>
      <c r="T197">
        <v>3.3332999999999999</v>
      </c>
      <c r="U197">
        <v>3.4500000000000003E-2</v>
      </c>
      <c r="V197">
        <v>1</v>
      </c>
      <c r="W197">
        <f>E197/100</f>
        <v>0.28999999999999998</v>
      </c>
      <c r="X197">
        <f>F197/1000000</f>
        <v>0.3</v>
      </c>
      <c r="Y197">
        <f>IF(D197="C",1,0)</f>
        <v>0</v>
      </c>
      <c r="Z197">
        <f>IF(G197="C",1,0)</f>
        <v>0</v>
      </c>
      <c r="AA197">
        <f>IF(G197="S",1,0)</f>
        <v>1</v>
      </c>
      <c r="AB197">
        <f>IF(G197="U",1,0)</f>
        <v>0</v>
      </c>
      <c r="AC197" s="5">
        <f>IF(AND(ISNUMBER(H197),NOT(ISNUMBER(P197))),1,0)</f>
        <v>0</v>
      </c>
      <c r="AD197" s="5">
        <f>IF(AND(ISNUMBER(H197),ISNUMBER(P197)),1,0)</f>
        <v>0</v>
      </c>
      <c r="AE197" s="5">
        <f>W197</f>
        <v>0.28999999999999998</v>
      </c>
      <c r="AF197" s="5">
        <f>X197</f>
        <v>0.3</v>
      </c>
      <c r="AG197" s="5">
        <f>Y197</f>
        <v>0</v>
      </c>
      <c r="AH197" s="5">
        <f>IF(OR(G197="C",G197="S",G197="U"),1,0)</f>
        <v>1</v>
      </c>
      <c r="AI197" s="5">
        <f>IF(ISNUMBER(H197),1,0)</f>
        <v>0</v>
      </c>
      <c r="AJ197" s="5">
        <f>IF(ISNUMBER(P197),1,0)</f>
        <v>1</v>
      </c>
      <c r="AK197" s="5" t="str">
        <f>IF(AI197=1,IF(J197&gt;0,1,0),"")</f>
        <v/>
      </c>
      <c r="AL197" s="5">
        <f>IF(AJ197=1,IF(OR(Q197&gt;0,R197&gt;0),1,0),"")</f>
        <v>1</v>
      </c>
    </row>
    <row r="198" spans="1:38">
      <c r="A198">
        <v>178035</v>
      </c>
      <c r="B198" t="s">
        <v>265</v>
      </c>
      <c r="C198" t="s">
        <v>42</v>
      </c>
      <c r="D198" t="s">
        <v>24</v>
      </c>
      <c r="E198">
        <v>8</v>
      </c>
      <c r="F198">
        <v>584281</v>
      </c>
      <c r="H198" t="s">
        <v>26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>
        <v>1</v>
      </c>
      <c r="Q198">
        <v>0</v>
      </c>
      <c r="R198">
        <v>0</v>
      </c>
      <c r="S198">
        <v>1</v>
      </c>
      <c r="T198">
        <v>1.7115</v>
      </c>
      <c r="U198">
        <v>0.125</v>
      </c>
      <c r="V198">
        <v>0</v>
      </c>
      <c r="W198">
        <f>E198/100</f>
        <v>0.08</v>
      </c>
      <c r="X198">
        <f>F198/1000000</f>
        <v>0.58428100000000005</v>
      </c>
      <c r="Y198">
        <f>IF(D198="C",1,0)</f>
        <v>0</v>
      </c>
      <c r="Z198">
        <f>IF(G198="C",1,0)</f>
        <v>0</v>
      </c>
      <c r="AA198">
        <f>IF(G198="S",1,0)</f>
        <v>0</v>
      </c>
      <c r="AB198">
        <f>IF(G198="U",1,0)</f>
        <v>0</v>
      </c>
      <c r="AC198" s="5">
        <f>IF(AND(ISNUMBER(H198),NOT(ISNUMBER(P198))),1,0)</f>
        <v>0</v>
      </c>
      <c r="AD198" s="5">
        <f>IF(AND(ISNUMBER(H198),ISNUMBER(P198)),1,0)</f>
        <v>0</v>
      </c>
      <c r="AE198" s="5">
        <f>W198</f>
        <v>0.08</v>
      </c>
      <c r="AF198" s="5">
        <f>X198</f>
        <v>0.58428100000000005</v>
      </c>
      <c r="AG198" s="5">
        <f>Y198</f>
        <v>0</v>
      </c>
      <c r="AH198" s="5">
        <f>IF(OR(G198="C",G198="S",G198="U"),1,0)</f>
        <v>0</v>
      </c>
      <c r="AI198" s="5">
        <f>IF(ISNUMBER(H198),1,0)</f>
        <v>0</v>
      </c>
      <c r="AJ198" s="5">
        <f>IF(ISNUMBER(P198),1,0)</f>
        <v>1</v>
      </c>
      <c r="AK198" s="5" t="str">
        <f>IF(AI198=1,IF(J198&gt;0,1,0),"")</f>
        <v/>
      </c>
      <c r="AL198" s="5">
        <f>IF(AJ198=1,IF(OR(Q198&gt;0,R198&gt;0),1,0),"")</f>
        <v>0</v>
      </c>
    </row>
    <row r="199" spans="1:38">
      <c r="A199">
        <v>178504</v>
      </c>
      <c r="B199" t="s">
        <v>266</v>
      </c>
      <c r="C199" t="s">
        <v>181</v>
      </c>
      <c r="D199" t="s">
        <v>24</v>
      </c>
      <c r="E199">
        <v>1</v>
      </c>
      <c r="F199">
        <v>453922</v>
      </c>
      <c r="G199" t="s">
        <v>25</v>
      </c>
      <c r="H199" t="s">
        <v>26</v>
      </c>
      <c r="I199" t="s">
        <v>26</v>
      </c>
      <c r="J199" t="s">
        <v>26</v>
      </c>
      <c r="K199" t="s">
        <v>26</v>
      </c>
      <c r="L199" t="s">
        <v>26</v>
      </c>
      <c r="M199" t="s">
        <v>26</v>
      </c>
      <c r="N199" t="s">
        <v>26</v>
      </c>
      <c r="O199" t="s">
        <v>26</v>
      </c>
      <c r="P199">
        <v>1</v>
      </c>
      <c r="Q199">
        <v>0</v>
      </c>
      <c r="R199">
        <v>0</v>
      </c>
      <c r="S199">
        <v>1</v>
      </c>
      <c r="T199">
        <v>2.2029999999999998</v>
      </c>
      <c r="U199">
        <v>1</v>
      </c>
      <c r="V199">
        <v>0</v>
      </c>
      <c r="W199">
        <f>E199/100</f>
        <v>0.01</v>
      </c>
      <c r="X199">
        <f>F199/1000000</f>
        <v>0.45392199999999999</v>
      </c>
      <c r="Y199">
        <f>IF(D199="C",1,0)</f>
        <v>0</v>
      </c>
      <c r="Z199">
        <f>IF(G199="C",1,0)</f>
        <v>0</v>
      </c>
      <c r="AA199">
        <f>IF(G199="S",1,0)</f>
        <v>1</v>
      </c>
      <c r="AB199">
        <f>IF(G199="U",1,0)</f>
        <v>0</v>
      </c>
      <c r="AC199" s="5">
        <f>IF(AND(ISNUMBER(H199),NOT(ISNUMBER(P199))),1,0)</f>
        <v>0</v>
      </c>
      <c r="AD199" s="5">
        <f>IF(AND(ISNUMBER(H199),ISNUMBER(P199)),1,0)</f>
        <v>0</v>
      </c>
      <c r="AE199" s="5">
        <f>W199</f>
        <v>0.01</v>
      </c>
      <c r="AF199" s="5">
        <f>X199</f>
        <v>0.45392199999999999</v>
      </c>
      <c r="AG199" s="5">
        <f>Y199</f>
        <v>0</v>
      </c>
      <c r="AH199" s="5">
        <f>IF(OR(G199="C",G199="S",G199="U"),1,0)</f>
        <v>1</v>
      </c>
      <c r="AI199" s="5">
        <f>IF(ISNUMBER(H199),1,0)</f>
        <v>0</v>
      </c>
      <c r="AJ199" s="5">
        <f>IF(ISNUMBER(P199),1,0)</f>
        <v>1</v>
      </c>
      <c r="AK199" s="5" t="str">
        <f>IF(AI199=1,IF(J199&gt;0,1,0),"")</f>
        <v/>
      </c>
      <c r="AL199" s="5">
        <f>IF(AJ199=1,IF(OR(Q199&gt;0,R199&gt;0),1,0),"")</f>
        <v>0</v>
      </c>
    </row>
    <row r="200" spans="1:38">
      <c r="A200">
        <v>179188</v>
      </c>
      <c r="B200" t="s">
        <v>267</v>
      </c>
      <c r="C200" t="s">
        <v>23</v>
      </c>
      <c r="D200" t="s">
        <v>24</v>
      </c>
      <c r="E200">
        <v>45</v>
      </c>
      <c r="F200">
        <v>2517347</v>
      </c>
      <c r="G200" t="s">
        <v>25</v>
      </c>
      <c r="H200" t="s">
        <v>26</v>
      </c>
      <c r="I200" t="s">
        <v>26</v>
      </c>
      <c r="J200" t="s">
        <v>26</v>
      </c>
      <c r="K200" t="s">
        <v>26</v>
      </c>
      <c r="L200" t="s">
        <v>26</v>
      </c>
      <c r="M200" t="s">
        <v>26</v>
      </c>
      <c r="N200" t="s">
        <v>26</v>
      </c>
      <c r="O200" t="s">
        <v>26</v>
      </c>
      <c r="P200">
        <v>1</v>
      </c>
      <c r="Q200">
        <v>0</v>
      </c>
      <c r="R200">
        <v>1</v>
      </c>
      <c r="S200">
        <v>0</v>
      </c>
      <c r="T200">
        <v>0.3972</v>
      </c>
      <c r="U200">
        <v>2.2200000000000001E-2</v>
      </c>
      <c r="V200">
        <v>1</v>
      </c>
      <c r="W200">
        <f>E200/100</f>
        <v>0.45</v>
      </c>
      <c r="X200">
        <f>F200/1000000</f>
        <v>2.517347</v>
      </c>
      <c r="Y200">
        <f>IF(D200="C",1,0)</f>
        <v>0</v>
      </c>
      <c r="Z200">
        <f>IF(G200="C",1,0)</f>
        <v>0</v>
      </c>
      <c r="AA200">
        <f>IF(G200="S",1,0)</f>
        <v>1</v>
      </c>
      <c r="AB200">
        <f>IF(G200="U",1,0)</f>
        <v>0</v>
      </c>
      <c r="AC200" s="5">
        <f>IF(AND(ISNUMBER(H200),NOT(ISNUMBER(P200))),1,0)</f>
        <v>0</v>
      </c>
      <c r="AD200" s="5">
        <f>IF(AND(ISNUMBER(H200),ISNUMBER(P200)),1,0)</f>
        <v>0</v>
      </c>
      <c r="AE200" s="5">
        <f>W200</f>
        <v>0.45</v>
      </c>
      <c r="AF200" s="5">
        <f>X200</f>
        <v>2.517347</v>
      </c>
      <c r="AG200" s="5">
        <f>Y200</f>
        <v>0</v>
      </c>
      <c r="AH200" s="5">
        <f>IF(OR(G200="C",G200="S",G200="U"),1,0)</f>
        <v>1</v>
      </c>
      <c r="AI200" s="5">
        <f>IF(ISNUMBER(H200),1,0)</f>
        <v>0</v>
      </c>
      <c r="AJ200" s="5">
        <f>IF(ISNUMBER(P200),1,0)</f>
        <v>1</v>
      </c>
      <c r="AK200" s="5" t="str">
        <f>IF(AI200=1,IF(J200&gt;0,1,0),"")</f>
        <v/>
      </c>
      <c r="AL200" s="5">
        <f>IF(AJ200=1,IF(OR(Q200&gt;0,R200&gt;0),1,0),"")</f>
        <v>1</v>
      </c>
    </row>
    <row r="201" spans="1:38">
      <c r="A201">
        <v>179988</v>
      </c>
      <c r="B201" t="s">
        <v>268</v>
      </c>
      <c r="C201" t="s">
        <v>261</v>
      </c>
      <c r="D201" t="s">
        <v>24</v>
      </c>
      <c r="E201">
        <v>4</v>
      </c>
      <c r="F201">
        <v>260000</v>
      </c>
      <c r="G201" t="s">
        <v>25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>
        <v>1</v>
      </c>
      <c r="Q201">
        <v>0</v>
      </c>
      <c r="R201">
        <v>0</v>
      </c>
      <c r="S201">
        <v>1</v>
      </c>
      <c r="T201">
        <v>3.8462000000000001</v>
      </c>
      <c r="U201">
        <v>0.25</v>
      </c>
      <c r="V201">
        <v>0</v>
      </c>
      <c r="W201">
        <f>E201/100</f>
        <v>0.04</v>
      </c>
      <c r="X201">
        <f>F201/1000000</f>
        <v>0.26</v>
      </c>
      <c r="Y201">
        <f>IF(D201="C",1,0)</f>
        <v>0</v>
      </c>
      <c r="Z201">
        <f>IF(G201="C",1,0)</f>
        <v>0</v>
      </c>
      <c r="AA201">
        <f>IF(G201="S",1,0)</f>
        <v>1</v>
      </c>
      <c r="AB201">
        <f>IF(G201="U",1,0)</f>
        <v>0</v>
      </c>
      <c r="AC201" s="5">
        <f>IF(AND(ISNUMBER(H201),NOT(ISNUMBER(P201))),1,0)</f>
        <v>0</v>
      </c>
      <c r="AD201" s="5">
        <f>IF(AND(ISNUMBER(H201),ISNUMBER(P201)),1,0)</f>
        <v>0</v>
      </c>
      <c r="AE201" s="5">
        <f>W201</f>
        <v>0.04</v>
      </c>
      <c r="AF201" s="5">
        <f>X201</f>
        <v>0.26</v>
      </c>
      <c r="AG201" s="5">
        <f>Y201</f>
        <v>0</v>
      </c>
      <c r="AH201" s="5">
        <f>IF(OR(G201="C",G201="S",G201="U"),1,0)</f>
        <v>1</v>
      </c>
      <c r="AI201" s="5">
        <f>IF(ISNUMBER(H201),1,0)</f>
        <v>0</v>
      </c>
      <c r="AJ201" s="5">
        <f>IF(ISNUMBER(P201),1,0)</f>
        <v>1</v>
      </c>
      <c r="AK201" s="5" t="str">
        <f>IF(AI201=1,IF(J201&gt;0,1,0),"")</f>
        <v/>
      </c>
      <c r="AL201" s="5">
        <f>IF(AJ201=1,IF(OR(Q201&gt;0,R201&gt;0),1,0),"")</f>
        <v>0</v>
      </c>
    </row>
    <row r="202" spans="1:38">
      <c r="A202">
        <v>184348</v>
      </c>
      <c r="B202" t="s">
        <v>269</v>
      </c>
      <c r="C202" t="s">
        <v>174</v>
      </c>
      <c r="D202" t="s">
        <v>24</v>
      </c>
      <c r="E202">
        <v>37</v>
      </c>
      <c r="F202">
        <v>3840000</v>
      </c>
      <c r="G202" t="s">
        <v>33</v>
      </c>
      <c r="H202" t="s">
        <v>26</v>
      </c>
      <c r="I202" t="s">
        <v>26</v>
      </c>
      <c r="J202" t="s">
        <v>26</v>
      </c>
      <c r="K202" t="s">
        <v>26</v>
      </c>
      <c r="L202" t="s">
        <v>26</v>
      </c>
      <c r="M202" t="s">
        <v>26</v>
      </c>
      <c r="N202" t="s">
        <v>26</v>
      </c>
      <c r="O202" t="s">
        <v>26</v>
      </c>
      <c r="P202">
        <v>1</v>
      </c>
      <c r="Q202">
        <v>0</v>
      </c>
      <c r="R202">
        <v>0</v>
      </c>
      <c r="S202">
        <v>1</v>
      </c>
      <c r="T202">
        <v>0.26040000000000002</v>
      </c>
      <c r="U202">
        <v>2.7E-2</v>
      </c>
      <c r="V202">
        <v>0</v>
      </c>
      <c r="W202">
        <f>E202/100</f>
        <v>0.37</v>
      </c>
      <c r="X202">
        <f>F202/1000000</f>
        <v>3.84</v>
      </c>
      <c r="Y202">
        <f>IF(D202="C",1,0)</f>
        <v>0</v>
      </c>
      <c r="Z202">
        <f>IF(G202="C",1,0)</f>
        <v>1</v>
      </c>
      <c r="AA202">
        <f>IF(G202="S",1,0)</f>
        <v>0</v>
      </c>
      <c r="AB202">
        <f>IF(G202="U",1,0)</f>
        <v>0</v>
      </c>
      <c r="AC202" s="5">
        <f>IF(AND(ISNUMBER(H202),NOT(ISNUMBER(P202))),1,0)</f>
        <v>0</v>
      </c>
      <c r="AD202" s="5">
        <f>IF(AND(ISNUMBER(H202),ISNUMBER(P202)),1,0)</f>
        <v>0</v>
      </c>
      <c r="AE202" s="5">
        <f>W202</f>
        <v>0.37</v>
      </c>
      <c r="AF202" s="5">
        <f>X202</f>
        <v>3.84</v>
      </c>
      <c r="AG202" s="5">
        <f>Y202</f>
        <v>0</v>
      </c>
      <c r="AH202" s="5">
        <f>IF(OR(G202="C",G202="S",G202="U"),1,0)</f>
        <v>1</v>
      </c>
      <c r="AI202" s="5">
        <f>IF(ISNUMBER(H202),1,0)</f>
        <v>0</v>
      </c>
      <c r="AJ202" s="5">
        <f>IF(ISNUMBER(P202),1,0)</f>
        <v>1</v>
      </c>
      <c r="AK202" s="5" t="str">
        <f>IF(AI202=1,IF(J202&gt;0,1,0),"")</f>
        <v/>
      </c>
      <c r="AL202" s="5">
        <f>IF(AJ202=1,IF(OR(Q202&gt;0,R202&gt;0),1,0),"")</f>
        <v>0</v>
      </c>
    </row>
    <row r="203" spans="1:38">
      <c r="A203">
        <v>185343</v>
      </c>
      <c r="B203" t="s">
        <v>270</v>
      </c>
      <c r="C203" t="s">
        <v>174</v>
      </c>
      <c r="D203" t="s">
        <v>24</v>
      </c>
      <c r="E203">
        <v>1</v>
      </c>
      <c r="F203">
        <v>15060</v>
      </c>
      <c r="G203" t="s">
        <v>25</v>
      </c>
      <c r="H203" t="s">
        <v>26</v>
      </c>
      <c r="I203" t="s">
        <v>26</v>
      </c>
      <c r="J203" t="s">
        <v>26</v>
      </c>
      <c r="K203" t="s">
        <v>26</v>
      </c>
      <c r="L203" t="s">
        <v>26</v>
      </c>
      <c r="M203" t="s">
        <v>26</v>
      </c>
      <c r="N203" t="s">
        <v>26</v>
      </c>
      <c r="O203" t="s">
        <v>26</v>
      </c>
      <c r="P203">
        <v>1</v>
      </c>
      <c r="Q203">
        <v>0</v>
      </c>
      <c r="R203">
        <v>1</v>
      </c>
      <c r="S203">
        <v>0</v>
      </c>
      <c r="T203">
        <v>66.4011</v>
      </c>
      <c r="U203">
        <v>1</v>
      </c>
      <c r="V203">
        <v>1</v>
      </c>
      <c r="W203">
        <f>E203/100</f>
        <v>0.01</v>
      </c>
      <c r="X203">
        <f>F203/1000000</f>
        <v>1.506E-2</v>
      </c>
      <c r="Y203">
        <f>IF(D203="C",1,0)</f>
        <v>0</v>
      </c>
      <c r="Z203">
        <f>IF(G203="C",1,0)</f>
        <v>0</v>
      </c>
      <c r="AA203">
        <f>IF(G203="S",1,0)</f>
        <v>1</v>
      </c>
      <c r="AB203">
        <f>IF(G203="U",1,0)</f>
        <v>0</v>
      </c>
      <c r="AC203" s="5">
        <f>IF(AND(ISNUMBER(H203),NOT(ISNUMBER(P203))),1,0)</f>
        <v>0</v>
      </c>
      <c r="AD203" s="5">
        <f>IF(AND(ISNUMBER(H203),ISNUMBER(P203)),1,0)</f>
        <v>0</v>
      </c>
      <c r="AE203" s="5">
        <f>W203</f>
        <v>0.01</v>
      </c>
      <c r="AF203" s="5">
        <f>X203</f>
        <v>1.506E-2</v>
      </c>
      <c r="AG203" s="5">
        <f>Y203</f>
        <v>0</v>
      </c>
      <c r="AH203" s="5">
        <f>IF(OR(G203="C",G203="S",G203="U"),1,0)</f>
        <v>1</v>
      </c>
      <c r="AI203" s="5">
        <f>IF(ISNUMBER(H203),1,0)</f>
        <v>0</v>
      </c>
      <c r="AJ203" s="5">
        <f>IF(ISNUMBER(P203),1,0)</f>
        <v>1</v>
      </c>
      <c r="AK203" s="5" t="str">
        <f>IF(AI203=1,IF(J203&gt;0,1,0),"")</f>
        <v/>
      </c>
      <c r="AL203" s="5">
        <f>IF(AJ203=1,IF(OR(Q203&gt;0,R203&gt;0),1,0),"")</f>
        <v>1</v>
      </c>
    </row>
    <row r="204" spans="1:38">
      <c r="A204">
        <v>185844</v>
      </c>
      <c r="B204" t="s">
        <v>271</v>
      </c>
      <c r="C204" t="s">
        <v>37</v>
      </c>
      <c r="D204" t="s">
        <v>24</v>
      </c>
      <c r="E204">
        <v>36</v>
      </c>
      <c r="F204">
        <v>4060528</v>
      </c>
      <c r="G204" t="s">
        <v>25</v>
      </c>
      <c r="H204" t="s">
        <v>26</v>
      </c>
      <c r="I204" t="s">
        <v>26</v>
      </c>
      <c r="J204" t="s">
        <v>26</v>
      </c>
      <c r="K204" t="s">
        <v>26</v>
      </c>
      <c r="L204" t="s">
        <v>26</v>
      </c>
      <c r="M204" t="s">
        <v>26</v>
      </c>
      <c r="N204" t="s">
        <v>26</v>
      </c>
      <c r="O204" t="s">
        <v>26</v>
      </c>
      <c r="P204">
        <v>3</v>
      </c>
      <c r="Q204">
        <v>0</v>
      </c>
      <c r="R204">
        <v>3</v>
      </c>
      <c r="S204">
        <v>3</v>
      </c>
      <c r="T204">
        <v>0.73880000000000001</v>
      </c>
      <c r="U204">
        <v>8.3299999999999999E-2</v>
      </c>
      <c r="V204">
        <v>1</v>
      </c>
      <c r="W204">
        <f>E204/100</f>
        <v>0.36</v>
      </c>
      <c r="X204">
        <f>F204/1000000</f>
        <v>4.0605279999999997</v>
      </c>
      <c r="Y204">
        <f>IF(D204="C",1,0)</f>
        <v>0</v>
      </c>
      <c r="Z204">
        <f>IF(G204="C",1,0)</f>
        <v>0</v>
      </c>
      <c r="AA204">
        <f>IF(G204="S",1,0)</f>
        <v>1</v>
      </c>
      <c r="AB204">
        <f>IF(G204="U",1,0)</f>
        <v>0</v>
      </c>
      <c r="AC204" s="5">
        <f>IF(AND(ISNUMBER(H204),NOT(ISNUMBER(P204))),1,0)</f>
        <v>0</v>
      </c>
      <c r="AD204" s="5">
        <f>IF(AND(ISNUMBER(H204),ISNUMBER(P204)),1,0)</f>
        <v>0</v>
      </c>
      <c r="AE204" s="5">
        <f>W204</f>
        <v>0.36</v>
      </c>
      <c r="AF204" s="5">
        <f>X204</f>
        <v>4.0605279999999997</v>
      </c>
      <c r="AG204" s="5">
        <f>Y204</f>
        <v>0</v>
      </c>
      <c r="AH204" s="5">
        <f>IF(OR(G204="C",G204="S",G204="U"),1,0)</f>
        <v>1</v>
      </c>
      <c r="AI204" s="5">
        <f>IF(ISNUMBER(H204),1,0)</f>
        <v>0</v>
      </c>
      <c r="AJ204" s="5">
        <f>IF(ISNUMBER(P204),1,0)</f>
        <v>1</v>
      </c>
      <c r="AK204" s="5" t="str">
        <f>IF(AI204=1,IF(J204&gt;0,1,0),"")</f>
        <v/>
      </c>
      <c r="AL204" s="5">
        <f>IF(AJ204=1,IF(OR(Q204&gt;0,R204&gt;0),1,0),"")</f>
        <v>1</v>
      </c>
    </row>
    <row r="205" spans="1:38">
      <c r="A205">
        <v>185956</v>
      </c>
      <c r="B205" t="s">
        <v>272</v>
      </c>
      <c r="C205" t="s">
        <v>82</v>
      </c>
      <c r="D205" t="s">
        <v>33</v>
      </c>
      <c r="E205">
        <v>18</v>
      </c>
      <c r="F205">
        <v>598555</v>
      </c>
      <c r="H205" t="s">
        <v>26</v>
      </c>
      <c r="I205" t="s">
        <v>26</v>
      </c>
      <c r="J205" t="s">
        <v>26</v>
      </c>
      <c r="K205" t="s">
        <v>26</v>
      </c>
      <c r="L205" t="s">
        <v>26</v>
      </c>
      <c r="M205" t="s">
        <v>26</v>
      </c>
      <c r="N205" t="s">
        <v>26</v>
      </c>
      <c r="O205" t="s">
        <v>26</v>
      </c>
      <c r="P205">
        <v>1</v>
      </c>
      <c r="Q205">
        <v>0</v>
      </c>
      <c r="R205">
        <v>0</v>
      </c>
      <c r="S205">
        <v>1</v>
      </c>
      <c r="T205">
        <v>1.6707000000000001</v>
      </c>
      <c r="U205">
        <v>5.5599999999999997E-2</v>
      </c>
      <c r="V205">
        <v>0</v>
      </c>
      <c r="W205">
        <f>E205/100</f>
        <v>0.18</v>
      </c>
      <c r="X205">
        <f>F205/1000000</f>
        <v>0.59855499999999995</v>
      </c>
      <c r="Y205">
        <f>IF(D205="C",1,0)</f>
        <v>1</v>
      </c>
      <c r="Z205">
        <f>IF(G205="C",1,0)</f>
        <v>0</v>
      </c>
      <c r="AA205">
        <f>IF(G205="S",1,0)</f>
        <v>0</v>
      </c>
      <c r="AB205">
        <f>IF(G205="U",1,0)</f>
        <v>0</v>
      </c>
      <c r="AC205" s="5">
        <f>IF(AND(ISNUMBER(H205),NOT(ISNUMBER(P205))),1,0)</f>
        <v>0</v>
      </c>
      <c r="AD205" s="5">
        <f>IF(AND(ISNUMBER(H205),ISNUMBER(P205)),1,0)</f>
        <v>0</v>
      </c>
      <c r="AE205" s="5">
        <f>W205</f>
        <v>0.18</v>
      </c>
      <c r="AF205" s="5">
        <f>X205</f>
        <v>0.59855499999999995</v>
      </c>
      <c r="AG205" s="5">
        <f>Y205</f>
        <v>1</v>
      </c>
      <c r="AH205" s="5">
        <f>IF(OR(G205="C",G205="S",G205="U"),1,0)</f>
        <v>0</v>
      </c>
      <c r="AI205" s="5">
        <f>IF(ISNUMBER(H205),1,0)</f>
        <v>0</v>
      </c>
      <c r="AJ205" s="5">
        <f>IF(ISNUMBER(P205),1,0)</f>
        <v>1</v>
      </c>
      <c r="AK205" s="5" t="str">
        <f>IF(AI205=1,IF(J205&gt;0,1,0),"")</f>
        <v/>
      </c>
      <c r="AL205" s="5">
        <f>IF(AJ205=1,IF(OR(Q205&gt;0,R205&gt;0),1,0),"")</f>
        <v>0</v>
      </c>
    </row>
    <row r="206" spans="1:38">
      <c r="A206">
        <v>186139</v>
      </c>
      <c r="B206" t="s">
        <v>273</v>
      </c>
      <c r="C206" t="s">
        <v>82</v>
      </c>
      <c r="D206" t="s">
        <v>24</v>
      </c>
      <c r="E206">
        <v>36</v>
      </c>
      <c r="F206">
        <v>2520000</v>
      </c>
      <c r="G206" t="s">
        <v>25</v>
      </c>
      <c r="H206" t="s">
        <v>26</v>
      </c>
      <c r="I206" t="s">
        <v>26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>
        <v>1</v>
      </c>
      <c r="Q206">
        <v>0</v>
      </c>
      <c r="R206">
        <v>1</v>
      </c>
      <c r="S206">
        <v>1</v>
      </c>
      <c r="T206">
        <v>0.39679999999999999</v>
      </c>
      <c r="U206">
        <v>2.7799999999999998E-2</v>
      </c>
      <c r="V206">
        <v>1</v>
      </c>
      <c r="W206">
        <f>E206/100</f>
        <v>0.36</v>
      </c>
      <c r="X206">
        <f>F206/1000000</f>
        <v>2.52</v>
      </c>
      <c r="Y206">
        <f>IF(D206="C",1,0)</f>
        <v>0</v>
      </c>
      <c r="Z206">
        <f>IF(G206="C",1,0)</f>
        <v>0</v>
      </c>
      <c r="AA206">
        <f>IF(G206="S",1,0)</f>
        <v>1</v>
      </c>
      <c r="AB206">
        <f>IF(G206="U",1,0)</f>
        <v>0</v>
      </c>
      <c r="AC206" s="5">
        <f>IF(AND(ISNUMBER(H206),NOT(ISNUMBER(P206))),1,0)</f>
        <v>0</v>
      </c>
      <c r="AD206" s="5">
        <f>IF(AND(ISNUMBER(H206),ISNUMBER(P206)),1,0)</f>
        <v>0</v>
      </c>
      <c r="AE206" s="5">
        <f>W206</f>
        <v>0.36</v>
      </c>
      <c r="AF206" s="5">
        <f>X206</f>
        <v>2.52</v>
      </c>
      <c r="AG206" s="5">
        <f>Y206</f>
        <v>0</v>
      </c>
      <c r="AH206" s="5">
        <f>IF(OR(G206="C",G206="S",G206="U"),1,0)</f>
        <v>1</v>
      </c>
      <c r="AI206" s="5">
        <f>IF(ISNUMBER(H206),1,0)</f>
        <v>0</v>
      </c>
      <c r="AJ206" s="5">
        <f>IF(ISNUMBER(P206),1,0)</f>
        <v>1</v>
      </c>
      <c r="AK206" s="5" t="str">
        <f>IF(AI206=1,IF(J206&gt;0,1,0),"")</f>
        <v/>
      </c>
      <c r="AL206" s="5">
        <f>IF(AJ206=1,IF(OR(Q206&gt;0,R206&gt;0),1,0),"")</f>
        <v>1</v>
      </c>
    </row>
    <row r="207" spans="1:38">
      <c r="A207">
        <v>187783</v>
      </c>
      <c r="B207" t="s">
        <v>274</v>
      </c>
      <c r="C207" t="s">
        <v>77</v>
      </c>
      <c r="D207" t="s">
        <v>24</v>
      </c>
      <c r="E207">
        <v>0</v>
      </c>
      <c r="F207">
        <v>1540000</v>
      </c>
      <c r="G207" t="s">
        <v>25</v>
      </c>
      <c r="H207" t="s">
        <v>26</v>
      </c>
      <c r="I207" t="s">
        <v>26</v>
      </c>
      <c r="J207" t="s">
        <v>26</v>
      </c>
      <c r="K207" t="s">
        <v>26</v>
      </c>
      <c r="L207" t="s">
        <v>26</v>
      </c>
      <c r="M207" t="s">
        <v>26</v>
      </c>
      <c r="N207" t="s">
        <v>26</v>
      </c>
      <c r="O207" t="s">
        <v>26</v>
      </c>
      <c r="P207">
        <v>1</v>
      </c>
      <c r="Q207">
        <v>0</v>
      </c>
      <c r="R207">
        <v>1</v>
      </c>
      <c r="S207">
        <v>1</v>
      </c>
      <c r="T207">
        <v>0.64939999999999998</v>
      </c>
      <c r="U207" t="s">
        <v>26</v>
      </c>
      <c r="V207">
        <v>1</v>
      </c>
      <c r="W207">
        <f>E207/100</f>
        <v>0</v>
      </c>
      <c r="X207">
        <f>F207/1000000</f>
        <v>1.54</v>
      </c>
      <c r="Y207">
        <f>IF(D207="C",1,0)</f>
        <v>0</v>
      </c>
      <c r="Z207">
        <f>IF(G207="C",1,0)</f>
        <v>0</v>
      </c>
      <c r="AA207">
        <f>IF(G207="S",1,0)</f>
        <v>1</v>
      </c>
      <c r="AB207">
        <f>IF(G207="U",1,0)</f>
        <v>0</v>
      </c>
      <c r="AC207" s="5">
        <f>IF(AND(ISNUMBER(H207),NOT(ISNUMBER(P207))),1,0)</f>
        <v>0</v>
      </c>
      <c r="AD207" s="5">
        <f>IF(AND(ISNUMBER(H207),ISNUMBER(P207)),1,0)</f>
        <v>0</v>
      </c>
      <c r="AE207" s="5">
        <f>W207</f>
        <v>0</v>
      </c>
      <c r="AF207" s="5">
        <f>X207</f>
        <v>1.54</v>
      </c>
      <c r="AG207" s="5">
        <f>Y207</f>
        <v>0</v>
      </c>
      <c r="AH207" s="5">
        <f>IF(OR(G207="C",G207="S",G207="U"),1,0)</f>
        <v>1</v>
      </c>
      <c r="AI207" s="5">
        <f>IF(ISNUMBER(H207),1,0)</f>
        <v>0</v>
      </c>
      <c r="AJ207" s="5">
        <f>IF(ISNUMBER(P207),1,0)</f>
        <v>1</v>
      </c>
      <c r="AK207" s="5" t="str">
        <f>IF(AI207=1,IF(J207&gt;0,1,0),"")</f>
        <v/>
      </c>
      <c r="AL207" s="5">
        <f>IF(AJ207=1,IF(OR(Q207&gt;0,R207&gt;0),1,0),"")</f>
        <v>1</v>
      </c>
    </row>
    <row r="208" spans="1:38">
      <c r="A208">
        <v>189697</v>
      </c>
      <c r="B208" t="s">
        <v>275</v>
      </c>
      <c r="C208" t="s">
        <v>82</v>
      </c>
      <c r="D208" t="s">
        <v>33</v>
      </c>
      <c r="E208">
        <v>16</v>
      </c>
      <c r="F208">
        <v>1100000</v>
      </c>
      <c r="H208" t="s">
        <v>26</v>
      </c>
      <c r="I208" t="s">
        <v>26</v>
      </c>
      <c r="J208" t="s">
        <v>26</v>
      </c>
      <c r="K208" t="s">
        <v>26</v>
      </c>
      <c r="L208" t="s">
        <v>26</v>
      </c>
      <c r="M208" t="s">
        <v>26</v>
      </c>
      <c r="N208" t="s">
        <v>26</v>
      </c>
      <c r="O208" t="s">
        <v>26</v>
      </c>
      <c r="P208">
        <v>2</v>
      </c>
      <c r="Q208">
        <v>0</v>
      </c>
      <c r="R208">
        <v>2</v>
      </c>
      <c r="S208">
        <v>2</v>
      </c>
      <c r="T208">
        <v>1.8182</v>
      </c>
      <c r="U208">
        <v>0.125</v>
      </c>
      <c r="V208">
        <v>1</v>
      </c>
      <c r="W208">
        <f>E208/100</f>
        <v>0.16</v>
      </c>
      <c r="X208">
        <f>F208/1000000</f>
        <v>1.1000000000000001</v>
      </c>
      <c r="Y208">
        <f>IF(D208="C",1,0)</f>
        <v>1</v>
      </c>
      <c r="Z208">
        <f>IF(G208="C",1,0)</f>
        <v>0</v>
      </c>
      <c r="AA208">
        <f>IF(G208="S",1,0)</f>
        <v>0</v>
      </c>
      <c r="AB208">
        <f>IF(G208="U",1,0)</f>
        <v>0</v>
      </c>
      <c r="AC208" s="5">
        <f>IF(AND(ISNUMBER(H208),NOT(ISNUMBER(P208))),1,0)</f>
        <v>0</v>
      </c>
      <c r="AD208" s="5">
        <f>IF(AND(ISNUMBER(H208),ISNUMBER(P208)),1,0)</f>
        <v>0</v>
      </c>
      <c r="AE208" s="5">
        <f>W208</f>
        <v>0.16</v>
      </c>
      <c r="AF208" s="5">
        <f>X208</f>
        <v>1.1000000000000001</v>
      </c>
      <c r="AG208" s="5">
        <f>Y208</f>
        <v>1</v>
      </c>
      <c r="AH208" s="5">
        <f>IF(OR(G208="C",G208="S",G208="U"),1,0)</f>
        <v>0</v>
      </c>
      <c r="AI208" s="5">
        <f>IF(ISNUMBER(H208),1,0)</f>
        <v>0</v>
      </c>
      <c r="AJ208" s="5">
        <f>IF(ISNUMBER(P208),1,0)</f>
        <v>1</v>
      </c>
      <c r="AK208" s="5" t="str">
        <f>IF(AI208=1,IF(J208&gt;0,1,0),"")</f>
        <v/>
      </c>
      <c r="AL208" s="5">
        <f>IF(AJ208=1,IF(OR(Q208&gt;0,R208&gt;0),1,0),"")</f>
        <v>1</v>
      </c>
    </row>
    <row r="209" spans="1:38">
      <c r="A209">
        <v>192078</v>
      </c>
      <c r="B209" t="s">
        <v>276</v>
      </c>
      <c r="C209" t="s">
        <v>77</v>
      </c>
      <c r="D209" t="s">
        <v>24</v>
      </c>
      <c r="E209">
        <v>20</v>
      </c>
      <c r="F209">
        <v>3650000</v>
      </c>
      <c r="G209" t="s">
        <v>25</v>
      </c>
      <c r="H209" t="s">
        <v>26</v>
      </c>
      <c r="I209" t="s">
        <v>26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26</v>
      </c>
      <c r="P209">
        <v>1</v>
      </c>
      <c r="Q209">
        <v>0</v>
      </c>
      <c r="R209">
        <v>1</v>
      </c>
      <c r="S209">
        <v>1</v>
      </c>
      <c r="T209">
        <v>0.27400000000000002</v>
      </c>
      <c r="U209">
        <v>0.05</v>
      </c>
      <c r="V209">
        <v>1</v>
      </c>
      <c r="W209">
        <f>E209/100</f>
        <v>0.2</v>
      </c>
      <c r="X209">
        <f>F209/1000000</f>
        <v>3.65</v>
      </c>
      <c r="Y209">
        <f>IF(D209="C",1,0)</f>
        <v>0</v>
      </c>
      <c r="Z209">
        <f>IF(G209="C",1,0)</f>
        <v>0</v>
      </c>
      <c r="AA209">
        <f>IF(G209="S",1,0)</f>
        <v>1</v>
      </c>
      <c r="AB209">
        <f>IF(G209="U",1,0)</f>
        <v>0</v>
      </c>
      <c r="AC209" s="5">
        <f>IF(AND(ISNUMBER(H209),NOT(ISNUMBER(P209))),1,0)</f>
        <v>0</v>
      </c>
      <c r="AD209" s="5">
        <f>IF(AND(ISNUMBER(H209),ISNUMBER(P209)),1,0)</f>
        <v>0</v>
      </c>
      <c r="AE209" s="5">
        <f>W209</f>
        <v>0.2</v>
      </c>
      <c r="AF209" s="5">
        <f>X209</f>
        <v>3.65</v>
      </c>
      <c r="AG209" s="5">
        <f>Y209</f>
        <v>0</v>
      </c>
      <c r="AH209" s="5">
        <f>IF(OR(G209="C",G209="S",G209="U"),1,0)</f>
        <v>1</v>
      </c>
      <c r="AI209" s="5">
        <f>IF(ISNUMBER(H209),1,0)</f>
        <v>0</v>
      </c>
      <c r="AJ209" s="5">
        <f>IF(ISNUMBER(P209),1,0)</f>
        <v>1</v>
      </c>
      <c r="AK209" s="5" t="str">
        <f>IF(AI209=1,IF(J209&gt;0,1,0),"")</f>
        <v/>
      </c>
      <c r="AL209" s="5">
        <f>IF(AJ209=1,IF(OR(Q209&gt;0,R209&gt;0),1,0),"")</f>
        <v>1</v>
      </c>
    </row>
    <row r="210" spans="1:38">
      <c r="A210">
        <v>193927</v>
      </c>
      <c r="B210" t="s">
        <v>277</v>
      </c>
      <c r="C210" t="s">
        <v>42</v>
      </c>
      <c r="D210" t="s">
        <v>24</v>
      </c>
      <c r="E210">
        <v>3</v>
      </c>
      <c r="F210">
        <v>50000</v>
      </c>
      <c r="G210" t="s">
        <v>25</v>
      </c>
      <c r="H210" t="s">
        <v>26</v>
      </c>
      <c r="I210" t="s">
        <v>26</v>
      </c>
      <c r="J210" t="s">
        <v>26</v>
      </c>
      <c r="K210" t="s">
        <v>26</v>
      </c>
      <c r="L210" t="s">
        <v>26</v>
      </c>
      <c r="M210" t="s">
        <v>26</v>
      </c>
      <c r="N210" t="s">
        <v>26</v>
      </c>
      <c r="O210" t="s">
        <v>26</v>
      </c>
      <c r="P210">
        <v>1</v>
      </c>
      <c r="Q210">
        <v>0</v>
      </c>
      <c r="R210">
        <v>0</v>
      </c>
      <c r="S210">
        <v>1</v>
      </c>
      <c r="T210">
        <v>20</v>
      </c>
      <c r="U210">
        <v>0.33329999999999999</v>
      </c>
      <c r="V210">
        <v>0</v>
      </c>
      <c r="W210">
        <f>E210/100</f>
        <v>0.03</v>
      </c>
      <c r="X210">
        <f>F210/1000000</f>
        <v>0.05</v>
      </c>
      <c r="Y210">
        <f>IF(D210="C",1,0)</f>
        <v>0</v>
      </c>
      <c r="Z210">
        <f>IF(G210="C",1,0)</f>
        <v>0</v>
      </c>
      <c r="AA210">
        <f>IF(G210="S",1,0)</f>
        <v>1</v>
      </c>
      <c r="AB210">
        <f>IF(G210="U",1,0)</f>
        <v>0</v>
      </c>
      <c r="AC210" s="5">
        <f>IF(AND(ISNUMBER(H210),NOT(ISNUMBER(P210))),1,0)</f>
        <v>0</v>
      </c>
      <c r="AD210" s="5">
        <f>IF(AND(ISNUMBER(H210),ISNUMBER(P210)),1,0)</f>
        <v>0</v>
      </c>
      <c r="AE210" s="5">
        <f>W210</f>
        <v>0.03</v>
      </c>
      <c r="AF210" s="5">
        <f>X210</f>
        <v>0.05</v>
      </c>
      <c r="AG210" s="5">
        <f>Y210</f>
        <v>0</v>
      </c>
      <c r="AH210" s="5">
        <f>IF(OR(G210="C",G210="S",G210="U"),1,0)</f>
        <v>1</v>
      </c>
      <c r="AI210" s="5">
        <f>IF(ISNUMBER(H210),1,0)</f>
        <v>0</v>
      </c>
      <c r="AJ210" s="5">
        <f>IF(ISNUMBER(P210),1,0)</f>
        <v>1</v>
      </c>
      <c r="AK210" s="5" t="str">
        <f>IF(AI210=1,IF(J210&gt;0,1,0),"")</f>
        <v/>
      </c>
      <c r="AL210" s="5">
        <f>IF(AJ210=1,IF(OR(Q210&gt;0,R210&gt;0),1,0),"")</f>
        <v>0</v>
      </c>
    </row>
    <row r="211" spans="1:38">
      <c r="A211">
        <v>195908</v>
      </c>
      <c r="B211" t="s">
        <v>278</v>
      </c>
      <c r="C211" t="s">
        <v>47</v>
      </c>
      <c r="D211" t="s">
        <v>24</v>
      </c>
      <c r="E211">
        <v>1</v>
      </c>
      <c r="F211">
        <v>59000</v>
      </c>
      <c r="H211" t="s">
        <v>26</v>
      </c>
      <c r="I211" t="s">
        <v>26</v>
      </c>
      <c r="J211" t="s">
        <v>26</v>
      </c>
      <c r="K211" t="s">
        <v>26</v>
      </c>
      <c r="L211" t="s">
        <v>26</v>
      </c>
      <c r="M211" t="s">
        <v>26</v>
      </c>
      <c r="N211" t="s">
        <v>26</v>
      </c>
      <c r="O211" t="s">
        <v>26</v>
      </c>
      <c r="P211">
        <v>1</v>
      </c>
      <c r="Q211">
        <v>0</v>
      </c>
      <c r="R211">
        <v>1</v>
      </c>
      <c r="S211">
        <v>1</v>
      </c>
      <c r="T211">
        <v>16.949200000000001</v>
      </c>
      <c r="U211">
        <v>1</v>
      </c>
      <c r="V211">
        <v>1</v>
      </c>
      <c r="W211">
        <f>E211/100</f>
        <v>0.01</v>
      </c>
      <c r="X211">
        <f>F211/1000000</f>
        <v>5.8999999999999997E-2</v>
      </c>
      <c r="Y211">
        <f>IF(D211="C",1,0)</f>
        <v>0</v>
      </c>
      <c r="Z211">
        <f>IF(G211="C",1,0)</f>
        <v>0</v>
      </c>
      <c r="AA211">
        <f>IF(G211="S",1,0)</f>
        <v>0</v>
      </c>
      <c r="AB211">
        <f>IF(G211="U",1,0)</f>
        <v>0</v>
      </c>
      <c r="AC211" s="5">
        <f>IF(AND(ISNUMBER(H211),NOT(ISNUMBER(P211))),1,0)</f>
        <v>0</v>
      </c>
      <c r="AD211" s="5">
        <f>IF(AND(ISNUMBER(H211),ISNUMBER(P211)),1,0)</f>
        <v>0</v>
      </c>
      <c r="AE211" s="5">
        <f>W211</f>
        <v>0.01</v>
      </c>
      <c r="AF211" s="5">
        <f>X211</f>
        <v>5.8999999999999997E-2</v>
      </c>
      <c r="AG211" s="5">
        <f>Y211</f>
        <v>0</v>
      </c>
      <c r="AH211" s="5">
        <f>IF(OR(G211="C",G211="S",G211="U"),1,0)</f>
        <v>0</v>
      </c>
      <c r="AI211" s="5">
        <f>IF(ISNUMBER(H211),1,0)</f>
        <v>0</v>
      </c>
      <c r="AJ211" s="5">
        <f>IF(ISNUMBER(P211),1,0)</f>
        <v>1</v>
      </c>
      <c r="AK211" s="5" t="str">
        <f>IF(AI211=1,IF(J211&gt;0,1,0),"")</f>
        <v/>
      </c>
      <c r="AL211" s="5">
        <f>IF(AJ211=1,IF(OR(Q211&gt;0,R211&gt;0),1,0),"")</f>
        <v>1</v>
      </c>
    </row>
    <row r="212" spans="1:38">
      <c r="A212">
        <v>199362</v>
      </c>
      <c r="B212" t="s">
        <v>279</v>
      </c>
      <c r="C212" t="s">
        <v>82</v>
      </c>
      <c r="D212" t="s">
        <v>24</v>
      </c>
      <c r="E212">
        <v>10</v>
      </c>
      <c r="F212">
        <v>500000</v>
      </c>
      <c r="G212" t="s">
        <v>33</v>
      </c>
      <c r="H212" t="s">
        <v>26</v>
      </c>
      <c r="I212" t="s">
        <v>26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>
        <v>1</v>
      </c>
      <c r="Q212">
        <v>0</v>
      </c>
      <c r="R212">
        <v>1</v>
      </c>
      <c r="S212">
        <v>1</v>
      </c>
      <c r="T212">
        <v>2</v>
      </c>
      <c r="U212">
        <v>0.1</v>
      </c>
      <c r="V212">
        <v>1</v>
      </c>
      <c r="W212">
        <f>E212/100</f>
        <v>0.1</v>
      </c>
      <c r="X212">
        <f>F212/1000000</f>
        <v>0.5</v>
      </c>
      <c r="Y212">
        <f>IF(D212="C",1,0)</f>
        <v>0</v>
      </c>
      <c r="Z212">
        <f>IF(G212="C",1,0)</f>
        <v>1</v>
      </c>
      <c r="AA212">
        <f>IF(G212="S",1,0)</f>
        <v>0</v>
      </c>
      <c r="AB212">
        <f>IF(G212="U",1,0)</f>
        <v>0</v>
      </c>
      <c r="AC212" s="5">
        <f>IF(AND(ISNUMBER(H212),NOT(ISNUMBER(P212))),1,0)</f>
        <v>0</v>
      </c>
      <c r="AD212" s="5">
        <f>IF(AND(ISNUMBER(H212),ISNUMBER(P212)),1,0)</f>
        <v>0</v>
      </c>
      <c r="AE212" s="5">
        <f>W212</f>
        <v>0.1</v>
      </c>
      <c r="AF212" s="5">
        <f>X212</f>
        <v>0.5</v>
      </c>
      <c r="AG212" s="5">
        <f>Y212</f>
        <v>0</v>
      </c>
      <c r="AH212" s="5">
        <f>IF(OR(G212="C",G212="S",G212="U"),1,0)</f>
        <v>1</v>
      </c>
      <c r="AI212" s="5">
        <f>IF(ISNUMBER(H212),1,0)</f>
        <v>0</v>
      </c>
      <c r="AJ212" s="5">
        <f>IF(ISNUMBER(P212),1,0)</f>
        <v>1</v>
      </c>
      <c r="AK212" s="5" t="str">
        <f>IF(AI212=1,IF(J212&gt;0,1,0),"")</f>
        <v/>
      </c>
      <c r="AL212" s="5">
        <f>IF(AJ212=1,IF(OR(Q212&gt;0,R212&gt;0),1,0),"")</f>
        <v>1</v>
      </c>
    </row>
    <row r="213" spans="1:38">
      <c r="A213">
        <v>201894</v>
      </c>
      <c r="B213" t="s">
        <v>280</v>
      </c>
      <c r="C213" t="s">
        <v>162</v>
      </c>
      <c r="D213" t="s">
        <v>24</v>
      </c>
      <c r="E213">
        <v>21</v>
      </c>
      <c r="F213">
        <v>1711290</v>
      </c>
      <c r="G213" t="s">
        <v>25</v>
      </c>
      <c r="H213" t="s">
        <v>26</v>
      </c>
      <c r="I213" t="s">
        <v>26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>
        <v>1</v>
      </c>
      <c r="Q213">
        <v>0</v>
      </c>
      <c r="R213">
        <v>0</v>
      </c>
      <c r="S213">
        <v>1</v>
      </c>
      <c r="T213">
        <v>0.58440000000000003</v>
      </c>
      <c r="U213">
        <v>4.7600000000000003E-2</v>
      </c>
      <c r="V213">
        <v>0</v>
      </c>
      <c r="W213">
        <f>E213/100</f>
        <v>0.21</v>
      </c>
      <c r="X213">
        <f>F213/1000000</f>
        <v>1.71129</v>
      </c>
      <c r="Y213">
        <f>IF(D213="C",1,0)</f>
        <v>0</v>
      </c>
      <c r="Z213">
        <f>IF(G213="C",1,0)</f>
        <v>0</v>
      </c>
      <c r="AA213">
        <f>IF(G213="S",1,0)</f>
        <v>1</v>
      </c>
      <c r="AB213">
        <f>IF(G213="U",1,0)</f>
        <v>0</v>
      </c>
      <c r="AC213" s="5">
        <f>IF(AND(ISNUMBER(H213),NOT(ISNUMBER(P213))),1,0)</f>
        <v>0</v>
      </c>
      <c r="AD213" s="5">
        <f>IF(AND(ISNUMBER(H213),ISNUMBER(P213)),1,0)</f>
        <v>0</v>
      </c>
      <c r="AE213" s="5">
        <f>W213</f>
        <v>0.21</v>
      </c>
      <c r="AF213" s="5">
        <f>X213</f>
        <v>1.71129</v>
      </c>
      <c r="AG213" s="5">
        <f>Y213</f>
        <v>0</v>
      </c>
      <c r="AH213" s="5">
        <f>IF(OR(G213="C",G213="S",G213="U"),1,0)</f>
        <v>1</v>
      </c>
      <c r="AI213" s="5">
        <f>IF(ISNUMBER(H213),1,0)</f>
        <v>0</v>
      </c>
      <c r="AJ213" s="5">
        <f>IF(ISNUMBER(P213),1,0)</f>
        <v>1</v>
      </c>
      <c r="AK213" s="5" t="str">
        <f>IF(AI213=1,IF(J213&gt;0,1,0),"")</f>
        <v/>
      </c>
      <c r="AL213" s="5">
        <f>IF(AJ213=1,IF(OR(Q213&gt;0,R213&gt;0),1,0),"")</f>
        <v>0</v>
      </c>
    </row>
    <row r="214" spans="1:38">
      <c r="A214">
        <v>202393</v>
      </c>
      <c r="B214" t="s">
        <v>281</v>
      </c>
      <c r="C214" t="s">
        <v>23</v>
      </c>
      <c r="D214" t="s">
        <v>24</v>
      </c>
      <c r="E214">
        <v>70</v>
      </c>
      <c r="F214">
        <v>7672719</v>
      </c>
      <c r="G214" t="s">
        <v>25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>
        <v>1</v>
      </c>
      <c r="Q214">
        <v>0</v>
      </c>
      <c r="R214">
        <v>1</v>
      </c>
      <c r="S214">
        <v>1</v>
      </c>
      <c r="T214">
        <v>0.1303</v>
      </c>
      <c r="U214">
        <v>1.43E-2</v>
      </c>
      <c r="V214">
        <v>1</v>
      </c>
      <c r="W214">
        <f>E214/100</f>
        <v>0.7</v>
      </c>
      <c r="X214">
        <f>F214/1000000</f>
        <v>7.6727189999999998</v>
      </c>
      <c r="Y214">
        <f>IF(D214="C",1,0)</f>
        <v>0</v>
      </c>
      <c r="Z214">
        <f>IF(G214="C",1,0)</f>
        <v>0</v>
      </c>
      <c r="AA214">
        <f>IF(G214="S",1,0)</f>
        <v>1</v>
      </c>
      <c r="AB214">
        <f>IF(G214="U",1,0)</f>
        <v>0</v>
      </c>
      <c r="AC214" s="5">
        <f>IF(AND(ISNUMBER(H214),NOT(ISNUMBER(P214))),1,0)</f>
        <v>0</v>
      </c>
      <c r="AD214" s="5">
        <f>IF(AND(ISNUMBER(H214),ISNUMBER(P214)),1,0)</f>
        <v>0</v>
      </c>
      <c r="AE214" s="5">
        <f>W214</f>
        <v>0.7</v>
      </c>
      <c r="AF214" s="5">
        <f>X214</f>
        <v>7.6727189999999998</v>
      </c>
      <c r="AG214" s="5">
        <f>Y214</f>
        <v>0</v>
      </c>
      <c r="AH214" s="5">
        <f>IF(OR(G214="C",G214="S",G214="U"),1,0)</f>
        <v>1</v>
      </c>
      <c r="AI214" s="5">
        <f>IF(ISNUMBER(H214),1,0)</f>
        <v>0</v>
      </c>
      <c r="AJ214" s="5">
        <f>IF(ISNUMBER(P214),1,0)</f>
        <v>1</v>
      </c>
      <c r="AK214" s="5" t="str">
        <f>IF(AI214=1,IF(J214&gt;0,1,0),"")</f>
        <v/>
      </c>
      <c r="AL214" s="5">
        <f>IF(AJ214=1,IF(OR(Q214&gt;0,R214&gt;0),1,0),"")</f>
        <v>1</v>
      </c>
    </row>
    <row r="215" spans="1:38">
      <c r="A215">
        <v>203286</v>
      </c>
      <c r="B215" t="s">
        <v>282</v>
      </c>
      <c r="C215" t="s">
        <v>37</v>
      </c>
      <c r="D215" t="s">
        <v>24</v>
      </c>
      <c r="E215">
        <v>14</v>
      </c>
      <c r="F215">
        <v>850665</v>
      </c>
      <c r="G215" t="s">
        <v>25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>
        <v>1</v>
      </c>
      <c r="Q215">
        <v>0</v>
      </c>
      <c r="R215">
        <v>1</v>
      </c>
      <c r="S215">
        <v>1</v>
      </c>
      <c r="T215">
        <v>1.1756</v>
      </c>
      <c r="U215">
        <v>7.1400000000000005E-2</v>
      </c>
      <c r="V215">
        <v>1</v>
      </c>
      <c r="W215">
        <f>E215/100</f>
        <v>0.14000000000000001</v>
      </c>
      <c r="X215">
        <f>F215/1000000</f>
        <v>0.850665</v>
      </c>
      <c r="Y215">
        <f>IF(D215="C",1,0)</f>
        <v>0</v>
      </c>
      <c r="Z215">
        <f>IF(G215="C",1,0)</f>
        <v>0</v>
      </c>
      <c r="AA215">
        <f>IF(G215="S",1,0)</f>
        <v>1</v>
      </c>
      <c r="AB215">
        <f>IF(G215="U",1,0)</f>
        <v>0</v>
      </c>
      <c r="AC215" s="5">
        <f>IF(AND(ISNUMBER(H215),NOT(ISNUMBER(P215))),1,0)</f>
        <v>0</v>
      </c>
      <c r="AD215" s="5">
        <f>IF(AND(ISNUMBER(H215),ISNUMBER(P215)),1,0)</f>
        <v>0</v>
      </c>
      <c r="AE215" s="5">
        <f>W215</f>
        <v>0.14000000000000001</v>
      </c>
      <c r="AF215" s="5">
        <f>X215</f>
        <v>0.850665</v>
      </c>
      <c r="AG215" s="5">
        <f>Y215</f>
        <v>0</v>
      </c>
      <c r="AH215" s="5">
        <f>IF(OR(G215="C",G215="S",G215="U"),1,0)</f>
        <v>1</v>
      </c>
      <c r="AI215" s="5">
        <f>IF(ISNUMBER(H215),1,0)</f>
        <v>0</v>
      </c>
      <c r="AJ215" s="5">
        <f>IF(ISNUMBER(P215),1,0)</f>
        <v>1</v>
      </c>
      <c r="AK215" s="5" t="str">
        <f>IF(AI215=1,IF(J215&gt;0,1,0),"")</f>
        <v/>
      </c>
      <c r="AL215" s="5">
        <f>IF(AJ215=1,IF(OR(Q215&gt;0,R215&gt;0),1,0),"")</f>
        <v>1</v>
      </c>
    </row>
    <row r="216" spans="1:38">
      <c r="A216">
        <v>203431</v>
      </c>
      <c r="B216" t="s">
        <v>283</v>
      </c>
      <c r="C216" t="s">
        <v>23</v>
      </c>
      <c r="D216" t="s">
        <v>24</v>
      </c>
      <c r="E216">
        <v>39</v>
      </c>
      <c r="F216">
        <v>2108737</v>
      </c>
      <c r="G216" t="s">
        <v>25</v>
      </c>
      <c r="H216" t="s">
        <v>26</v>
      </c>
      <c r="I216" t="s">
        <v>26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26</v>
      </c>
      <c r="P216">
        <v>1</v>
      </c>
      <c r="Q216">
        <v>0</v>
      </c>
      <c r="R216">
        <v>1</v>
      </c>
      <c r="S216">
        <v>1</v>
      </c>
      <c r="T216">
        <v>0.47420000000000001</v>
      </c>
      <c r="U216">
        <v>2.5600000000000001E-2</v>
      </c>
      <c r="V216">
        <v>1</v>
      </c>
      <c r="W216">
        <f>E216/100</f>
        <v>0.39</v>
      </c>
      <c r="X216">
        <f>F216/1000000</f>
        <v>2.1087370000000001</v>
      </c>
      <c r="Y216">
        <f>IF(D216="C",1,0)</f>
        <v>0</v>
      </c>
      <c r="Z216">
        <f>IF(G216="C",1,0)</f>
        <v>0</v>
      </c>
      <c r="AA216">
        <f>IF(G216="S",1,0)</f>
        <v>1</v>
      </c>
      <c r="AB216">
        <f>IF(G216="U",1,0)</f>
        <v>0</v>
      </c>
      <c r="AC216" s="5">
        <f>IF(AND(ISNUMBER(H216),NOT(ISNUMBER(P216))),1,0)</f>
        <v>0</v>
      </c>
      <c r="AD216" s="5">
        <f>IF(AND(ISNUMBER(H216),ISNUMBER(P216)),1,0)</f>
        <v>0</v>
      </c>
      <c r="AE216" s="5">
        <f>W216</f>
        <v>0.39</v>
      </c>
      <c r="AF216" s="5">
        <f>X216</f>
        <v>2.1087370000000001</v>
      </c>
      <c r="AG216" s="5">
        <f>Y216</f>
        <v>0</v>
      </c>
      <c r="AH216" s="5">
        <f>IF(OR(G216="C",G216="S",G216="U"),1,0)</f>
        <v>1</v>
      </c>
      <c r="AI216" s="5">
        <f>IF(ISNUMBER(H216),1,0)</f>
        <v>0</v>
      </c>
      <c r="AJ216" s="5">
        <f>IF(ISNUMBER(P216),1,0)</f>
        <v>1</v>
      </c>
      <c r="AK216" s="5" t="str">
        <f>IF(AI216=1,IF(J216&gt;0,1,0),"")</f>
        <v/>
      </c>
      <c r="AL216" s="5">
        <f>IF(AJ216=1,IF(OR(Q216&gt;0,R216&gt;0),1,0),"")</f>
        <v>1</v>
      </c>
    </row>
    <row r="217" spans="1:38">
      <c r="A217">
        <v>204286</v>
      </c>
      <c r="B217" t="s">
        <v>284</v>
      </c>
      <c r="C217" t="s">
        <v>181</v>
      </c>
      <c r="D217" t="s">
        <v>24</v>
      </c>
      <c r="E217">
        <v>62</v>
      </c>
      <c r="F217">
        <v>6462686</v>
      </c>
      <c r="G217" t="s">
        <v>25</v>
      </c>
      <c r="H217" t="s">
        <v>26</v>
      </c>
      <c r="I217" t="s">
        <v>26</v>
      </c>
      <c r="J217" t="s">
        <v>26</v>
      </c>
      <c r="K217" t="s">
        <v>26</v>
      </c>
      <c r="L217" t="s">
        <v>26</v>
      </c>
      <c r="M217" t="s">
        <v>26</v>
      </c>
      <c r="N217" t="s">
        <v>26</v>
      </c>
      <c r="O217" t="s">
        <v>26</v>
      </c>
      <c r="P217">
        <v>2</v>
      </c>
      <c r="Q217">
        <v>0</v>
      </c>
      <c r="R217">
        <v>0</v>
      </c>
      <c r="S217">
        <v>2</v>
      </c>
      <c r="T217">
        <v>0.3095</v>
      </c>
      <c r="U217">
        <v>3.2300000000000002E-2</v>
      </c>
      <c r="V217">
        <v>0</v>
      </c>
      <c r="W217">
        <f>E217/100</f>
        <v>0.62</v>
      </c>
      <c r="X217">
        <f>F217/1000000</f>
        <v>6.4626859999999997</v>
      </c>
      <c r="Y217">
        <f>IF(D217="C",1,0)</f>
        <v>0</v>
      </c>
      <c r="Z217">
        <f>IF(G217="C",1,0)</f>
        <v>0</v>
      </c>
      <c r="AA217">
        <f>IF(G217="S",1,0)</f>
        <v>1</v>
      </c>
      <c r="AB217">
        <f>IF(G217="U",1,0)</f>
        <v>0</v>
      </c>
      <c r="AC217" s="5">
        <f>IF(AND(ISNUMBER(H217),NOT(ISNUMBER(P217))),1,0)</f>
        <v>0</v>
      </c>
      <c r="AD217" s="5">
        <f>IF(AND(ISNUMBER(H217),ISNUMBER(P217)),1,0)</f>
        <v>0</v>
      </c>
      <c r="AE217" s="5">
        <f>W217</f>
        <v>0.62</v>
      </c>
      <c r="AF217" s="5">
        <f>X217</f>
        <v>6.4626859999999997</v>
      </c>
      <c r="AG217" s="5">
        <f>Y217</f>
        <v>0</v>
      </c>
      <c r="AH217" s="5">
        <f>IF(OR(G217="C",G217="S",G217="U"),1,0)</f>
        <v>1</v>
      </c>
      <c r="AI217" s="5">
        <f>IF(ISNUMBER(H217),1,0)</f>
        <v>0</v>
      </c>
      <c r="AJ217" s="5">
        <f>IF(ISNUMBER(P217),1,0)</f>
        <v>1</v>
      </c>
      <c r="AK217" s="5" t="str">
        <f>IF(AI217=1,IF(J217&gt;0,1,0),"")</f>
        <v/>
      </c>
      <c r="AL217" s="5">
        <f>IF(AJ217=1,IF(OR(Q217&gt;0,R217&gt;0),1,0),"")</f>
        <v>0</v>
      </c>
    </row>
    <row r="218" spans="1:38">
      <c r="A218">
        <v>204990</v>
      </c>
      <c r="B218" t="s">
        <v>285</v>
      </c>
      <c r="C218" t="s">
        <v>37</v>
      </c>
      <c r="D218" t="s">
        <v>24</v>
      </c>
      <c r="E218">
        <v>23</v>
      </c>
      <c r="F218">
        <v>208000</v>
      </c>
      <c r="G218" t="s">
        <v>25</v>
      </c>
      <c r="H218" t="s">
        <v>26</v>
      </c>
      <c r="I218" t="s">
        <v>26</v>
      </c>
      <c r="J218" t="s">
        <v>26</v>
      </c>
      <c r="K218" t="s">
        <v>26</v>
      </c>
      <c r="L218" t="s">
        <v>26</v>
      </c>
      <c r="M218" t="s">
        <v>26</v>
      </c>
      <c r="N218" t="s">
        <v>26</v>
      </c>
      <c r="O218" t="s">
        <v>26</v>
      </c>
      <c r="P218">
        <v>1</v>
      </c>
      <c r="Q218">
        <v>0</v>
      </c>
      <c r="R218">
        <v>0</v>
      </c>
      <c r="S218">
        <v>1</v>
      </c>
      <c r="T218">
        <v>4.8076999999999996</v>
      </c>
      <c r="U218">
        <v>4.3499999999999997E-2</v>
      </c>
      <c r="V218">
        <v>0</v>
      </c>
      <c r="W218">
        <f>E218/100</f>
        <v>0.23</v>
      </c>
      <c r="X218">
        <f>F218/1000000</f>
        <v>0.20799999999999999</v>
      </c>
      <c r="Y218">
        <f>IF(D218="C",1,0)</f>
        <v>0</v>
      </c>
      <c r="Z218">
        <f>IF(G218="C",1,0)</f>
        <v>0</v>
      </c>
      <c r="AA218">
        <f>IF(G218="S",1,0)</f>
        <v>1</v>
      </c>
      <c r="AB218">
        <f>IF(G218="U",1,0)</f>
        <v>0</v>
      </c>
      <c r="AC218" s="5">
        <f>IF(AND(ISNUMBER(H218),NOT(ISNUMBER(P218))),1,0)</f>
        <v>0</v>
      </c>
      <c r="AD218" s="5">
        <f>IF(AND(ISNUMBER(H218),ISNUMBER(P218)),1,0)</f>
        <v>0</v>
      </c>
      <c r="AE218" s="5">
        <f>W218</f>
        <v>0.23</v>
      </c>
      <c r="AF218" s="5">
        <f>X218</f>
        <v>0.20799999999999999</v>
      </c>
      <c r="AG218" s="5">
        <f>Y218</f>
        <v>0</v>
      </c>
      <c r="AH218" s="5">
        <f>IF(OR(G218="C",G218="S",G218="U"),1,0)</f>
        <v>1</v>
      </c>
      <c r="AI218" s="5">
        <f>IF(ISNUMBER(H218),1,0)</f>
        <v>0</v>
      </c>
      <c r="AJ218" s="5">
        <f>IF(ISNUMBER(P218),1,0)</f>
        <v>1</v>
      </c>
      <c r="AK218" s="5" t="str">
        <f>IF(AI218=1,IF(J218&gt;0,1,0),"")</f>
        <v/>
      </c>
      <c r="AL218" s="5">
        <f>IF(AJ218=1,IF(OR(Q218&gt;0,R218&gt;0),1,0),"")</f>
        <v>0</v>
      </c>
    </row>
    <row r="219" spans="1:38">
      <c r="A219">
        <v>205790</v>
      </c>
      <c r="B219" t="s">
        <v>286</v>
      </c>
      <c r="C219" t="s">
        <v>157</v>
      </c>
      <c r="D219" t="s">
        <v>24</v>
      </c>
      <c r="E219">
        <v>26</v>
      </c>
      <c r="F219">
        <v>1591591</v>
      </c>
      <c r="G219" t="s">
        <v>25</v>
      </c>
      <c r="H219" t="s">
        <v>26</v>
      </c>
      <c r="I219" t="s">
        <v>26</v>
      </c>
      <c r="J219" t="s">
        <v>26</v>
      </c>
      <c r="K219" t="s">
        <v>26</v>
      </c>
      <c r="L219" t="s">
        <v>26</v>
      </c>
      <c r="M219" t="s">
        <v>26</v>
      </c>
      <c r="N219" t="s">
        <v>26</v>
      </c>
      <c r="O219" t="s">
        <v>26</v>
      </c>
      <c r="P219">
        <v>1</v>
      </c>
      <c r="Q219">
        <v>0</v>
      </c>
      <c r="R219">
        <v>1</v>
      </c>
      <c r="S219">
        <v>1</v>
      </c>
      <c r="T219">
        <v>0.62829999999999997</v>
      </c>
      <c r="U219">
        <v>3.85E-2</v>
      </c>
      <c r="V219">
        <v>1</v>
      </c>
      <c r="W219">
        <f>E219/100</f>
        <v>0.26</v>
      </c>
      <c r="X219">
        <f>F219/1000000</f>
        <v>1.591591</v>
      </c>
      <c r="Y219">
        <f>IF(D219="C",1,0)</f>
        <v>0</v>
      </c>
      <c r="Z219">
        <f>IF(G219="C",1,0)</f>
        <v>0</v>
      </c>
      <c r="AA219">
        <f>IF(G219="S",1,0)</f>
        <v>1</v>
      </c>
      <c r="AB219">
        <f>IF(G219="U",1,0)</f>
        <v>0</v>
      </c>
      <c r="AC219" s="5">
        <f>IF(AND(ISNUMBER(H219),NOT(ISNUMBER(P219))),1,0)</f>
        <v>0</v>
      </c>
      <c r="AD219" s="5">
        <f>IF(AND(ISNUMBER(H219),ISNUMBER(P219)),1,0)</f>
        <v>0</v>
      </c>
      <c r="AE219" s="5">
        <f>W219</f>
        <v>0.26</v>
      </c>
      <c r="AF219" s="5">
        <f>X219</f>
        <v>1.591591</v>
      </c>
      <c r="AG219" s="5">
        <f>Y219</f>
        <v>0</v>
      </c>
      <c r="AH219" s="5">
        <f>IF(OR(G219="C",G219="S",G219="U"),1,0)</f>
        <v>1</v>
      </c>
      <c r="AI219" s="5">
        <f>IF(ISNUMBER(H219),1,0)</f>
        <v>0</v>
      </c>
      <c r="AJ219" s="5">
        <f>IF(ISNUMBER(P219),1,0)</f>
        <v>1</v>
      </c>
      <c r="AK219" s="5" t="str">
        <f>IF(AI219=1,IF(J219&gt;0,1,0),"")</f>
        <v/>
      </c>
      <c r="AL219" s="5">
        <f>IF(AJ219=1,IF(OR(Q219&gt;0,R219&gt;0),1,0),"")</f>
        <v>1</v>
      </c>
    </row>
    <row r="220" spans="1:38">
      <c r="A220">
        <v>207025</v>
      </c>
      <c r="B220" t="s">
        <v>287</v>
      </c>
      <c r="C220" t="s">
        <v>30</v>
      </c>
      <c r="D220" t="s">
        <v>24</v>
      </c>
      <c r="E220">
        <v>20</v>
      </c>
      <c r="F220">
        <v>1897874</v>
      </c>
      <c r="G220" t="s">
        <v>25</v>
      </c>
      <c r="H220" t="s">
        <v>26</v>
      </c>
      <c r="I220" t="s">
        <v>26</v>
      </c>
      <c r="J220" t="s">
        <v>26</v>
      </c>
      <c r="K220" t="s">
        <v>26</v>
      </c>
      <c r="L220" t="s">
        <v>26</v>
      </c>
      <c r="M220" t="s">
        <v>26</v>
      </c>
      <c r="N220" t="s">
        <v>26</v>
      </c>
      <c r="O220" t="s">
        <v>26</v>
      </c>
      <c r="P220">
        <v>1</v>
      </c>
      <c r="Q220">
        <v>0</v>
      </c>
      <c r="R220">
        <v>1</v>
      </c>
      <c r="S220">
        <v>1</v>
      </c>
      <c r="T220">
        <v>0.52690000000000003</v>
      </c>
      <c r="U220">
        <v>0.05</v>
      </c>
      <c r="V220">
        <v>1</v>
      </c>
      <c r="W220">
        <f>E220/100</f>
        <v>0.2</v>
      </c>
      <c r="X220">
        <f>F220/1000000</f>
        <v>1.8978740000000001</v>
      </c>
      <c r="Y220">
        <f>IF(D220="C",1,0)</f>
        <v>0</v>
      </c>
      <c r="Z220">
        <f>IF(G220="C",1,0)</f>
        <v>0</v>
      </c>
      <c r="AA220">
        <f>IF(G220="S",1,0)</f>
        <v>1</v>
      </c>
      <c r="AB220">
        <f>IF(G220="U",1,0)</f>
        <v>0</v>
      </c>
      <c r="AC220" s="5">
        <f>IF(AND(ISNUMBER(H220),NOT(ISNUMBER(P220))),1,0)</f>
        <v>0</v>
      </c>
      <c r="AD220" s="5">
        <f>IF(AND(ISNUMBER(H220),ISNUMBER(P220)),1,0)</f>
        <v>0</v>
      </c>
      <c r="AE220" s="5">
        <f>W220</f>
        <v>0.2</v>
      </c>
      <c r="AF220" s="5">
        <f>X220</f>
        <v>1.8978740000000001</v>
      </c>
      <c r="AG220" s="5">
        <f>Y220</f>
        <v>0</v>
      </c>
      <c r="AH220" s="5">
        <f>IF(OR(G220="C",G220="S",G220="U"),1,0)</f>
        <v>1</v>
      </c>
      <c r="AI220" s="5">
        <f>IF(ISNUMBER(H220),1,0)</f>
        <v>0</v>
      </c>
      <c r="AJ220" s="5">
        <f>IF(ISNUMBER(P220),1,0)</f>
        <v>1</v>
      </c>
      <c r="AK220" s="5" t="str">
        <f>IF(AI220=1,IF(J220&gt;0,1,0),"")</f>
        <v/>
      </c>
      <c r="AL220" s="5">
        <f>IF(AJ220=1,IF(OR(Q220&gt;0,R220&gt;0),1,0),"")</f>
        <v>1</v>
      </c>
    </row>
    <row r="221" spans="1:38">
      <c r="A221">
        <v>208389</v>
      </c>
      <c r="B221" t="s">
        <v>288</v>
      </c>
      <c r="C221" t="s">
        <v>125</v>
      </c>
      <c r="D221" t="s">
        <v>24</v>
      </c>
      <c r="E221">
        <v>1</v>
      </c>
      <c r="F221">
        <v>9127632</v>
      </c>
      <c r="G221" t="s">
        <v>25</v>
      </c>
      <c r="H221" t="s">
        <v>26</v>
      </c>
      <c r="I221" t="s">
        <v>26</v>
      </c>
      <c r="J221" t="s">
        <v>26</v>
      </c>
      <c r="K221" t="s">
        <v>26</v>
      </c>
      <c r="L221" t="s">
        <v>26</v>
      </c>
      <c r="M221" t="s">
        <v>26</v>
      </c>
      <c r="N221" t="s">
        <v>26</v>
      </c>
      <c r="O221" t="s">
        <v>26</v>
      </c>
      <c r="P221">
        <v>1</v>
      </c>
      <c r="Q221">
        <v>0</v>
      </c>
      <c r="R221">
        <v>0</v>
      </c>
      <c r="S221">
        <v>1</v>
      </c>
      <c r="T221">
        <v>0.1096</v>
      </c>
      <c r="U221">
        <v>1</v>
      </c>
      <c r="V221">
        <v>0</v>
      </c>
      <c r="W221">
        <f>E221/100</f>
        <v>0.01</v>
      </c>
      <c r="X221">
        <f>F221/1000000</f>
        <v>9.1276320000000002</v>
      </c>
      <c r="Y221">
        <f>IF(D221="C",1,0)</f>
        <v>0</v>
      </c>
      <c r="Z221">
        <f>IF(G221="C",1,0)</f>
        <v>0</v>
      </c>
      <c r="AA221">
        <f>IF(G221="S",1,0)</f>
        <v>1</v>
      </c>
      <c r="AB221">
        <f>IF(G221="U",1,0)</f>
        <v>0</v>
      </c>
      <c r="AC221" s="5">
        <f>IF(AND(ISNUMBER(H221),NOT(ISNUMBER(P221))),1,0)</f>
        <v>0</v>
      </c>
      <c r="AD221" s="5">
        <f>IF(AND(ISNUMBER(H221),ISNUMBER(P221)),1,0)</f>
        <v>0</v>
      </c>
      <c r="AE221" s="5">
        <f>W221</f>
        <v>0.01</v>
      </c>
      <c r="AF221" s="5">
        <f>X221</f>
        <v>9.1276320000000002</v>
      </c>
      <c r="AG221" s="5">
        <f>Y221</f>
        <v>0</v>
      </c>
      <c r="AH221" s="5">
        <f>IF(OR(G221="C",G221="S",G221="U"),1,0)</f>
        <v>1</v>
      </c>
      <c r="AI221" s="5">
        <f>IF(ISNUMBER(H221),1,0)</f>
        <v>0</v>
      </c>
      <c r="AJ221" s="5">
        <f>IF(ISNUMBER(P221),1,0)</f>
        <v>1</v>
      </c>
      <c r="AK221" s="5" t="str">
        <f>IF(AI221=1,IF(J221&gt;0,1,0),"")</f>
        <v/>
      </c>
      <c r="AL221" s="5">
        <f>IF(AJ221=1,IF(OR(Q221&gt;0,R221&gt;0),1,0),"")</f>
        <v>0</v>
      </c>
    </row>
    <row r="222" spans="1:38">
      <c r="A222">
        <v>210135</v>
      </c>
      <c r="B222" t="s">
        <v>290</v>
      </c>
      <c r="C222" t="s">
        <v>93</v>
      </c>
      <c r="D222" t="s">
        <v>24</v>
      </c>
      <c r="E222">
        <v>147</v>
      </c>
      <c r="F222">
        <v>2812720</v>
      </c>
      <c r="G222" t="s">
        <v>25</v>
      </c>
      <c r="H222" t="s">
        <v>26</v>
      </c>
      <c r="I222" t="s">
        <v>26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>
        <v>1</v>
      </c>
      <c r="Q222">
        <v>0</v>
      </c>
      <c r="R222">
        <v>0</v>
      </c>
      <c r="S222">
        <v>1</v>
      </c>
      <c r="T222">
        <v>0.35549999999999998</v>
      </c>
      <c r="U222">
        <v>6.7999999999999996E-3</v>
      </c>
      <c r="V222">
        <v>0</v>
      </c>
      <c r="W222">
        <f>E222/100</f>
        <v>1.47</v>
      </c>
      <c r="X222">
        <f>F222/1000000</f>
        <v>2.8127200000000001</v>
      </c>
      <c r="Y222">
        <f>IF(D222="C",1,0)</f>
        <v>0</v>
      </c>
      <c r="Z222">
        <f>IF(G222="C",1,0)</f>
        <v>0</v>
      </c>
      <c r="AA222">
        <f>IF(G222="S",1,0)</f>
        <v>1</v>
      </c>
      <c r="AB222">
        <f>IF(G222="U",1,0)</f>
        <v>0</v>
      </c>
      <c r="AC222" s="5">
        <f>IF(AND(ISNUMBER(H222),NOT(ISNUMBER(P222))),1,0)</f>
        <v>0</v>
      </c>
      <c r="AD222" s="5">
        <f>IF(AND(ISNUMBER(H222),ISNUMBER(P222)),1,0)</f>
        <v>0</v>
      </c>
      <c r="AE222" s="5">
        <f>W222</f>
        <v>1.47</v>
      </c>
      <c r="AF222" s="5">
        <f>X222</f>
        <v>2.8127200000000001</v>
      </c>
      <c r="AG222" s="5">
        <f>Y222</f>
        <v>0</v>
      </c>
      <c r="AH222" s="5">
        <f>IF(OR(G222="C",G222="S",G222="U"),1,0)</f>
        <v>1</v>
      </c>
      <c r="AI222" s="5">
        <f>IF(ISNUMBER(H222),1,0)</f>
        <v>0</v>
      </c>
      <c r="AJ222" s="5">
        <f>IF(ISNUMBER(P222),1,0)</f>
        <v>1</v>
      </c>
      <c r="AK222" s="5" t="str">
        <f>IF(AI222=1,IF(J222&gt;0,1,0),"")</f>
        <v/>
      </c>
      <c r="AL222" s="5">
        <f>IF(AJ222=1,IF(OR(Q222&gt;0,R222&gt;0),1,0),"")</f>
        <v>0</v>
      </c>
    </row>
    <row r="223" spans="1:38">
      <c r="A223">
        <v>212314</v>
      </c>
      <c r="B223" t="s">
        <v>291</v>
      </c>
      <c r="C223" t="s">
        <v>23</v>
      </c>
      <c r="D223" t="s">
        <v>24</v>
      </c>
      <c r="E223">
        <v>23</v>
      </c>
      <c r="F223">
        <v>3152415</v>
      </c>
      <c r="G223" t="s">
        <v>25</v>
      </c>
      <c r="H223" t="s">
        <v>26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>
        <v>1</v>
      </c>
      <c r="Q223">
        <v>0</v>
      </c>
      <c r="R223">
        <v>0</v>
      </c>
      <c r="S223">
        <v>1</v>
      </c>
      <c r="T223">
        <v>0.31719999999999998</v>
      </c>
      <c r="U223">
        <v>4.3499999999999997E-2</v>
      </c>
      <c r="V223">
        <v>0</v>
      </c>
      <c r="W223">
        <f>E223/100</f>
        <v>0.23</v>
      </c>
      <c r="X223">
        <f>F223/1000000</f>
        <v>3.152415</v>
      </c>
      <c r="Y223">
        <f>IF(D223="C",1,0)</f>
        <v>0</v>
      </c>
      <c r="Z223">
        <f>IF(G223="C",1,0)</f>
        <v>0</v>
      </c>
      <c r="AA223">
        <f>IF(G223="S",1,0)</f>
        <v>1</v>
      </c>
      <c r="AB223">
        <f>IF(G223="U",1,0)</f>
        <v>0</v>
      </c>
      <c r="AC223" s="5">
        <f>IF(AND(ISNUMBER(H223),NOT(ISNUMBER(P223))),1,0)</f>
        <v>0</v>
      </c>
      <c r="AD223" s="5">
        <f>IF(AND(ISNUMBER(H223),ISNUMBER(P223)),1,0)</f>
        <v>0</v>
      </c>
      <c r="AE223" s="5">
        <f>W223</f>
        <v>0.23</v>
      </c>
      <c r="AF223" s="5">
        <f>X223</f>
        <v>3.152415</v>
      </c>
      <c r="AG223" s="5">
        <f>Y223</f>
        <v>0</v>
      </c>
      <c r="AH223" s="5">
        <f>IF(OR(G223="C",G223="S",G223="U"),1,0)</f>
        <v>1</v>
      </c>
      <c r="AI223" s="5">
        <f>IF(ISNUMBER(H223),1,0)</f>
        <v>0</v>
      </c>
      <c r="AJ223" s="5">
        <f>IF(ISNUMBER(P223),1,0)</f>
        <v>1</v>
      </c>
      <c r="AK223" s="5" t="str">
        <f>IF(AI223=1,IF(J223&gt;0,1,0),"")</f>
        <v/>
      </c>
      <c r="AL223" s="5">
        <f>IF(AJ223=1,IF(OR(Q223&gt;0,R223&gt;0),1,0),"")</f>
        <v>0</v>
      </c>
    </row>
    <row r="224" spans="1:38">
      <c r="A224">
        <v>214044</v>
      </c>
      <c r="B224" t="s">
        <v>292</v>
      </c>
      <c r="C224" t="s">
        <v>40</v>
      </c>
      <c r="D224" t="s">
        <v>24</v>
      </c>
      <c r="E224">
        <v>1</v>
      </c>
      <c r="F224">
        <v>23000</v>
      </c>
      <c r="G224" t="s">
        <v>25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>
        <v>1</v>
      </c>
      <c r="Q224">
        <v>0</v>
      </c>
      <c r="R224">
        <v>1</v>
      </c>
      <c r="S224">
        <v>1</v>
      </c>
      <c r="T224">
        <v>43.478299999999997</v>
      </c>
      <c r="U224">
        <v>1</v>
      </c>
      <c r="V224">
        <v>1</v>
      </c>
      <c r="W224">
        <f>E224/100</f>
        <v>0.01</v>
      </c>
      <c r="X224">
        <f>F224/1000000</f>
        <v>2.3E-2</v>
      </c>
      <c r="Y224">
        <f>IF(D224="C",1,0)</f>
        <v>0</v>
      </c>
      <c r="Z224">
        <f>IF(G224="C",1,0)</f>
        <v>0</v>
      </c>
      <c r="AA224">
        <f>IF(G224="S",1,0)</f>
        <v>1</v>
      </c>
      <c r="AB224">
        <f>IF(G224="U",1,0)</f>
        <v>0</v>
      </c>
      <c r="AC224" s="5">
        <f>IF(AND(ISNUMBER(H224),NOT(ISNUMBER(P224))),1,0)</f>
        <v>0</v>
      </c>
      <c r="AD224" s="5">
        <f>IF(AND(ISNUMBER(H224),ISNUMBER(P224)),1,0)</f>
        <v>0</v>
      </c>
      <c r="AE224" s="5">
        <f>W224</f>
        <v>0.01</v>
      </c>
      <c r="AF224" s="5">
        <f>X224</f>
        <v>2.3E-2</v>
      </c>
      <c r="AG224" s="5">
        <f>Y224</f>
        <v>0</v>
      </c>
      <c r="AH224" s="5">
        <f>IF(OR(G224="C",G224="S",G224="U"),1,0)</f>
        <v>1</v>
      </c>
      <c r="AI224" s="5">
        <f>IF(ISNUMBER(H224),1,0)</f>
        <v>0</v>
      </c>
      <c r="AJ224" s="5">
        <f>IF(ISNUMBER(P224),1,0)</f>
        <v>1</v>
      </c>
      <c r="AK224" s="5" t="str">
        <f>IF(AI224=1,IF(J224&gt;0,1,0),"")</f>
        <v/>
      </c>
      <c r="AL224" s="5">
        <f>IF(AJ224=1,IF(OR(Q224&gt;0,R224&gt;0),1,0),"")</f>
        <v>1</v>
      </c>
    </row>
    <row r="225" spans="1:38">
      <c r="A225">
        <v>214440</v>
      </c>
      <c r="B225" t="s">
        <v>293</v>
      </c>
      <c r="C225" t="s">
        <v>294</v>
      </c>
      <c r="D225" t="s">
        <v>24</v>
      </c>
      <c r="E225">
        <v>100</v>
      </c>
      <c r="F225">
        <v>7106053</v>
      </c>
      <c r="G225" t="s">
        <v>25</v>
      </c>
      <c r="H225" t="s">
        <v>26</v>
      </c>
      <c r="I225" t="s">
        <v>26</v>
      </c>
      <c r="J225" t="s">
        <v>26</v>
      </c>
      <c r="K225" t="s">
        <v>26</v>
      </c>
      <c r="L225" t="s">
        <v>26</v>
      </c>
      <c r="M225" t="s">
        <v>26</v>
      </c>
      <c r="N225" t="s">
        <v>26</v>
      </c>
      <c r="O225" t="s">
        <v>26</v>
      </c>
      <c r="P225">
        <v>1</v>
      </c>
      <c r="Q225">
        <v>0</v>
      </c>
      <c r="R225">
        <v>0</v>
      </c>
      <c r="S225">
        <v>1</v>
      </c>
      <c r="T225">
        <v>0.14069999999999999</v>
      </c>
      <c r="U225">
        <v>0.01</v>
      </c>
      <c r="V225">
        <v>0</v>
      </c>
      <c r="W225">
        <f>E225/100</f>
        <v>1</v>
      </c>
      <c r="X225">
        <f>F225/1000000</f>
        <v>7.1060530000000002</v>
      </c>
      <c r="Y225">
        <f>IF(D225="C",1,0)</f>
        <v>0</v>
      </c>
      <c r="Z225">
        <f>IF(G225="C",1,0)</f>
        <v>0</v>
      </c>
      <c r="AA225">
        <f>IF(G225="S",1,0)</f>
        <v>1</v>
      </c>
      <c r="AB225">
        <f>IF(G225="U",1,0)</f>
        <v>0</v>
      </c>
      <c r="AC225" s="5">
        <f>IF(AND(ISNUMBER(H225),NOT(ISNUMBER(P225))),1,0)</f>
        <v>0</v>
      </c>
      <c r="AD225" s="5">
        <f>IF(AND(ISNUMBER(H225),ISNUMBER(P225)),1,0)</f>
        <v>0</v>
      </c>
      <c r="AE225" s="5">
        <f>W225</f>
        <v>1</v>
      </c>
      <c r="AF225" s="5">
        <f>X225</f>
        <v>7.1060530000000002</v>
      </c>
      <c r="AG225" s="5">
        <f>Y225</f>
        <v>0</v>
      </c>
      <c r="AH225" s="5">
        <f>IF(OR(G225="C",G225="S",G225="U"),1,0)</f>
        <v>1</v>
      </c>
      <c r="AI225" s="5">
        <f>IF(ISNUMBER(H225),1,0)</f>
        <v>0</v>
      </c>
      <c r="AJ225" s="5">
        <f>IF(ISNUMBER(P225),1,0)</f>
        <v>1</v>
      </c>
      <c r="AK225" s="5" t="str">
        <f>IF(AI225=1,IF(J225&gt;0,1,0),"")</f>
        <v/>
      </c>
      <c r="AL225" s="5">
        <f>IF(AJ225=1,IF(OR(Q225&gt;0,R225&gt;0),1,0),"")</f>
        <v>0</v>
      </c>
    </row>
    <row r="226" spans="1:38">
      <c r="A226">
        <v>217761</v>
      </c>
      <c r="B226" t="s">
        <v>295</v>
      </c>
      <c r="C226" t="s">
        <v>23</v>
      </c>
      <c r="D226" t="s">
        <v>24</v>
      </c>
      <c r="E226">
        <v>6</v>
      </c>
      <c r="F226">
        <v>125964</v>
      </c>
      <c r="G226" t="s">
        <v>25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>
        <v>1</v>
      </c>
      <c r="Q226">
        <v>0</v>
      </c>
      <c r="R226">
        <v>1</v>
      </c>
      <c r="S226">
        <v>0</v>
      </c>
      <c r="T226">
        <v>7.9387999999999996</v>
      </c>
      <c r="U226">
        <v>0.16669999999999999</v>
      </c>
      <c r="V226">
        <v>1</v>
      </c>
      <c r="W226">
        <f>E226/100</f>
        <v>0.06</v>
      </c>
      <c r="X226">
        <f>F226/1000000</f>
        <v>0.12596399999999999</v>
      </c>
      <c r="Y226">
        <f>IF(D226="C",1,0)</f>
        <v>0</v>
      </c>
      <c r="Z226">
        <f>IF(G226="C",1,0)</f>
        <v>0</v>
      </c>
      <c r="AA226">
        <f>IF(G226="S",1,0)</f>
        <v>1</v>
      </c>
      <c r="AB226">
        <f>IF(G226="U",1,0)</f>
        <v>0</v>
      </c>
      <c r="AC226" s="5">
        <f>IF(AND(ISNUMBER(H226),NOT(ISNUMBER(P226))),1,0)</f>
        <v>0</v>
      </c>
      <c r="AD226" s="5">
        <f>IF(AND(ISNUMBER(H226),ISNUMBER(P226)),1,0)</f>
        <v>0</v>
      </c>
      <c r="AE226" s="5">
        <f>W226</f>
        <v>0.06</v>
      </c>
      <c r="AF226" s="5">
        <f>X226</f>
        <v>0.12596399999999999</v>
      </c>
      <c r="AG226" s="5">
        <f>Y226</f>
        <v>0</v>
      </c>
      <c r="AH226" s="5">
        <f>IF(OR(G226="C",G226="S",G226="U"),1,0)</f>
        <v>1</v>
      </c>
      <c r="AI226" s="5">
        <f>IF(ISNUMBER(H226),1,0)</f>
        <v>0</v>
      </c>
      <c r="AJ226" s="5">
        <f>IF(ISNUMBER(P226),1,0)</f>
        <v>1</v>
      </c>
      <c r="AK226" s="5" t="str">
        <f>IF(AI226=1,IF(J226&gt;0,1,0),"")</f>
        <v/>
      </c>
      <c r="AL226" s="5">
        <f>IF(AJ226=1,IF(OR(Q226&gt;0,R226&gt;0),1,0),"")</f>
        <v>1</v>
      </c>
    </row>
    <row r="227" spans="1:38">
      <c r="A227">
        <v>219266</v>
      </c>
      <c r="B227" t="s">
        <v>296</v>
      </c>
      <c r="C227" t="s">
        <v>125</v>
      </c>
      <c r="D227" t="s">
        <v>33</v>
      </c>
      <c r="E227">
        <v>15</v>
      </c>
      <c r="F227">
        <v>1180126</v>
      </c>
      <c r="H227" t="s">
        <v>26</v>
      </c>
      <c r="I227" t="s">
        <v>26</v>
      </c>
      <c r="J227" t="s">
        <v>26</v>
      </c>
      <c r="K227" t="s">
        <v>26</v>
      </c>
      <c r="L227" t="s">
        <v>26</v>
      </c>
      <c r="M227" t="s">
        <v>26</v>
      </c>
      <c r="N227" t="s">
        <v>26</v>
      </c>
      <c r="O227" t="s">
        <v>26</v>
      </c>
      <c r="P227">
        <v>1</v>
      </c>
      <c r="Q227">
        <v>0</v>
      </c>
      <c r="R227">
        <v>1</v>
      </c>
      <c r="S227">
        <v>1</v>
      </c>
      <c r="T227">
        <v>0.84740000000000004</v>
      </c>
      <c r="U227">
        <v>6.6699999999999995E-2</v>
      </c>
      <c r="V227">
        <v>1</v>
      </c>
      <c r="W227">
        <f>E227/100</f>
        <v>0.15</v>
      </c>
      <c r="X227">
        <f>F227/1000000</f>
        <v>1.180126</v>
      </c>
      <c r="Y227">
        <f>IF(D227="C",1,0)</f>
        <v>1</v>
      </c>
      <c r="Z227">
        <f>IF(G227="C",1,0)</f>
        <v>0</v>
      </c>
      <c r="AA227">
        <f>IF(G227="S",1,0)</f>
        <v>0</v>
      </c>
      <c r="AB227">
        <f>IF(G227="U",1,0)</f>
        <v>0</v>
      </c>
      <c r="AC227" s="5">
        <f>IF(AND(ISNUMBER(H227),NOT(ISNUMBER(P227))),1,0)</f>
        <v>0</v>
      </c>
      <c r="AD227" s="5">
        <f>IF(AND(ISNUMBER(H227),ISNUMBER(P227)),1,0)</f>
        <v>0</v>
      </c>
      <c r="AE227" s="5">
        <f>W227</f>
        <v>0.15</v>
      </c>
      <c r="AF227" s="5">
        <f>X227</f>
        <v>1.180126</v>
      </c>
      <c r="AG227" s="5">
        <f>Y227</f>
        <v>1</v>
      </c>
      <c r="AH227" s="5">
        <f>IF(OR(G227="C",G227="S",G227="U"),1,0)</f>
        <v>0</v>
      </c>
      <c r="AI227" s="5">
        <f>IF(ISNUMBER(H227),1,0)</f>
        <v>0</v>
      </c>
      <c r="AJ227" s="5">
        <f>IF(ISNUMBER(P227),1,0)</f>
        <v>1</v>
      </c>
      <c r="AK227" s="5" t="str">
        <f>IF(AI227=1,IF(J227&gt;0,1,0),"")</f>
        <v/>
      </c>
      <c r="AL227" s="5">
        <f>IF(AJ227=1,IF(OR(Q227&gt;0,R227&gt;0),1,0),"")</f>
        <v>1</v>
      </c>
    </row>
    <row r="228" spans="1:38">
      <c r="A228">
        <v>219644</v>
      </c>
      <c r="B228" t="s">
        <v>297</v>
      </c>
      <c r="C228" t="s">
        <v>84</v>
      </c>
      <c r="D228" t="s">
        <v>24</v>
      </c>
      <c r="E228">
        <v>31</v>
      </c>
      <c r="F228">
        <v>1490000</v>
      </c>
      <c r="G228" t="s">
        <v>25</v>
      </c>
      <c r="H228" t="s">
        <v>26</v>
      </c>
      <c r="I228" t="s">
        <v>26</v>
      </c>
      <c r="J228" t="s">
        <v>26</v>
      </c>
      <c r="K228" t="s">
        <v>26</v>
      </c>
      <c r="L228" t="s">
        <v>26</v>
      </c>
      <c r="M228" t="s">
        <v>26</v>
      </c>
      <c r="N228" t="s">
        <v>26</v>
      </c>
      <c r="O228" t="s">
        <v>26</v>
      </c>
      <c r="P228">
        <v>1</v>
      </c>
      <c r="Q228">
        <v>1</v>
      </c>
      <c r="R228">
        <v>1</v>
      </c>
      <c r="S228">
        <v>1</v>
      </c>
      <c r="T228">
        <v>0.67110000000000003</v>
      </c>
      <c r="U228">
        <v>3.2300000000000002E-2</v>
      </c>
      <c r="V228">
        <v>1</v>
      </c>
      <c r="W228">
        <f>E228/100</f>
        <v>0.31</v>
      </c>
      <c r="X228">
        <f>F228/1000000</f>
        <v>1.49</v>
      </c>
      <c r="Y228">
        <f>IF(D228="C",1,0)</f>
        <v>0</v>
      </c>
      <c r="Z228">
        <f>IF(G228="C",1,0)</f>
        <v>0</v>
      </c>
      <c r="AA228">
        <f>IF(G228="S",1,0)</f>
        <v>1</v>
      </c>
      <c r="AB228">
        <f>IF(G228="U",1,0)</f>
        <v>0</v>
      </c>
      <c r="AC228" s="5">
        <f>IF(AND(ISNUMBER(H228),NOT(ISNUMBER(P228))),1,0)</f>
        <v>0</v>
      </c>
      <c r="AD228" s="5">
        <f>IF(AND(ISNUMBER(H228),ISNUMBER(P228)),1,0)</f>
        <v>0</v>
      </c>
      <c r="AE228" s="5">
        <f>W228</f>
        <v>0.31</v>
      </c>
      <c r="AF228" s="5">
        <f>X228</f>
        <v>1.49</v>
      </c>
      <c r="AG228" s="5">
        <f>Y228</f>
        <v>0</v>
      </c>
      <c r="AH228" s="5">
        <f>IF(OR(G228="C",G228="S",G228="U"),1,0)</f>
        <v>1</v>
      </c>
      <c r="AI228" s="5">
        <f>IF(ISNUMBER(H228),1,0)</f>
        <v>0</v>
      </c>
      <c r="AJ228" s="5">
        <f>IF(ISNUMBER(P228),1,0)</f>
        <v>1</v>
      </c>
      <c r="AK228" s="5" t="str">
        <f>IF(AI228=1,IF(J228&gt;0,1,0),"")</f>
        <v/>
      </c>
      <c r="AL228" s="5">
        <f>IF(AJ228=1,IF(OR(Q228&gt;0,R228&gt;0),1,0),"")</f>
        <v>1</v>
      </c>
    </row>
    <row r="229" spans="1:38">
      <c r="A229">
        <v>221000</v>
      </c>
      <c r="B229" t="s">
        <v>298</v>
      </c>
      <c r="C229" t="s">
        <v>82</v>
      </c>
      <c r="D229" t="s">
        <v>24</v>
      </c>
      <c r="E229">
        <v>11</v>
      </c>
      <c r="F229">
        <v>253645</v>
      </c>
      <c r="G229" t="s">
        <v>25</v>
      </c>
      <c r="H229" t="s">
        <v>26</v>
      </c>
      <c r="I229" t="s">
        <v>26</v>
      </c>
      <c r="J229" t="s">
        <v>26</v>
      </c>
      <c r="K229" t="s">
        <v>26</v>
      </c>
      <c r="L229" t="s">
        <v>26</v>
      </c>
      <c r="M229" t="s">
        <v>26</v>
      </c>
      <c r="N229" t="s">
        <v>26</v>
      </c>
      <c r="O229" t="s">
        <v>26</v>
      </c>
      <c r="P229">
        <v>1</v>
      </c>
      <c r="Q229">
        <v>0</v>
      </c>
      <c r="R229">
        <v>1</v>
      </c>
      <c r="S229">
        <v>1</v>
      </c>
      <c r="T229">
        <v>3.9424999999999999</v>
      </c>
      <c r="U229">
        <v>9.0899999999999995E-2</v>
      </c>
      <c r="V229">
        <v>1</v>
      </c>
      <c r="W229">
        <f>E229/100</f>
        <v>0.11</v>
      </c>
      <c r="X229">
        <f>F229/1000000</f>
        <v>0.25364500000000001</v>
      </c>
      <c r="Y229">
        <f>IF(D229="C",1,0)</f>
        <v>0</v>
      </c>
      <c r="Z229">
        <f>IF(G229="C",1,0)</f>
        <v>0</v>
      </c>
      <c r="AA229">
        <f>IF(G229="S",1,0)</f>
        <v>1</v>
      </c>
      <c r="AB229">
        <f>IF(G229="U",1,0)</f>
        <v>0</v>
      </c>
      <c r="AC229" s="5">
        <f>IF(AND(ISNUMBER(H229),NOT(ISNUMBER(P229))),1,0)</f>
        <v>0</v>
      </c>
      <c r="AD229" s="5">
        <f>IF(AND(ISNUMBER(H229),ISNUMBER(P229)),1,0)</f>
        <v>0</v>
      </c>
      <c r="AE229" s="5">
        <f>W229</f>
        <v>0.11</v>
      </c>
      <c r="AF229" s="5">
        <f>X229</f>
        <v>0.25364500000000001</v>
      </c>
      <c r="AG229" s="5">
        <f>Y229</f>
        <v>0</v>
      </c>
      <c r="AH229" s="5">
        <f>IF(OR(G229="C",G229="S",G229="U"),1,0)</f>
        <v>1</v>
      </c>
      <c r="AI229" s="5">
        <f>IF(ISNUMBER(H229),1,0)</f>
        <v>0</v>
      </c>
      <c r="AJ229" s="5">
        <f>IF(ISNUMBER(P229),1,0)</f>
        <v>1</v>
      </c>
      <c r="AK229" s="5" t="str">
        <f>IF(AI229=1,IF(J229&gt;0,1,0),"")</f>
        <v/>
      </c>
      <c r="AL229" s="5">
        <f>IF(AJ229=1,IF(OR(Q229&gt;0,R229&gt;0),1,0),"")</f>
        <v>1</v>
      </c>
    </row>
    <row r="230" spans="1:38">
      <c r="A230">
        <v>222508</v>
      </c>
      <c r="B230" t="s">
        <v>299</v>
      </c>
      <c r="C230" t="s">
        <v>23</v>
      </c>
      <c r="D230" t="s">
        <v>24</v>
      </c>
      <c r="E230">
        <v>67</v>
      </c>
      <c r="F230">
        <v>3260259</v>
      </c>
      <c r="G230" t="s">
        <v>25</v>
      </c>
      <c r="H230" t="s">
        <v>26</v>
      </c>
      <c r="I230" t="s">
        <v>26</v>
      </c>
      <c r="J230" t="s">
        <v>26</v>
      </c>
      <c r="K230" t="s">
        <v>26</v>
      </c>
      <c r="L230" t="s">
        <v>26</v>
      </c>
      <c r="M230" t="s">
        <v>26</v>
      </c>
      <c r="N230" t="s">
        <v>26</v>
      </c>
      <c r="O230" t="s">
        <v>26</v>
      </c>
      <c r="P230">
        <v>1</v>
      </c>
      <c r="Q230">
        <v>0</v>
      </c>
      <c r="R230">
        <v>0</v>
      </c>
      <c r="S230">
        <v>1</v>
      </c>
      <c r="T230">
        <v>0.30669999999999997</v>
      </c>
      <c r="U230">
        <v>1.49E-2</v>
      </c>
      <c r="V230">
        <v>0</v>
      </c>
      <c r="W230">
        <f>E230/100</f>
        <v>0.67</v>
      </c>
      <c r="X230">
        <f>F230/1000000</f>
        <v>3.260259</v>
      </c>
      <c r="Y230">
        <f>IF(D230="C",1,0)</f>
        <v>0</v>
      </c>
      <c r="Z230">
        <f>IF(G230="C",1,0)</f>
        <v>0</v>
      </c>
      <c r="AA230">
        <f>IF(G230="S",1,0)</f>
        <v>1</v>
      </c>
      <c r="AB230">
        <f>IF(G230="U",1,0)</f>
        <v>0</v>
      </c>
      <c r="AC230" s="5">
        <f>IF(AND(ISNUMBER(H230),NOT(ISNUMBER(P230))),1,0)</f>
        <v>0</v>
      </c>
      <c r="AD230" s="5">
        <f>IF(AND(ISNUMBER(H230),ISNUMBER(P230)),1,0)</f>
        <v>0</v>
      </c>
      <c r="AE230" s="5">
        <f>W230</f>
        <v>0.67</v>
      </c>
      <c r="AF230" s="5">
        <f>X230</f>
        <v>3.260259</v>
      </c>
      <c r="AG230" s="5">
        <f>Y230</f>
        <v>0</v>
      </c>
      <c r="AH230" s="5">
        <f>IF(OR(G230="C",G230="S",G230="U"),1,0)</f>
        <v>1</v>
      </c>
      <c r="AI230" s="5">
        <f>IF(ISNUMBER(H230),1,0)</f>
        <v>0</v>
      </c>
      <c r="AJ230" s="5">
        <f>IF(ISNUMBER(P230),1,0)</f>
        <v>1</v>
      </c>
      <c r="AK230" s="5" t="str">
        <f>IF(AI230=1,IF(J230&gt;0,1,0),"")</f>
        <v/>
      </c>
      <c r="AL230" s="5">
        <f>IF(AJ230=1,IF(OR(Q230&gt;0,R230&gt;0),1,0),"")</f>
        <v>0</v>
      </c>
    </row>
    <row r="231" spans="1:38">
      <c r="A231">
        <v>223790</v>
      </c>
      <c r="B231" t="s">
        <v>300</v>
      </c>
      <c r="C231" t="s">
        <v>23</v>
      </c>
      <c r="D231" t="s">
        <v>24</v>
      </c>
      <c r="E231">
        <v>32</v>
      </c>
      <c r="F231">
        <v>1100000</v>
      </c>
      <c r="G231" t="s">
        <v>25</v>
      </c>
      <c r="H231" t="s">
        <v>26</v>
      </c>
      <c r="I231" t="s">
        <v>26</v>
      </c>
      <c r="J231" t="s">
        <v>26</v>
      </c>
      <c r="K231" t="s">
        <v>26</v>
      </c>
      <c r="L231" t="s">
        <v>26</v>
      </c>
      <c r="M231" t="s">
        <v>26</v>
      </c>
      <c r="N231" t="s">
        <v>26</v>
      </c>
      <c r="O231" t="s">
        <v>26</v>
      </c>
      <c r="P231">
        <v>1</v>
      </c>
      <c r="Q231">
        <v>1</v>
      </c>
      <c r="R231">
        <v>0</v>
      </c>
      <c r="S231">
        <v>1</v>
      </c>
      <c r="T231">
        <v>0.90910000000000002</v>
      </c>
      <c r="U231">
        <v>3.1300000000000001E-2</v>
      </c>
      <c r="V231">
        <v>1</v>
      </c>
      <c r="W231">
        <f>E231/100</f>
        <v>0.32</v>
      </c>
      <c r="X231">
        <f>F231/1000000</f>
        <v>1.1000000000000001</v>
      </c>
      <c r="Y231">
        <f>IF(D231="C",1,0)</f>
        <v>0</v>
      </c>
      <c r="Z231">
        <f>IF(G231="C",1,0)</f>
        <v>0</v>
      </c>
      <c r="AA231">
        <f>IF(G231="S",1,0)</f>
        <v>1</v>
      </c>
      <c r="AB231">
        <f>IF(G231="U",1,0)</f>
        <v>0</v>
      </c>
      <c r="AC231" s="5">
        <f>IF(AND(ISNUMBER(H231),NOT(ISNUMBER(P231))),1,0)</f>
        <v>0</v>
      </c>
      <c r="AD231" s="5">
        <f>IF(AND(ISNUMBER(H231),ISNUMBER(P231)),1,0)</f>
        <v>0</v>
      </c>
      <c r="AE231" s="5">
        <f>W231</f>
        <v>0.32</v>
      </c>
      <c r="AF231" s="5">
        <f>X231</f>
        <v>1.1000000000000001</v>
      </c>
      <c r="AG231" s="5">
        <f>Y231</f>
        <v>0</v>
      </c>
      <c r="AH231" s="5">
        <f>IF(OR(G231="C",G231="S",G231="U"),1,0)</f>
        <v>1</v>
      </c>
      <c r="AI231" s="5">
        <f>IF(ISNUMBER(H231),1,0)</f>
        <v>0</v>
      </c>
      <c r="AJ231" s="5">
        <f>IF(ISNUMBER(P231),1,0)</f>
        <v>1</v>
      </c>
      <c r="AK231" s="5" t="str">
        <f>IF(AI231=1,IF(J231&gt;0,1,0),"")</f>
        <v/>
      </c>
      <c r="AL231" s="5">
        <f>IF(AJ231=1,IF(OR(Q231&gt;0,R231&gt;0),1,0),"")</f>
        <v>1</v>
      </c>
    </row>
    <row r="232" spans="1:38">
      <c r="A232">
        <v>224100</v>
      </c>
      <c r="B232" t="s">
        <v>301</v>
      </c>
      <c r="C232" t="s">
        <v>302</v>
      </c>
      <c r="D232" t="s">
        <v>24</v>
      </c>
      <c r="E232">
        <v>233</v>
      </c>
      <c r="F232">
        <v>4854358</v>
      </c>
      <c r="G232" t="s">
        <v>25</v>
      </c>
      <c r="H232" t="s">
        <v>26</v>
      </c>
      <c r="I232" t="s">
        <v>26</v>
      </c>
      <c r="J232" t="s">
        <v>26</v>
      </c>
      <c r="K232" t="s">
        <v>26</v>
      </c>
      <c r="L232" t="s">
        <v>26</v>
      </c>
      <c r="M232" t="s">
        <v>26</v>
      </c>
      <c r="N232" t="s">
        <v>26</v>
      </c>
      <c r="O232" t="s">
        <v>26</v>
      </c>
      <c r="P232">
        <v>1</v>
      </c>
      <c r="Q232">
        <v>0</v>
      </c>
      <c r="R232">
        <v>0</v>
      </c>
      <c r="S232">
        <v>1</v>
      </c>
      <c r="T232">
        <v>0.20599999999999999</v>
      </c>
      <c r="U232">
        <v>4.3E-3</v>
      </c>
      <c r="V232">
        <v>0</v>
      </c>
      <c r="W232">
        <f>E232/100</f>
        <v>2.33</v>
      </c>
      <c r="X232">
        <f>F232/1000000</f>
        <v>4.8543580000000004</v>
      </c>
      <c r="Y232">
        <f>IF(D232="C",1,0)</f>
        <v>0</v>
      </c>
      <c r="Z232">
        <f>IF(G232="C",1,0)</f>
        <v>0</v>
      </c>
      <c r="AA232">
        <f>IF(G232="S",1,0)</f>
        <v>1</v>
      </c>
      <c r="AB232">
        <f>IF(G232="U",1,0)</f>
        <v>0</v>
      </c>
      <c r="AC232" s="5">
        <f>IF(AND(ISNUMBER(H232),NOT(ISNUMBER(P232))),1,0)</f>
        <v>0</v>
      </c>
      <c r="AD232" s="5">
        <f>IF(AND(ISNUMBER(H232),ISNUMBER(P232)),1,0)</f>
        <v>0</v>
      </c>
      <c r="AE232" s="5">
        <f>W232</f>
        <v>2.33</v>
      </c>
      <c r="AF232" s="5">
        <f>X232</f>
        <v>4.8543580000000004</v>
      </c>
      <c r="AG232" s="5">
        <f>Y232</f>
        <v>0</v>
      </c>
      <c r="AH232" s="5">
        <f>IF(OR(G232="C",G232="S",G232="U"),1,0)</f>
        <v>1</v>
      </c>
      <c r="AI232" s="5">
        <f>IF(ISNUMBER(H232),1,0)</f>
        <v>0</v>
      </c>
      <c r="AJ232" s="5">
        <f>IF(ISNUMBER(P232),1,0)</f>
        <v>1</v>
      </c>
      <c r="AK232" s="5" t="str">
        <f>IF(AI232=1,IF(J232&gt;0,1,0),"")</f>
        <v/>
      </c>
      <c r="AL232" s="5">
        <f>IF(AJ232=1,IF(OR(Q232&gt;0,R232&gt;0),1,0),"")</f>
        <v>0</v>
      </c>
    </row>
    <row r="233" spans="1:38">
      <c r="A233">
        <v>227706</v>
      </c>
      <c r="B233" t="s">
        <v>306</v>
      </c>
      <c r="C233" t="s">
        <v>37</v>
      </c>
      <c r="D233" t="s">
        <v>24</v>
      </c>
      <c r="E233">
        <v>144</v>
      </c>
      <c r="F233">
        <v>9865853</v>
      </c>
      <c r="G233" t="s">
        <v>25</v>
      </c>
      <c r="H233" t="s">
        <v>26</v>
      </c>
      <c r="I233" t="s">
        <v>26</v>
      </c>
      <c r="J233" t="s">
        <v>26</v>
      </c>
      <c r="K233" t="s">
        <v>26</v>
      </c>
      <c r="L233" t="s">
        <v>26</v>
      </c>
      <c r="M233" t="s">
        <v>26</v>
      </c>
      <c r="N233" t="s">
        <v>26</v>
      </c>
      <c r="O233" t="s">
        <v>26</v>
      </c>
      <c r="P233">
        <v>2</v>
      </c>
      <c r="Q233">
        <v>0</v>
      </c>
      <c r="R233">
        <v>2</v>
      </c>
      <c r="S233">
        <v>2</v>
      </c>
      <c r="T233">
        <v>0.20269999999999999</v>
      </c>
      <c r="U233">
        <v>1.3899999999999999E-2</v>
      </c>
      <c r="V233">
        <v>1</v>
      </c>
      <c r="W233">
        <f>E233/100</f>
        <v>1.44</v>
      </c>
      <c r="X233">
        <f>F233/1000000</f>
        <v>9.8658529999999995</v>
      </c>
      <c r="Y233">
        <f>IF(D233="C",1,0)</f>
        <v>0</v>
      </c>
      <c r="Z233">
        <f>IF(G233="C",1,0)</f>
        <v>0</v>
      </c>
      <c r="AA233">
        <f>IF(G233="S",1,0)</f>
        <v>1</v>
      </c>
      <c r="AB233">
        <f>IF(G233="U",1,0)</f>
        <v>0</v>
      </c>
      <c r="AC233" s="5">
        <f>IF(AND(ISNUMBER(H233),NOT(ISNUMBER(P233))),1,0)</f>
        <v>0</v>
      </c>
      <c r="AD233" s="5">
        <f>IF(AND(ISNUMBER(H233),ISNUMBER(P233)),1,0)</f>
        <v>0</v>
      </c>
      <c r="AE233" s="5">
        <f>W233</f>
        <v>1.44</v>
      </c>
      <c r="AF233" s="5">
        <f>X233</f>
        <v>9.8658529999999995</v>
      </c>
      <c r="AG233" s="5">
        <f>Y233</f>
        <v>0</v>
      </c>
      <c r="AH233" s="5">
        <f>IF(OR(G233="C",G233="S",G233="U"),1,0)</f>
        <v>1</v>
      </c>
      <c r="AI233" s="5">
        <f>IF(ISNUMBER(H233),1,0)</f>
        <v>0</v>
      </c>
      <c r="AJ233" s="5">
        <f>IF(ISNUMBER(P233),1,0)</f>
        <v>1</v>
      </c>
      <c r="AK233" s="5" t="str">
        <f>IF(AI233=1,IF(J233&gt;0,1,0),"")</f>
        <v/>
      </c>
      <c r="AL233" s="5">
        <f>IF(AJ233=1,IF(OR(Q233&gt;0,R233&gt;0),1,0),"")</f>
        <v>1</v>
      </c>
    </row>
    <row r="234" spans="1:38">
      <c r="A234">
        <v>229153</v>
      </c>
      <c r="B234" t="s">
        <v>308</v>
      </c>
      <c r="C234" t="s">
        <v>93</v>
      </c>
      <c r="D234" t="s">
        <v>24</v>
      </c>
      <c r="E234">
        <v>92</v>
      </c>
      <c r="F234">
        <v>5282214</v>
      </c>
      <c r="G234" t="s">
        <v>25</v>
      </c>
      <c r="H234" t="s">
        <v>26</v>
      </c>
      <c r="I234" t="s">
        <v>26</v>
      </c>
      <c r="J234" t="s">
        <v>26</v>
      </c>
      <c r="K234" t="s">
        <v>26</v>
      </c>
      <c r="L234" t="s">
        <v>26</v>
      </c>
      <c r="M234" t="s">
        <v>26</v>
      </c>
      <c r="N234" t="s">
        <v>26</v>
      </c>
      <c r="O234" t="s">
        <v>26</v>
      </c>
      <c r="P234">
        <v>1</v>
      </c>
      <c r="Q234">
        <v>0</v>
      </c>
      <c r="R234">
        <v>0</v>
      </c>
      <c r="S234">
        <v>1</v>
      </c>
      <c r="T234">
        <v>0.1893</v>
      </c>
      <c r="U234">
        <v>1.09E-2</v>
      </c>
      <c r="V234">
        <v>0</v>
      </c>
      <c r="W234">
        <f>E234/100</f>
        <v>0.92</v>
      </c>
      <c r="X234">
        <f>F234/1000000</f>
        <v>5.2822139999999997</v>
      </c>
      <c r="Y234">
        <f>IF(D234="C",1,0)</f>
        <v>0</v>
      </c>
      <c r="Z234">
        <f>IF(G234="C",1,0)</f>
        <v>0</v>
      </c>
      <c r="AA234">
        <f>IF(G234="S",1,0)</f>
        <v>1</v>
      </c>
      <c r="AB234">
        <f>IF(G234="U",1,0)</f>
        <v>0</v>
      </c>
      <c r="AC234" s="5">
        <f>IF(AND(ISNUMBER(H234),NOT(ISNUMBER(P234))),1,0)</f>
        <v>0</v>
      </c>
      <c r="AD234" s="5">
        <f>IF(AND(ISNUMBER(H234),ISNUMBER(P234)),1,0)</f>
        <v>0</v>
      </c>
      <c r="AE234" s="5">
        <f>W234</f>
        <v>0.92</v>
      </c>
      <c r="AF234" s="5">
        <f>X234</f>
        <v>5.2822139999999997</v>
      </c>
      <c r="AG234" s="5">
        <f>Y234</f>
        <v>0</v>
      </c>
      <c r="AH234" s="5">
        <f>IF(OR(G234="C",G234="S",G234="U"),1,0)</f>
        <v>1</v>
      </c>
      <c r="AI234" s="5">
        <f>IF(ISNUMBER(H234),1,0)</f>
        <v>0</v>
      </c>
      <c r="AJ234" s="5">
        <f>IF(ISNUMBER(P234),1,0)</f>
        <v>1</v>
      </c>
      <c r="AK234" s="5" t="str">
        <f>IF(AI234=1,IF(J234&gt;0,1,0),"")</f>
        <v/>
      </c>
      <c r="AL234" s="5">
        <f>IF(AJ234=1,IF(OR(Q234&gt;0,R234&gt;0),1,0),"")</f>
        <v>0</v>
      </c>
    </row>
    <row r="235" spans="1:38">
      <c r="A235">
        <v>229759</v>
      </c>
      <c r="B235" t="s">
        <v>309</v>
      </c>
      <c r="C235" t="s">
        <v>77</v>
      </c>
      <c r="D235" t="s">
        <v>24</v>
      </c>
      <c r="E235">
        <v>8</v>
      </c>
      <c r="F235">
        <v>1087550</v>
      </c>
      <c r="G235" t="s">
        <v>25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>
        <v>1</v>
      </c>
      <c r="Q235">
        <v>0</v>
      </c>
      <c r="R235">
        <v>0</v>
      </c>
      <c r="S235">
        <v>1</v>
      </c>
      <c r="T235">
        <v>0.91949999999999998</v>
      </c>
      <c r="U235">
        <v>0.125</v>
      </c>
      <c r="V235">
        <v>0</v>
      </c>
      <c r="W235">
        <f>E235/100</f>
        <v>0.08</v>
      </c>
      <c r="X235">
        <f>F235/1000000</f>
        <v>1.08755</v>
      </c>
      <c r="Y235">
        <f>IF(D235="C",1,0)</f>
        <v>0</v>
      </c>
      <c r="Z235">
        <f>IF(G235="C",1,0)</f>
        <v>0</v>
      </c>
      <c r="AA235">
        <f>IF(G235="S",1,0)</f>
        <v>1</v>
      </c>
      <c r="AB235">
        <f>IF(G235="U",1,0)</f>
        <v>0</v>
      </c>
      <c r="AC235" s="5">
        <f>IF(AND(ISNUMBER(H235),NOT(ISNUMBER(P235))),1,0)</f>
        <v>0</v>
      </c>
      <c r="AD235" s="5">
        <f>IF(AND(ISNUMBER(H235),ISNUMBER(P235)),1,0)</f>
        <v>0</v>
      </c>
      <c r="AE235" s="5">
        <f>W235</f>
        <v>0.08</v>
      </c>
      <c r="AF235" s="5">
        <f>X235</f>
        <v>1.08755</v>
      </c>
      <c r="AG235" s="5">
        <f>Y235</f>
        <v>0</v>
      </c>
      <c r="AH235" s="5">
        <f>IF(OR(G235="C",G235="S",G235="U"),1,0)</f>
        <v>1</v>
      </c>
      <c r="AI235" s="5">
        <f>IF(ISNUMBER(H235),1,0)</f>
        <v>0</v>
      </c>
      <c r="AJ235" s="5">
        <f>IF(ISNUMBER(P235),1,0)</f>
        <v>1</v>
      </c>
      <c r="AK235" s="5" t="str">
        <f>IF(AI235=1,IF(J235&gt;0,1,0),"")</f>
        <v/>
      </c>
      <c r="AL235" s="5">
        <f>IF(AJ235=1,IF(OR(Q235&gt;0,R235&gt;0),1,0),"")</f>
        <v>0</v>
      </c>
    </row>
    <row r="236" spans="1:38">
      <c r="A236">
        <v>230324</v>
      </c>
      <c r="B236" t="s">
        <v>310</v>
      </c>
      <c r="C236" t="s">
        <v>37</v>
      </c>
      <c r="D236" t="s">
        <v>24</v>
      </c>
      <c r="E236">
        <v>37</v>
      </c>
      <c r="F236">
        <v>879243</v>
      </c>
      <c r="G236" t="s">
        <v>25</v>
      </c>
      <c r="H236" t="s">
        <v>26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>
        <v>1</v>
      </c>
      <c r="Q236">
        <v>0</v>
      </c>
      <c r="R236">
        <v>1</v>
      </c>
      <c r="S236">
        <v>1</v>
      </c>
      <c r="T236">
        <v>1.1373</v>
      </c>
      <c r="U236">
        <v>2.7E-2</v>
      </c>
      <c r="V236">
        <v>1</v>
      </c>
      <c r="W236">
        <f>E236/100</f>
        <v>0.37</v>
      </c>
      <c r="X236">
        <f>F236/1000000</f>
        <v>0.879243</v>
      </c>
      <c r="Y236">
        <f>IF(D236="C",1,0)</f>
        <v>0</v>
      </c>
      <c r="Z236">
        <f>IF(G236="C",1,0)</f>
        <v>0</v>
      </c>
      <c r="AA236">
        <f>IF(G236="S",1,0)</f>
        <v>1</v>
      </c>
      <c r="AB236">
        <f>IF(G236="U",1,0)</f>
        <v>0</v>
      </c>
      <c r="AC236" s="5">
        <f>IF(AND(ISNUMBER(H236),NOT(ISNUMBER(P236))),1,0)</f>
        <v>0</v>
      </c>
      <c r="AD236" s="5">
        <f>IF(AND(ISNUMBER(H236),ISNUMBER(P236)),1,0)</f>
        <v>0</v>
      </c>
      <c r="AE236" s="5">
        <f>W236</f>
        <v>0.37</v>
      </c>
      <c r="AF236" s="5">
        <f>X236</f>
        <v>0.879243</v>
      </c>
      <c r="AG236" s="5">
        <f>Y236</f>
        <v>0</v>
      </c>
      <c r="AH236" s="5">
        <f>IF(OR(G236="C",G236="S",G236="U"),1,0)</f>
        <v>1</v>
      </c>
      <c r="AI236" s="5">
        <f>IF(ISNUMBER(H236),1,0)</f>
        <v>0</v>
      </c>
      <c r="AJ236" s="5">
        <f>IF(ISNUMBER(P236),1,0)</f>
        <v>1</v>
      </c>
      <c r="AK236" s="5" t="str">
        <f>IF(AI236=1,IF(J236&gt;0,1,0),"")</f>
        <v/>
      </c>
      <c r="AL236" s="5">
        <f>IF(AJ236=1,IF(OR(Q236&gt;0,R236&gt;0),1,0),"")</f>
        <v>1</v>
      </c>
    </row>
    <row r="237" spans="1:38">
      <c r="A237">
        <v>232556</v>
      </c>
      <c r="B237" t="s">
        <v>311</v>
      </c>
      <c r="C237" t="s">
        <v>140</v>
      </c>
      <c r="D237" t="s">
        <v>24</v>
      </c>
      <c r="E237">
        <v>27</v>
      </c>
      <c r="F237">
        <v>3000000</v>
      </c>
      <c r="G237" t="s">
        <v>25</v>
      </c>
      <c r="H237" t="s">
        <v>26</v>
      </c>
      <c r="I237" t="s">
        <v>26</v>
      </c>
      <c r="J237" t="s">
        <v>26</v>
      </c>
      <c r="K237" t="s">
        <v>26</v>
      </c>
      <c r="L237" t="s">
        <v>26</v>
      </c>
      <c r="M237" t="s">
        <v>26</v>
      </c>
      <c r="N237" t="s">
        <v>26</v>
      </c>
      <c r="O237" t="s">
        <v>26</v>
      </c>
      <c r="P237">
        <v>1</v>
      </c>
      <c r="Q237">
        <v>0</v>
      </c>
      <c r="R237">
        <v>1</v>
      </c>
      <c r="S237">
        <v>1</v>
      </c>
      <c r="T237">
        <v>0.33329999999999999</v>
      </c>
      <c r="U237">
        <v>3.6999999999999998E-2</v>
      </c>
      <c r="V237">
        <v>1</v>
      </c>
      <c r="W237">
        <f>E237/100</f>
        <v>0.27</v>
      </c>
      <c r="X237">
        <f>F237/1000000</f>
        <v>3</v>
      </c>
      <c r="Y237">
        <f>IF(D237="C",1,0)</f>
        <v>0</v>
      </c>
      <c r="Z237">
        <f>IF(G237="C",1,0)</f>
        <v>0</v>
      </c>
      <c r="AA237">
        <f>IF(G237="S",1,0)</f>
        <v>1</v>
      </c>
      <c r="AB237">
        <f>IF(G237="U",1,0)</f>
        <v>0</v>
      </c>
      <c r="AC237" s="5">
        <f>IF(AND(ISNUMBER(H237),NOT(ISNUMBER(P237))),1,0)</f>
        <v>0</v>
      </c>
      <c r="AD237" s="5">
        <f>IF(AND(ISNUMBER(H237),ISNUMBER(P237)),1,0)</f>
        <v>0</v>
      </c>
      <c r="AE237" s="5">
        <f>W237</f>
        <v>0.27</v>
      </c>
      <c r="AF237" s="5">
        <f>X237</f>
        <v>3</v>
      </c>
      <c r="AG237" s="5">
        <f>Y237</f>
        <v>0</v>
      </c>
      <c r="AH237" s="5">
        <f>IF(OR(G237="C",G237="S",G237="U"),1,0)</f>
        <v>1</v>
      </c>
      <c r="AI237" s="5">
        <f>IF(ISNUMBER(H237),1,0)</f>
        <v>0</v>
      </c>
      <c r="AJ237" s="5">
        <f>IF(ISNUMBER(P237),1,0)</f>
        <v>1</v>
      </c>
      <c r="AK237" s="5" t="str">
        <f>IF(AI237=1,IF(J237&gt;0,1,0),"")</f>
        <v/>
      </c>
      <c r="AL237" s="5">
        <f>IF(AJ237=1,IF(OR(Q237&gt;0,R237&gt;0),1,0),"")</f>
        <v>1</v>
      </c>
    </row>
    <row r="238" spans="1:38">
      <c r="A238">
        <v>232728</v>
      </c>
      <c r="B238" t="s">
        <v>312</v>
      </c>
      <c r="C238" t="s">
        <v>40</v>
      </c>
      <c r="D238" t="s">
        <v>24</v>
      </c>
      <c r="E238">
        <v>57</v>
      </c>
      <c r="F238">
        <v>2370000</v>
      </c>
      <c r="G238" t="s">
        <v>25</v>
      </c>
      <c r="H238" t="s">
        <v>26</v>
      </c>
      <c r="I238" t="s">
        <v>26</v>
      </c>
      <c r="J238" t="s">
        <v>26</v>
      </c>
      <c r="K238" t="s">
        <v>26</v>
      </c>
      <c r="L238" t="s">
        <v>26</v>
      </c>
      <c r="M238" t="s">
        <v>26</v>
      </c>
      <c r="N238" t="s">
        <v>26</v>
      </c>
      <c r="O238" t="s">
        <v>26</v>
      </c>
      <c r="P238">
        <v>1</v>
      </c>
      <c r="Q238">
        <v>0</v>
      </c>
      <c r="R238">
        <v>1</v>
      </c>
      <c r="S238">
        <v>1</v>
      </c>
      <c r="T238">
        <v>0.4219</v>
      </c>
      <c r="U238">
        <v>1.7500000000000002E-2</v>
      </c>
      <c r="V238">
        <v>1</v>
      </c>
      <c r="W238">
        <f>E238/100</f>
        <v>0.56999999999999995</v>
      </c>
      <c r="X238">
        <f>F238/1000000</f>
        <v>2.37</v>
      </c>
      <c r="Y238">
        <f>IF(D238="C",1,0)</f>
        <v>0</v>
      </c>
      <c r="Z238">
        <f>IF(G238="C",1,0)</f>
        <v>0</v>
      </c>
      <c r="AA238">
        <f>IF(G238="S",1,0)</f>
        <v>1</v>
      </c>
      <c r="AB238">
        <f>IF(G238="U",1,0)</f>
        <v>0</v>
      </c>
      <c r="AC238" s="5">
        <f>IF(AND(ISNUMBER(H238),NOT(ISNUMBER(P238))),1,0)</f>
        <v>0</v>
      </c>
      <c r="AD238" s="5">
        <f>IF(AND(ISNUMBER(H238),ISNUMBER(P238)),1,0)</f>
        <v>0</v>
      </c>
      <c r="AE238" s="5">
        <f>W238</f>
        <v>0.56999999999999995</v>
      </c>
      <c r="AF238" s="5">
        <f>X238</f>
        <v>2.37</v>
      </c>
      <c r="AG238" s="5">
        <f>Y238</f>
        <v>0</v>
      </c>
      <c r="AH238" s="5">
        <f>IF(OR(G238="C",G238="S",G238="U"),1,0)</f>
        <v>1</v>
      </c>
      <c r="AI238" s="5">
        <f>IF(ISNUMBER(H238),1,0)</f>
        <v>0</v>
      </c>
      <c r="AJ238" s="5">
        <f>IF(ISNUMBER(P238),1,0)</f>
        <v>1</v>
      </c>
      <c r="AK238" s="5" t="str">
        <f>IF(AI238=1,IF(J238&gt;0,1,0),"")</f>
        <v/>
      </c>
      <c r="AL238" s="5">
        <f>IF(AJ238=1,IF(OR(Q238&gt;0,R238&gt;0),1,0),"")</f>
        <v>1</v>
      </c>
    </row>
    <row r="239" spans="1:38">
      <c r="A239">
        <v>240338</v>
      </c>
      <c r="B239" t="s">
        <v>318</v>
      </c>
      <c r="C239" t="s">
        <v>23</v>
      </c>
      <c r="D239" t="s">
        <v>24</v>
      </c>
      <c r="E239">
        <v>6</v>
      </c>
      <c r="F239">
        <v>234181</v>
      </c>
      <c r="G239" t="s">
        <v>25</v>
      </c>
      <c r="H239" t="s">
        <v>26</v>
      </c>
      <c r="I239" t="s">
        <v>26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>
        <v>1</v>
      </c>
      <c r="Q239">
        <v>0</v>
      </c>
      <c r="R239">
        <v>1</v>
      </c>
      <c r="S239">
        <v>1</v>
      </c>
      <c r="T239">
        <v>4.2702</v>
      </c>
      <c r="U239">
        <v>0.16669999999999999</v>
      </c>
      <c r="V239">
        <v>1</v>
      </c>
      <c r="W239">
        <f>E239/100</f>
        <v>0.06</v>
      </c>
      <c r="X239">
        <f>F239/1000000</f>
        <v>0.234181</v>
      </c>
      <c r="Y239">
        <f>IF(D239="C",1,0)</f>
        <v>0</v>
      </c>
      <c r="Z239">
        <f>IF(G239="C",1,0)</f>
        <v>0</v>
      </c>
      <c r="AA239">
        <f>IF(G239="S",1,0)</f>
        <v>1</v>
      </c>
      <c r="AB239">
        <f>IF(G239="U",1,0)</f>
        <v>0</v>
      </c>
      <c r="AC239" s="5">
        <f>IF(AND(ISNUMBER(H239),NOT(ISNUMBER(P239))),1,0)</f>
        <v>0</v>
      </c>
      <c r="AD239" s="5">
        <f>IF(AND(ISNUMBER(H239),ISNUMBER(P239)),1,0)</f>
        <v>0</v>
      </c>
      <c r="AE239" s="5">
        <f>W239</f>
        <v>0.06</v>
      </c>
      <c r="AF239" s="5">
        <f>X239</f>
        <v>0.234181</v>
      </c>
      <c r="AG239" s="5">
        <f>Y239</f>
        <v>0</v>
      </c>
      <c r="AH239" s="5">
        <f>IF(OR(G239="C",G239="S",G239="U"),1,0)</f>
        <v>1</v>
      </c>
      <c r="AI239" s="5">
        <f>IF(ISNUMBER(H239),1,0)</f>
        <v>0</v>
      </c>
      <c r="AJ239" s="5">
        <f>IF(ISNUMBER(P239),1,0)</f>
        <v>1</v>
      </c>
      <c r="AK239" s="5" t="str">
        <f>IF(AI239=1,IF(J239&gt;0,1,0),"")</f>
        <v/>
      </c>
      <c r="AL239" s="5">
        <f>IF(AJ239=1,IF(OR(Q239&gt;0,R239&gt;0),1,0),"")</f>
        <v>1</v>
      </c>
    </row>
    <row r="240" spans="1:38">
      <c r="A240">
        <v>240602</v>
      </c>
      <c r="B240" t="s">
        <v>319</v>
      </c>
      <c r="C240" t="s">
        <v>23</v>
      </c>
      <c r="D240" t="s">
        <v>24</v>
      </c>
      <c r="E240">
        <v>8</v>
      </c>
      <c r="F240">
        <v>345096</v>
      </c>
      <c r="G240" t="s">
        <v>33</v>
      </c>
      <c r="H240" t="s">
        <v>26</v>
      </c>
      <c r="I240" t="s">
        <v>26</v>
      </c>
      <c r="J240" t="s">
        <v>26</v>
      </c>
      <c r="K240" t="s">
        <v>26</v>
      </c>
      <c r="L240" t="s">
        <v>26</v>
      </c>
      <c r="M240" t="s">
        <v>26</v>
      </c>
      <c r="N240" t="s">
        <v>26</v>
      </c>
      <c r="O240" t="s">
        <v>26</v>
      </c>
      <c r="P240">
        <v>1</v>
      </c>
      <c r="Q240">
        <v>0</v>
      </c>
      <c r="R240">
        <v>0</v>
      </c>
      <c r="S240">
        <v>1</v>
      </c>
      <c r="T240">
        <v>2.8976999999999999</v>
      </c>
      <c r="U240">
        <v>0.125</v>
      </c>
      <c r="V240">
        <v>0</v>
      </c>
      <c r="W240">
        <f>E240/100</f>
        <v>0.08</v>
      </c>
      <c r="X240">
        <f>F240/1000000</f>
        <v>0.34509600000000001</v>
      </c>
      <c r="Y240">
        <f>IF(D240="C",1,0)</f>
        <v>0</v>
      </c>
      <c r="Z240">
        <f>IF(G240="C",1,0)</f>
        <v>1</v>
      </c>
      <c r="AA240">
        <f>IF(G240="S",1,0)</f>
        <v>0</v>
      </c>
      <c r="AB240">
        <f>IF(G240="U",1,0)</f>
        <v>0</v>
      </c>
      <c r="AC240" s="5">
        <f>IF(AND(ISNUMBER(H240),NOT(ISNUMBER(P240))),1,0)</f>
        <v>0</v>
      </c>
      <c r="AD240" s="5">
        <f>IF(AND(ISNUMBER(H240),ISNUMBER(P240)),1,0)</f>
        <v>0</v>
      </c>
      <c r="AE240" s="5">
        <f>W240</f>
        <v>0.08</v>
      </c>
      <c r="AF240" s="5">
        <f>X240</f>
        <v>0.34509600000000001</v>
      </c>
      <c r="AG240" s="5">
        <f>Y240</f>
        <v>0</v>
      </c>
      <c r="AH240" s="5">
        <f>IF(OR(G240="C",G240="S",G240="U"),1,0)</f>
        <v>1</v>
      </c>
      <c r="AI240" s="5">
        <f>IF(ISNUMBER(H240),1,0)</f>
        <v>0</v>
      </c>
      <c r="AJ240" s="5">
        <f>IF(ISNUMBER(P240),1,0)</f>
        <v>1</v>
      </c>
      <c r="AK240" s="5" t="str">
        <f>IF(AI240=1,IF(J240&gt;0,1,0),"")</f>
        <v/>
      </c>
      <c r="AL240" s="5">
        <f>IF(AJ240=1,IF(OR(Q240&gt;0,R240&gt;0),1,0),"")</f>
        <v>0</v>
      </c>
    </row>
    <row r="241" spans="1:38">
      <c r="A241">
        <v>241234</v>
      </c>
      <c r="B241" t="s">
        <v>320</v>
      </c>
      <c r="C241" t="s">
        <v>23</v>
      </c>
      <c r="D241" t="s">
        <v>24</v>
      </c>
      <c r="E241">
        <v>2</v>
      </c>
      <c r="F241">
        <v>2125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>
        <v>1</v>
      </c>
      <c r="Q241">
        <v>0</v>
      </c>
      <c r="R241">
        <v>1</v>
      </c>
      <c r="S241">
        <v>1</v>
      </c>
      <c r="T241">
        <v>470.58819999999997</v>
      </c>
      <c r="U241">
        <v>0.5</v>
      </c>
      <c r="V241">
        <v>1</v>
      </c>
      <c r="W241">
        <f>E241/100</f>
        <v>0.02</v>
      </c>
      <c r="X241">
        <f>F241/1000000</f>
        <v>2.1250000000000002E-3</v>
      </c>
      <c r="Y241">
        <f>IF(D241="C",1,0)</f>
        <v>0</v>
      </c>
      <c r="Z241">
        <f>IF(G241="C",1,0)</f>
        <v>0</v>
      </c>
      <c r="AA241">
        <f>IF(G241="S",1,0)</f>
        <v>0</v>
      </c>
      <c r="AB241">
        <f>IF(G241="U",1,0)</f>
        <v>0</v>
      </c>
      <c r="AC241" s="5">
        <f>IF(AND(ISNUMBER(H241),NOT(ISNUMBER(P241))),1,0)</f>
        <v>0</v>
      </c>
      <c r="AD241" s="5">
        <f>IF(AND(ISNUMBER(H241),ISNUMBER(P241)),1,0)</f>
        <v>0</v>
      </c>
      <c r="AE241" s="5">
        <f>W241</f>
        <v>0.02</v>
      </c>
      <c r="AF241" s="5">
        <f>X241</f>
        <v>2.1250000000000002E-3</v>
      </c>
      <c r="AG241" s="5">
        <f>Y241</f>
        <v>0</v>
      </c>
      <c r="AH241" s="5">
        <f>IF(OR(G241="C",G241="S",G241="U"),1,0)</f>
        <v>0</v>
      </c>
      <c r="AI241" s="5">
        <f>IF(ISNUMBER(H241),1,0)</f>
        <v>0</v>
      </c>
      <c r="AJ241" s="5">
        <f>IF(ISNUMBER(P241),1,0)</f>
        <v>1</v>
      </c>
      <c r="AK241" s="5" t="str">
        <f>IF(AI241=1,IF(J241&gt;0,1,0),"")</f>
        <v/>
      </c>
      <c r="AL241" s="5">
        <f>IF(AJ241=1,IF(OR(Q241&gt;0,R241&gt;0),1,0),"")</f>
        <v>1</v>
      </c>
    </row>
    <row r="242" spans="1:38">
      <c r="A242">
        <v>243057</v>
      </c>
      <c r="B242" t="s">
        <v>321</v>
      </c>
      <c r="C242" t="s">
        <v>23</v>
      </c>
      <c r="D242" t="s">
        <v>24</v>
      </c>
      <c r="E242">
        <v>45</v>
      </c>
      <c r="F242">
        <v>4000000</v>
      </c>
      <c r="G242" t="s">
        <v>25</v>
      </c>
      <c r="H242" t="s">
        <v>26</v>
      </c>
      <c r="I242" t="s">
        <v>26</v>
      </c>
      <c r="J242" t="s">
        <v>26</v>
      </c>
      <c r="K242" t="s">
        <v>26</v>
      </c>
      <c r="L242" t="s">
        <v>26</v>
      </c>
      <c r="M242" t="s">
        <v>26</v>
      </c>
      <c r="N242" t="s">
        <v>26</v>
      </c>
      <c r="O242" t="s">
        <v>26</v>
      </c>
      <c r="P242">
        <v>1</v>
      </c>
      <c r="Q242">
        <v>0</v>
      </c>
      <c r="R242">
        <v>0</v>
      </c>
      <c r="S242">
        <v>1</v>
      </c>
      <c r="T242">
        <v>0.25</v>
      </c>
      <c r="U242">
        <v>2.2200000000000001E-2</v>
      </c>
      <c r="V242">
        <v>0</v>
      </c>
      <c r="W242">
        <f>E242/100</f>
        <v>0.45</v>
      </c>
      <c r="X242">
        <f>F242/1000000</f>
        <v>4</v>
      </c>
      <c r="Y242">
        <f>IF(D242="C",1,0)</f>
        <v>0</v>
      </c>
      <c r="Z242">
        <f>IF(G242="C",1,0)</f>
        <v>0</v>
      </c>
      <c r="AA242">
        <f>IF(G242="S",1,0)</f>
        <v>1</v>
      </c>
      <c r="AB242">
        <f>IF(G242="U",1,0)</f>
        <v>0</v>
      </c>
      <c r="AC242" s="5">
        <f>IF(AND(ISNUMBER(H242),NOT(ISNUMBER(P242))),1,0)</f>
        <v>0</v>
      </c>
      <c r="AD242" s="5">
        <f>IF(AND(ISNUMBER(H242),ISNUMBER(P242)),1,0)</f>
        <v>0</v>
      </c>
      <c r="AE242" s="5">
        <f>W242</f>
        <v>0.45</v>
      </c>
      <c r="AF242" s="5">
        <f>X242</f>
        <v>4</v>
      </c>
      <c r="AG242" s="5">
        <f>Y242</f>
        <v>0</v>
      </c>
      <c r="AH242" s="5">
        <f>IF(OR(G242="C",G242="S",G242="U"),1,0)</f>
        <v>1</v>
      </c>
      <c r="AI242" s="5">
        <f>IF(ISNUMBER(H242),1,0)</f>
        <v>0</v>
      </c>
      <c r="AJ242" s="5">
        <f>IF(ISNUMBER(P242),1,0)</f>
        <v>1</v>
      </c>
      <c r="AK242" s="5" t="str">
        <f>IF(AI242=1,IF(J242&gt;0,1,0),"")</f>
        <v/>
      </c>
      <c r="AL242" s="5">
        <f>IF(AJ242=1,IF(OR(Q242&gt;0,R242&gt;0),1,0),"")</f>
        <v>0</v>
      </c>
    </row>
    <row r="243" spans="1:38">
      <c r="A243">
        <v>243207</v>
      </c>
      <c r="B243" t="s">
        <v>322</v>
      </c>
      <c r="C243" t="s">
        <v>135</v>
      </c>
      <c r="D243" t="s">
        <v>24</v>
      </c>
      <c r="E243">
        <v>1</v>
      </c>
      <c r="F243">
        <v>32000</v>
      </c>
      <c r="G243" t="s">
        <v>25</v>
      </c>
      <c r="H243" t="s">
        <v>26</v>
      </c>
      <c r="I243" t="s">
        <v>26</v>
      </c>
      <c r="J243" t="s">
        <v>26</v>
      </c>
      <c r="K243" t="s">
        <v>26</v>
      </c>
      <c r="L243" t="s">
        <v>26</v>
      </c>
      <c r="M243" t="s">
        <v>26</v>
      </c>
      <c r="N243" t="s">
        <v>26</v>
      </c>
      <c r="O243" t="s">
        <v>26</v>
      </c>
      <c r="P243">
        <v>1</v>
      </c>
      <c r="Q243">
        <v>0</v>
      </c>
      <c r="R243">
        <v>1</v>
      </c>
      <c r="S243">
        <v>1</v>
      </c>
      <c r="T243">
        <v>31.25</v>
      </c>
      <c r="U243">
        <v>1</v>
      </c>
      <c r="V243">
        <v>1</v>
      </c>
      <c r="W243">
        <f>E243/100</f>
        <v>0.01</v>
      </c>
      <c r="X243">
        <f>F243/1000000</f>
        <v>3.2000000000000001E-2</v>
      </c>
      <c r="Y243">
        <f>IF(D243="C",1,0)</f>
        <v>0</v>
      </c>
      <c r="Z243">
        <f>IF(G243="C",1,0)</f>
        <v>0</v>
      </c>
      <c r="AA243">
        <f>IF(G243="S",1,0)</f>
        <v>1</v>
      </c>
      <c r="AB243">
        <f>IF(G243="U",1,0)</f>
        <v>0</v>
      </c>
      <c r="AC243" s="5">
        <f>IF(AND(ISNUMBER(H243),NOT(ISNUMBER(P243))),1,0)</f>
        <v>0</v>
      </c>
      <c r="AD243" s="5">
        <f>IF(AND(ISNUMBER(H243),ISNUMBER(P243)),1,0)</f>
        <v>0</v>
      </c>
      <c r="AE243" s="5">
        <f>W243</f>
        <v>0.01</v>
      </c>
      <c r="AF243" s="5">
        <f>X243</f>
        <v>3.2000000000000001E-2</v>
      </c>
      <c r="AG243" s="5">
        <f>Y243</f>
        <v>0</v>
      </c>
      <c r="AH243" s="5">
        <f>IF(OR(G243="C",G243="S",G243="U"),1,0)</f>
        <v>1</v>
      </c>
      <c r="AI243" s="5">
        <f>IF(ISNUMBER(H243),1,0)</f>
        <v>0</v>
      </c>
      <c r="AJ243" s="5">
        <f>IF(ISNUMBER(P243),1,0)</f>
        <v>1</v>
      </c>
      <c r="AK243" s="5" t="str">
        <f>IF(AI243=1,IF(J243&gt;0,1,0),"")</f>
        <v/>
      </c>
      <c r="AL243" s="5">
        <f>IF(AJ243=1,IF(OR(Q243&gt;0,R243&gt;0),1,0),"")</f>
        <v>1</v>
      </c>
    </row>
    <row r="244" spans="1:38">
      <c r="A244">
        <v>243283</v>
      </c>
      <c r="B244" t="s">
        <v>323</v>
      </c>
      <c r="C244" t="s">
        <v>23</v>
      </c>
      <c r="D244" t="s">
        <v>24</v>
      </c>
      <c r="E244">
        <v>2</v>
      </c>
      <c r="F244">
        <v>50500</v>
      </c>
      <c r="G244" t="s">
        <v>25</v>
      </c>
      <c r="H244" t="s">
        <v>26</v>
      </c>
      <c r="I244" t="s">
        <v>26</v>
      </c>
      <c r="J244" t="s">
        <v>26</v>
      </c>
      <c r="K244" t="s">
        <v>26</v>
      </c>
      <c r="L244" t="s">
        <v>26</v>
      </c>
      <c r="M244" t="s">
        <v>26</v>
      </c>
      <c r="N244" t="s">
        <v>26</v>
      </c>
      <c r="O244" t="s">
        <v>26</v>
      </c>
      <c r="P244">
        <v>1</v>
      </c>
      <c r="Q244">
        <v>0</v>
      </c>
      <c r="R244">
        <v>0</v>
      </c>
      <c r="S244">
        <v>1</v>
      </c>
      <c r="T244">
        <v>19.802</v>
      </c>
      <c r="U244">
        <v>0.5</v>
      </c>
      <c r="V244">
        <v>0</v>
      </c>
      <c r="W244">
        <f>E244/100</f>
        <v>0.02</v>
      </c>
      <c r="X244">
        <f>F244/1000000</f>
        <v>5.0500000000000003E-2</v>
      </c>
      <c r="Y244">
        <f>IF(D244="C",1,0)</f>
        <v>0</v>
      </c>
      <c r="Z244">
        <f>IF(G244="C",1,0)</f>
        <v>0</v>
      </c>
      <c r="AA244">
        <f>IF(G244="S",1,0)</f>
        <v>1</v>
      </c>
      <c r="AB244">
        <f>IF(G244="U",1,0)</f>
        <v>0</v>
      </c>
      <c r="AC244" s="5">
        <f>IF(AND(ISNUMBER(H244),NOT(ISNUMBER(P244))),1,0)</f>
        <v>0</v>
      </c>
      <c r="AD244" s="5">
        <f>IF(AND(ISNUMBER(H244),ISNUMBER(P244)),1,0)</f>
        <v>0</v>
      </c>
      <c r="AE244" s="5">
        <f>W244</f>
        <v>0.02</v>
      </c>
      <c r="AF244" s="5">
        <f>X244</f>
        <v>5.0500000000000003E-2</v>
      </c>
      <c r="AG244" s="5">
        <f>Y244</f>
        <v>0</v>
      </c>
      <c r="AH244" s="5">
        <f>IF(OR(G244="C",G244="S",G244="U"),1,0)</f>
        <v>1</v>
      </c>
      <c r="AI244" s="5">
        <f>IF(ISNUMBER(H244),1,0)</f>
        <v>0</v>
      </c>
      <c r="AJ244" s="5">
        <f>IF(ISNUMBER(P244),1,0)</f>
        <v>1</v>
      </c>
      <c r="AK244" s="5" t="str">
        <f>IF(AI244=1,IF(J244&gt;0,1,0),"")</f>
        <v/>
      </c>
      <c r="AL244" s="5">
        <f>IF(AJ244=1,IF(OR(Q244&gt;0,R244&gt;0),1,0),"")</f>
        <v>0</v>
      </c>
    </row>
    <row r="245" spans="1:38">
      <c r="A245">
        <v>243507</v>
      </c>
      <c r="B245" t="s">
        <v>324</v>
      </c>
      <c r="C245" t="s">
        <v>23</v>
      </c>
      <c r="D245" t="s">
        <v>24</v>
      </c>
      <c r="E245">
        <v>40</v>
      </c>
      <c r="F245">
        <v>1031507</v>
      </c>
      <c r="G245" t="s">
        <v>25</v>
      </c>
      <c r="H245" t="s">
        <v>26</v>
      </c>
      <c r="I245" t="s">
        <v>26</v>
      </c>
      <c r="J245" t="s">
        <v>26</v>
      </c>
      <c r="K245" t="s">
        <v>26</v>
      </c>
      <c r="L245" t="s">
        <v>26</v>
      </c>
      <c r="M245" t="s">
        <v>26</v>
      </c>
      <c r="N245" t="s">
        <v>26</v>
      </c>
      <c r="O245" t="s">
        <v>26</v>
      </c>
      <c r="P245">
        <v>2</v>
      </c>
      <c r="Q245">
        <v>0</v>
      </c>
      <c r="R245">
        <v>1</v>
      </c>
      <c r="S245">
        <v>2</v>
      </c>
      <c r="T245">
        <v>1.9389000000000001</v>
      </c>
      <c r="U245">
        <v>0.05</v>
      </c>
      <c r="V245">
        <v>1</v>
      </c>
      <c r="W245">
        <f>E245/100</f>
        <v>0.4</v>
      </c>
      <c r="X245">
        <f>F245/1000000</f>
        <v>1.031507</v>
      </c>
      <c r="Y245">
        <f>IF(D245="C",1,0)</f>
        <v>0</v>
      </c>
      <c r="Z245">
        <f>IF(G245="C",1,0)</f>
        <v>0</v>
      </c>
      <c r="AA245">
        <f>IF(G245="S",1,0)</f>
        <v>1</v>
      </c>
      <c r="AB245">
        <f>IF(G245="U",1,0)</f>
        <v>0</v>
      </c>
      <c r="AC245" s="5">
        <f>IF(AND(ISNUMBER(H245),NOT(ISNUMBER(P245))),1,0)</f>
        <v>0</v>
      </c>
      <c r="AD245" s="5">
        <f>IF(AND(ISNUMBER(H245),ISNUMBER(P245)),1,0)</f>
        <v>0</v>
      </c>
      <c r="AE245" s="5">
        <f>W245</f>
        <v>0.4</v>
      </c>
      <c r="AF245" s="5">
        <f>X245</f>
        <v>1.031507</v>
      </c>
      <c r="AG245" s="5">
        <f>Y245</f>
        <v>0</v>
      </c>
      <c r="AH245" s="5">
        <f>IF(OR(G245="C",G245="S",G245="U"),1,0)</f>
        <v>1</v>
      </c>
      <c r="AI245" s="5">
        <f>IF(ISNUMBER(H245),1,0)</f>
        <v>0</v>
      </c>
      <c r="AJ245" s="5">
        <f>IF(ISNUMBER(P245),1,0)</f>
        <v>1</v>
      </c>
      <c r="AK245" s="5" t="str">
        <f>IF(AI245=1,IF(J245&gt;0,1,0),"")</f>
        <v/>
      </c>
      <c r="AL245" s="5">
        <f>IF(AJ245=1,IF(OR(Q245&gt;0,R245&gt;0),1,0),"")</f>
        <v>1</v>
      </c>
    </row>
    <row r="246" spans="1:38">
      <c r="A246">
        <v>243515</v>
      </c>
      <c r="B246" t="s">
        <v>325</v>
      </c>
      <c r="C246" t="s">
        <v>23</v>
      </c>
      <c r="D246" t="s">
        <v>24</v>
      </c>
      <c r="E246">
        <v>1</v>
      </c>
      <c r="F246">
        <v>13739</v>
      </c>
      <c r="G246" t="s">
        <v>25</v>
      </c>
      <c r="H246" t="s">
        <v>26</v>
      </c>
      <c r="I246" t="s">
        <v>26</v>
      </c>
      <c r="J246" t="s">
        <v>26</v>
      </c>
      <c r="K246" t="s">
        <v>26</v>
      </c>
      <c r="L246" t="s">
        <v>26</v>
      </c>
      <c r="M246" t="s">
        <v>26</v>
      </c>
      <c r="N246" t="s">
        <v>26</v>
      </c>
      <c r="O246" t="s">
        <v>26</v>
      </c>
      <c r="P246">
        <v>1</v>
      </c>
      <c r="Q246">
        <v>0</v>
      </c>
      <c r="R246">
        <v>1</v>
      </c>
      <c r="S246">
        <v>0</v>
      </c>
      <c r="T246">
        <v>72.785499999999999</v>
      </c>
      <c r="U246">
        <v>1</v>
      </c>
      <c r="V246">
        <v>1</v>
      </c>
      <c r="W246">
        <f>E246/100</f>
        <v>0.01</v>
      </c>
      <c r="X246">
        <f>F246/1000000</f>
        <v>1.3738999999999999E-2</v>
      </c>
      <c r="Y246">
        <f>IF(D246="C",1,0)</f>
        <v>0</v>
      </c>
      <c r="Z246">
        <f>IF(G246="C",1,0)</f>
        <v>0</v>
      </c>
      <c r="AA246">
        <f>IF(G246="S",1,0)</f>
        <v>1</v>
      </c>
      <c r="AB246">
        <f>IF(G246="U",1,0)</f>
        <v>0</v>
      </c>
      <c r="AC246" s="5">
        <f>IF(AND(ISNUMBER(H246),NOT(ISNUMBER(P246))),1,0)</f>
        <v>0</v>
      </c>
      <c r="AD246" s="5">
        <f>IF(AND(ISNUMBER(H246),ISNUMBER(P246)),1,0)</f>
        <v>0</v>
      </c>
      <c r="AE246" s="5">
        <f>W246</f>
        <v>0.01</v>
      </c>
      <c r="AF246" s="5">
        <f>X246</f>
        <v>1.3738999999999999E-2</v>
      </c>
      <c r="AG246" s="5">
        <f>Y246</f>
        <v>0</v>
      </c>
      <c r="AH246" s="5">
        <f>IF(OR(G246="C",G246="S",G246="U"),1,0)</f>
        <v>1</v>
      </c>
      <c r="AI246" s="5">
        <f>IF(ISNUMBER(H246),1,0)</f>
        <v>0</v>
      </c>
      <c r="AJ246" s="5">
        <f>IF(ISNUMBER(P246),1,0)</f>
        <v>1</v>
      </c>
      <c r="AK246" s="5" t="str">
        <f>IF(AI246=1,IF(J246&gt;0,1,0),"")</f>
        <v/>
      </c>
      <c r="AL246" s="5">
        <f>IF(AJ246=1,IF(OR(Q246&gt;0,R246&gt;0),1,0),"")</f>
        <v>1</v>
      </c>
    </row>
    <row r="247" spans="1:38">
      <c r="A247">
        <v>243834</v>
      </c>
      <c r="B247" t="s">
        <v>326</v>
      </c>
      <c r="C247" t="s">
        <v>327</v>
      </c>
      <c r="D247" t="s">
        <v>24</v>
      </c>
      <c r="E247">
        <v>12</v>
      </c>
      <c r="F247">
        <v>847915</v>
      </c>
      <c r="G247" t="s">
        <v>25</v>
      </c>
      <c r="H247" t="s">
        <v>26</v>
      </c>
      <c r="I247" t="s">
        <v>26</v>
      </c>
      <c r="J247" t="s">
        <v>26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>
        <v>1</v>
      </c>
      <c r="Q247">
        <v>0</v>
      </c>
      <c r="R247">
        <v>0</v>
      </c>
      <c r="S247">
        <v>1</v>
      </c>
      <c r="T247">
        <v>1.1794</v>
      </c>
      <c r="U247">
        <v>8.3299999999999999E-2</v>
      </c>
      <c r="V247">
        <v>0</v>
      </c>
      <c r="W247">
        <f>E247/100</f>
        <v>0.12</v>
      </c>
      <c r="X247">
        <f>F247/1000000</f>
        <v>0.84791499999999997</v>
      </c>
      <c r="Y247">
        <f>IF(D247="C",1,0)</f>
        <v>0</v>
      </c>
      <c r="Z247">
        <f>IF(G247="C",1,0)</f>
        <v>0</v>
      </c>
      <c r="AA247">
        <f>IF(G247="S",1,0)</f>
        <v>1</v>
      </c>
      <c r="AB247">
        <f>IF(G247="U",1,0)</f>
        <v>0</v>
      </c>
      <c r="AC247" s="5">
        <f>IF(AND(ISNUMBER(H247),NOT(ISNUMBER(P247))),1,0)</f>
        <v>0</v>
      </c>
      <c r="AD247" s="5">
        <f>IF(AND(ISNUMBER(H247),ISNUMBER(P247)),1,0)</f>
        <v>0</v>
      </c>
      <c r="AE247" s="5">
        <f>W247</f>
        <v>0.12</v>
      </c>
      <c r="AF247" s="5">
        <f>X247</f>
        <v>0.84791499999999997</v>
      </c>
      <c r="AG247" s="5">
        <f>Y247</f>
        <v>0</v>
      </c>
      <c r="AH247" s="5">
        <f>IF(OR(G247="C",G247="S",G247="U"),1,0)</f>
        <v>1</v>
      </c>
      <c r="AI247" s="5">
        <f>IF(ISNUMBER(H247),1,0)</f>
        <v>0</v>
      </c>
      <c r="AJ247" s="5">
        <f>IF(ISNUMBER(P247),1,0)</f>
        <v>1</v>
      </c>
      <c r="AK247" s="5" t="str">
        <f>IF(AI247=1,IF(J247&gt;0,1,0),"")</f>
        <v/>
      </c>
      <c r="AL247" s="5">
        <f>IF(AJ247=1,IF(OR(Q247&gt;0,R247&gt;0),1,0),"")</f>
        <v>0</v>
      </c>
    </row>
    <row r="248" spans="1:38">
      <c r="A248">
        <v>244330</v>
      </c>
      <c r="B248" t="s">
        <v>329</v>
      </c>
      <c r="C248" t="s">
        <v>330</v>
      </c>
      <c r="D248" t="s">
        <v>24</v>
      </c>
      <c r="E248">
        <v>8</v>
      </c>
      <c r="F248">
        <v>170000</v>
      </c>
      <c r="G248" t="s">
        <v>33</v>
      </c>
      <c r="H248" t="s">
        <v>26</v>
      </c>
      <c r="I248" t="s">
        <v>26</v>
      </c>
      <c r="J248" t="s">
        <v>26</v>
      </c>
      <c r="K248" t="s">
        <v>26</v>
      </c>
      <c r="L248" t="s">
        <v>26</v>
      </c>
      <c r="M248" t="s">
        <v>26</v>
      </c>
      <c r="N248" t="s">
        <v>26</v>
      </c>
      <c r="O248" t="s">
        <v>26</v>
      </c>
      <c r="P248">
        <v>1</v>
      </c>
      <c r="Q248">
        <v>0</v>
      </c>
      <c r="R248">
        <v>0</v>
      </c>
      <c r="S248">
        <v>1</v>
      </c>
      <c r="T248">
        <v>5.8823999999999996</v>
      </c>
      <c r="U248">
        <v>0.125</v>
      </c>
      <c r="V248">
        <v>0</v>
      </c>
      <c r="W248">
        <f>E248/100</f>
        <v>0.08</v>
      </c>
      <c r="X248">
        <f>F248/1000000</f>
        <v>0.17</v>
      </c>
      <c r="Y248">
        <f>IF(D248="C",1,0)</f>
        <v>0</v>
      </c>
      <c r="Z248">
        <f>IF(G248="C",1,0)</f>
        <v>1</v>
      </c>
      <c r="AA248">
        <f>IF(G248="S",1,0)</f>
        <v>0</v>
      </c>
      <c r="AB248">
        <f>IF(G248="U",1,0)</f>
        <v>0</v>
      </c>
      <c r="AC248" s="5">
        <f>IF(AND(ISNUMBER(H248),NOT(ISNUMBER(P248))),1,0)</f>
        <v>0</v>
      </c>
      <c r="AD248" s="5">
        <f>IF(AND(ISNUMBER(H248),ISNUMBER(P248)),1,0)</f>
        <v>0</v>
      </c>
      <c r="AE248" s="5">
        <f>W248</f>
        <v>0.08</v>
      </c>
      <c r="AF248" s="5">
        <f>X248</f>
        <v>0.17</v>
      </c>
      <c r="AG248" s="5">
        <f>Y248</f>
        <v>0</v>
      </c>
      <c r="AH248" s="5">
        <f>IF(OR(G248="C",G248="S",G248="U"),1,0)</f>
        <v>1</v>
      </c>
      <c r="AI248" s="5">
        <f>IF(ISNUMBER(H248),1,0)</f>
        <v>0</v>
      </c>
      <c r="AJ248" s="5">
        <f>IF(ISNUMBER(P248),1,0)</f>
        <v>1</v>
      </c>
      <c r="AK248" s="5" t="str">
        <f>IF(AI248=1,IF(J248&gt;0,1,0),"")</f>
        <v/>
      </c>
      <c r="AL248" s="5">
        <f>IF(AJ248=1,IF(OR(Q248&gt;0,R248&gt;0),1,0),"")</f>
        <v>0</v>
      </c>
    </row>
    <row r="249" spans="1:38">
      <c r="A249">
        <v>245051</v>
      </c>
      <c r="B249" t="s">
        <v>331</v>
      </c>
      <c r="C249" t="s">
        <v>125</v>
      </c>
      <c r="D249" t="s">
        <v>24</v>
      </c>
      <c r="E249">
        <v>4</v>
      </c>
      <c r="F249">
        <v>260000</v>
      </c>
      <c r="G249" t="s">
        <v>25</v>
      </c>
      <c r="H249" t="s">
        <v>26</v>
      </c>
      <c r="I249" t="s">
        <v>26</v>
      </c>
      <c r="J249" t="s">
        <v>26</v>
      </c>
      <c r="K249" t="s">
        <v>26</v>
      </c>
      <c r="L249" t="s">
        <v>26</v>
      </c>
      <c r="M249" t="s">
        <v>26</v>
      </c>
      <c r="N249" t="s">
        <v>26</v>
      </c>
      <c r="O249" t="s">
        <v>26</v>
      </c>
      <c r="P249">
        <v>1</v>
      </c>
      <c r="Q249">
        <v>0</v>
      </c>
      <c r="R249">
        <v>0</v>
      </c>
      <c r="S249">
        <v>1</v>
      </c>
      <c r="T249">
        <v>3.8462000000000001</v>
      </c>
      <c r="U249">
        <v>0.25</v>
      </c>
      <c r="V249">
        <v>0</v>
      </c>
      <c r="W249">
        <f>E249/100</f>
        <v>0.04</v>
      </c>
      <c r="X249">
        <f>F249/1000000</f>
        <v>0.26</v>
      </c>
      <c r="Y249">
        <f>IF(D249="C",1,0)</f>
        <v>0</v>
      </c>
      <c r="Z249">
        <f>IF(G249="C",1,0)</f>
        <v>0</v>
      </c>
      <c r="AA249">
        <f>IF(G249="S",1,0)</f>
        <v>1</v>
      </c>
      <c r="AB249">
        <f>IF(G249="U",1,0)</f>
        <v>0</v>
      </c>
      <c r="AC249" s="5">
        <f>IF(AND(ISNUMBER(H249),NOT(ISNUMBER(P249))),1,0)</f>
        <v>0</v>
      </c>
      <c r="AD249" s="5">
        <f>IF(AND(ISNUMBER(H249),ISNUMBER(P249)),1,0)</f>
        <v>0</v>
      </c>
      <c r="AE249" s="5">
        <f>W249</f>
        <v>0.04</v>
      </c>
      <c r="AF249" s="5">
        <f>X249</f>
        <v>0.26</v>
      </c>
      <c r="AG249" s="5">
        <f>Y249</f>
        <v>0</v>
      </c>
      <c r="AH249" s="5">
        <f>IF(OR(G249="C",G249="S",G249="U"),1,0)</f>
        <v>1</v>
      </c>
      <c r="AI249" s="5">
        <f>IF(ISNUMBER(H249),1,0)</f>
        <v>0</v>
      </c>
      <c r="AJ249" s="5">
        <f>IF(ISNUMBER(P249),1,0)</f>
        <v>1</v>
      </c>
      <c r="AK249" s="5" t="str">
        <f>IF(AI249=1,IF(J249&gt;0,1,0),"")</f>
        <v/>
      </c>
      <c r="AL249" s="5">
        <f>IF(AJ249=1,IF(OR(Q249&gt;0,R249&gt;0),1,0),"")</f>
        <v>0</v>
      </c>
    </row>
    <row r="250" spans="1:38">
      <c r="A250">
        <v>246079</v>
      </c>
      <c r="B250" t="s">
        <v>332</v>
      </c>
      <c r="C250" t="s">
        <v>23</v>
      </c>
      <c r="D250" t="s">
        <v>24</v>
      </c>
      <c r="E250">
        <v>44</v>
      </c>
      <c r="F250">
        <v>2031739</v>
      </c>
      <c r="G250" t="s">
        <v>25</v>
      </c>
      <c r="H250" t="s">
        <v>26</v>
      </c>
      <c r="I250" t="s">
        <v>26</v>
      </c>
      <c r="J250" t="s">
        <v>26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>
        <v>1</v>
      </c>
      <c r="Q250">
        <v>0</v>
      </c>
      <c r="R250">
        <v>0</v>
      </c>
      <c r="S250">
        <v>1</v>
      </c>
      <c r="T250">
        <v>0.49220000000000003</v>
      </c>
      <c r="U250">
        <v>2.2700000000000001E-2</v>
      </c>
      <c r="V250">
        <v>0</v>
      </c>
      <c r="W250">
        <f>E250/100</f>
        <v>0.44</v>
      </c>
      <c r="X250">
        <f>F250/1000000</f>
        <v>2.031739</v>
      </c>
      <c r="Y250">
        <f>IF(D250="C",1,0)</f>
        <v>0</v>
      </c>
      <c r="Z250">
        <f>IF(G250="C",1,0)</f>
        <v>0</v>
      </c>
      <c r="AA250">
        <f>IF(G250="S",1,0)</f>
        <v>1</v>
      </c>
      <c r="AB250">
        <f>IF(G250="U",1,0)</f>
        <v>0</v>
      </c>
      <c r="AC250" s="5">
        <f>IF(AND(ISNUMBER(H250),NOT(ISNUMBER(P250))),1,0)</f>
        <v>0</v>
      </c>
      <c r="AD250" s="5">
        <f>IF(AND(ISNUMBER(H250),ISNUMBER(P250)),1,0)</f>
        <v>0</v>
      </c>
      <c r="AE250" s="5">
        <f>W250</f>
        <v>0.44</v>
      </c>
      <c r="AF250" s="5">
        <f>X250</f>
        <v>2.031739</v>
      </c>
      <c r="AG250" s="5">
        <f>Y250</f>
        <v>0</v>
      </c>
      <c r="AH250" s="5">
        <f>IF(OR(G250="C",G250="S",G250="U"),1,0)</f>
        <v>1</v>
      </c>
      <c r="AI250" s="5">
        <f>IF(ISNUMBER(H250),1,0)</f>
        <v>0</v>
      </c>
      <c r="AJ250" s="5">
        <f>IF(ISNUMBER(P250),1,0)</f>
        <v>1</v>
      </c>
      <c r="AK250" s="5" t="str">
        <f>IF(AI250=1,IF(J250&gt;0,1,0),"")</f>
        <v/>
      </c>
      <c r="AL250" s="5">
        <f>IF(AJ250=1,IF(OR(Q250&gt;0,R250&gt;0),1,0),"")</f>
        <v>0</v>
      </c>
    </row>
    <row r="251" spans="1:38">
      <c r="A251">
        <v>246529</v>
      </c>
      <c r="B251" t="s">
        <v>334</v>
      </c>
      <c r="C251" t="s">
        <v>23</v>
      </c>
      <c r="D251" t="s">
        <v>24</v>
      </c>
      <c r="E251">
        <v>3</v>
      </c>
      <c r="F251">
        <v>70000</v>
      </c>
      <c r="G251" t="s">
        <v>25</v>
      </c>
      <c r="H251" t="s">
        <v>26</v>
      </c>
      <c r="I251" t="s">
        <v>26</v>
      </c>
      <c r="J251" t="s">
        <v>26</v>
      </c>
      <c r="K251" t="s">
        <v>26</v>
      </c>
      <c r="L251" t="s">
        <v>26</v>
      </c>
      <c r="M251" t="s">
        <v>26</v>
      </c>
      <c r="N251" t="s">
        <v>26</v>
      </c>
      <c r="O251" t="s">
        <v>26</v>
      </c>
      <c r="P251">
        <v>1</v>
      </c>
      <c r="Q251">
        <v>0</v>
      </c>
      <c r="R251">
        <v>0</v>
      </c>
      <c r="S251">
        <v>1</v>
      </c>
      <c r="T251">
        <v>14.2857</v>
      </c>
      <c r="U251">
        <v>0.33329999999999999</v>
      </c>
      <c r="V251">
        <v>0</v>
      </c>
      <c r="W251">
        <f>E251/100</f>
        <v>0.03</v>
      </c>
      <c r="X251">
        <f>F251/1000000</f>
        <v>7.0000000000000007E-2</v>
      </c>
      <c r="Y251">
        <f>IF(D251="C",1,0)</f>
        <v>0</v>
      </c>
      <c r="Z251">
        <f>IF(G251="C",1,0)</f>
        <v>0</v>
      </c>
      <c r="AA251">
        <f>IF(G251="S",1,0)</f>
        <v>1</v>
      </c>
      <c r="AB251">
        <f>IF(G251="U",1,0)</f>
        <v>0</v>
      </c>
      <c r="AC251" s="5">
        <f>IF(AND(ISNUMBER(H251),NOT(ISNUMBER(P251))),1,0)</f>
        <v>0</v>
      </c>
      <c r="AD251" s="5">
        <f>IF(AND(ISNUMBER(H251),ISNUMBER(P251)),1,0)</f>
        <v>0</v>
      </c>
      <c r="AE251" s="5">
        <f>W251</f>
        <v>0.03</v>
      </c>
      <c r="AF251" s="5">
        <f>X251</f>
        <v>7.0000000000000007E-2</v>
      </c>
      <c r="AG251" s="5">
        <f>Y251</f>
        <v>0</v>
      </c>
      <c r="AH251" s="5">
        <f>IF(OR(G251="C",G251="S",G251="U"),1,0)</f>
        <v>1</v>
      </c>
      <c r="AI251" s="5">
        <f>IF(ISNUMBER(H251),1,0)</f>
        <v>0</v>
      </c>
      <c r="AJ251" s="5">
        <f>IF(ISNUMBER(P251),1,0)</f>
        <v>1</v>
      </c>
      <c r="AK251" s="5" t="str">
        <f>IF(AI251=1,IF(J251&gt;0,1,0),"")</f>
        <v/>
      </c>
      <c r="AL251" s="5">
        <f>IF(AJ251=1,IF(OR(Q251&gt;0,R251&gt;0),1,0),"")</f>
        <v>0</v>
      </c>
    </row>
    <row r="252" spans="1:38">
      <c r="A252">
        <v>247353</v>
      </c>
      <c r="B252" t="s">
        <v>335</v>
      </c>
      <c r="C252" t="s">
        <v>190</v>
      </c>
      <c r="D252" t="s">
        <v>24</v>
      </c>
      <c r="E252">
        <v>175</v>
      </c>
      <c r="F252">
        <v>8906091</v>
      </c>
      <c r="G252" t="s">
        <v>25</v>
      </c>
      <c r="H252" t="s">
        <v>26</v>
      </c>
      <c r="I252" t="s">
        <v>26</v>
      </c>
      <c r="J252" t="s">
        <v>26</v>
      </c>
      <c r="K252" t="s">
        <v>26</v>
      </c>
      <c r="L252" t="s">
        <v>26</v>
      </c>
      <c r="M252" t="s">
        <v>26</v>
      </c>
      <c r="N252" t="s">
        <v>26</v>
      </c>
      <c r="O252" t="s">
        <v>26</v>
      </c>
      <c r="P252">
        <v>1</v>
      </c>
      <c r="Q252">
        <v>0</v>
      </c>
      <c r="R252">
        <v>1</v>
      </c>
      <c r="S252">
        <v>1</v>
      </c>
      <c r="T252">
        <v>0.1123</v>
      </c>
      <c r="U252">
        <v>5.7000000000000002E-3</v>
      </c>
      <c r="V252">
        <v>1</v>
      </c>
      <c r="W252">
        <f>E252/100</f>
        <v>1.75</v>
      </c>
      <c r="X252">
        <f>F252/1000000</f>
        <v>8.906091</v>
      </c>
      <c r="Y252">
        <f>IF(D252="C",1,0)</f>
        <v>0</v>
      </c>
      <c r="Z252">
        <f>IF(G252="C",1,0)</f>
        <v>0</v>
      </c>
      <c r="AA252">
        <f>IF(G252="S",1,0)</f>
        <v>1</v>
      </c>
      <c r="AB252">
        <f>IF(G252="U",1,0)</f>
        <v>0</v>
      </c>
      <c r="AC252" s="5">
        <f>IF(AND(ISNUMBER(H252),NOT(ISNUMBER(P252))),1,0)</f>
        <v>0</v>
      </c>
      <c r="AD252" s="5">
        <f>IF(AND(ISNUMBER(H252),ISNUMBER(P252)),1,0)</f>
        <v>0</v>
      </c>
      <c r="AE252" s="5">
        <f>W252</f>
        <v>1.75</v>
      </c>
      <c r="AF252" s="5">
        <f>X252</f>
        <v>8.906091</v>
      </c>
      <c r="AG252" s="5">
        <f>Y252</f>
        <v>0</v>
      </c>
      <c r="AH252" s="5">
        <f>IF(OR(G252="C",G252="S",G252="U"),1,0)</f>
        <v>1</v>
      </c>
      <c r="AI252" s="5">
        <f>IF(ISNUMBER(H252),1,0)</f>
        <v>0</v>
      </c>
      <c r="AJ252" s="5">
        <f>IF(ISNUMBER(P252),1,0)</f>
        <v>1</v>
      </c>
      <c r="AK252" s="5" t="str">
        <f>IF(AI252=1,IF(J252&gt;0,1,0),"")</f>
        <v/>
      </c>
      <c r="AL252" s="5">
        <f>IF(AJ252=1,IF(OR(Q252&gt;0,R252&gt;0),1,0),"")</f>
        <v>1</v>
      </c>
    </row>
    <row r="253" spans="1:38">
      <c r="A253">
        <v>248337</v>
      </c>
      <c r="B253" t="s">
        <v>336</v>
      </c>
      <c r="C253" t="s">
        <v>82</v>
      </c>
      <c r="D253" t="s">
        <v>24</v>
      </c>
      <c r="E253">
        <v>40</v>
      </c>
      <c r="F253">
        <v>1940000</v>
      </c>
      <c r="G253" t="s">
        <v>25</v>
      </c>
      <c r="H253" t="s">
        <v>26</v>
      </c>
      <c r="I253" t="s">
        <v>26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>
        <v>1</v>
      </c>
      <c r="Q253">
        <v>0</v>
      </c>
      <c r="R253">
        <v>1</v>
      </c>
      <c r="S253">
        <v>1</v>
      </c>
      <c r="T253">
        <v>0.51549999999999996</v>
      </c>
      <c r="U253">
        <v>2.5000000000000001E-2</v>
      </c>
      <c r="V253">
        <v>1</v>
      </c>
      <c r="W253">
        <f>E253/100</f>
        <v>0.4</v>
      </c>
      <c r="X253">
        <f>F253/1000000</f>
        <v>1.94</v>
      </c>
      <c r="Y253">
        <f>IF(D253="C",1,0)</f>
        <v>0</v>
      </c>
      <c r="Z253">
        <f>IF(G253="C",1,0)</f>
        <v>0</v>
      </c>
      <c r="AA253">
        <f>IF(G253="S",1,0)</f>
        <v>1</v>
      </c>
      <c r="AB253">
        <f>IF(G253="U",1,0)</f>
        <v>0</v>
      </c>
      <c r="AC253" s="5">
        <f>IF(AND(ISNUMBER(H253),NOT(ISNUMBER(P253))),1,0)</f>
        <v>0</v>
      </c>
      <c r="AD253" s="5">
        <f>IF(AND(ISNUMBER(H253),ISNUMBER(P253)),1,0)</f>
        <v>0</v>
      </c>
      <c r="AE253" s="5">
        <f>W253</f>
        <v>0.4</v>
      </c>
      <c r="AF253" s="5">
        <f>X253</f>
        <v>1.94</v>
      </c>
      <c r="AG253" s="5">
        <f>Y253</f>
        <v>0</v>
      </c>
      <c r="AH253" s="5">
        <f>IF(OR(G253="C",G253="S",G253="U"),1,0)</f>
        <v>1</v>
      </c>
      <c r="AI253" s="5">
        <f>IF(ISNUMBER(H253),1,0)</f>
        <v>0</v>
      </c>
      <c r="AJ253" s="5">
        <f>IF(ISNUMBER(P253),1,0)</f>
        <v>1</v>
      </c>
      <c r="AK253" s="5" t="str">
        <f>IF(AI253=1,IF(J253&gt;0,1,0),"")</f>
        <v/>
      </c>
      <c r="AL253" s="5">
        <f>IF(AJ253=1,IF(OR(Q253&gt;0,R253&gt;0),1,0),"")</f>
        <v>1</v>
      </c>
    </row>
    <row r="254" spans="1:38">
      <c r="A254">
        <v>249634</v>
      </c>
      <c r="B254" t="s">
        <v>337</v>
      </c>
      <c r="C254" t="s">
        <v>338</v>
      </c>
      <c r="D254" t="s">
        <v>24</v>
      </c>
      <c r="E254">
        <v>25</v>
      </c>
      <c r="F254">
        <v>3245189</v>
      </c>
      <c r="G254" t="s">
        <v>33</v>
      </c>
      <c r="H254" t="s">
        <v>26</v>
      </c>
      <c r="I254" t="s">
        <v>26</v>
      </c>
      <c r="J254" t="s">
        <v>26</v>
      </c>
      <c r="K254" t="s">
        <v>26</v>
      </c>
      <c r="L254" t="s">
        <v>26</v>
      </c>
      <c r="M254" t="s">
        <v>26</v>
      </c>
      <c r="N254" t="s">
        <v>26</v>
      </c>
      <c r="O254" t="s">
        <v>26</v>
      </c>
      <c r="P254">
        <v>1</v>
      </c>
      <c r="Q254">
        <v>0</v>
      </c>
      <c r="R254">
        <v>1</v>
      </c>
      <c r="S254">
        <v>1</v>
      </c>
      <c r="T254">
        <v>0.30809999999999998</v>
      </c>
      <c r="U254">
        <v>0.04</v>
      </c>
      <c r="V254">
        <v>1</v>
      </c>
      <c r="W254">
        <f>E254/100</f>
        <v>0.25</v>
      </c>
      <c r="X254">
        <f>F254/1000000</f>
        <v>3.2451889999999999</v>
      </c>
      <c r="Y254">
        <f>IF(D254="C",1,0)</f>
        <v>0</v>
      </c>
      <c r="Z254">
        <f>IF(G254="C",1,0)</f>
        <v>1</v>
      </c>
      <c r="AA254">
        <f>IF(G254="S",1,0)</f>
        <v>0</v>
      </c>
      <c r="AB254">
        <f>IF(G254="U",1,0)</f>
        <v>0</v>
      </c>
      <c r="AC254" s="5">
        <f>IF(AND(ISNUMBER(H254),NOT(ISNUMBER(P254))),1,0)</f>
        <v>0</v>
      </c>
      <c r="AD254" s="5">
        <f>IF(AND(ISNUMBER(H254),ISNUMBER(P254)),1,0)</f>
        <v>0</v>
      </c>
      <c r="AE254" s="5">
        <f>W254</f>
        <v>0.25</v>
      </c>
      <c r="AF254" s="5">
        <f>X254</f>
        <v>3.2451889999999999</v>
      </c>
      <c r="AG254" s="5">
        <f>Y254</f>
        <v>0</v>
      </c>
      <c r="AH254" s="5">
        <f>IF(OR(G254="C",G254="S",G254="U"),1,0)</f>
        <v>1</v>
      </c>
      <c r="AI254" s="5">
        <f>IF(ISNUMBER(H254),1,0)</f>
        <v>0</v>
      </c>
      <c r="AJ254" s="5">
        <f>IF(ISNUMBER(P254),1,0)</f>
        <v>1</v>
      </c>
      <c r="AK254" s="5" t="str">
        <f>IF(AI254=1,IF(J254&gt;0,1,0),"")</f>
        <v/>
      </c>
      <c r="AL254" s="5">
        <f>IF(AJ254=1,IF(OR(Q254&gt;0,R254&gt;0),1,0),"")</f>
        <v>1</v>
      </c>
    </row>
    <row r="255" spans="1:38">
      <c r="A255">
        <v>250434</v>
      </c>
      <c r="B255" t="s">
        <v>339</v>
      </c>
      <c r="C255" t="s">
        <v>181</v>
      </c>
      <c r="D255" t="s">
        <v>24</v>
      </c>
      <c r="E255">
        <v>5</v>
      </c>
      <c r="F255">
        <v>1881422</v>
      </c>
      <c r="G255" t="s">
        <v>25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26</v>
      </c>
      <c r="O255" t="s">
        <v>26</v>
      </c>
      <c r="P255">
        <v>1</v>
      </c>
      <c r="Q255">
        <v>0</v>
      </c>
      <c r="R255">
        <v>1</v>
      </c>
      <c r="S255">
        <v>1</v>
      </c>
      <c r="T255">
        <v>0.53149999999999997</v>
      </c>
      <c r="U255">
        <v>0.2</v>
      </c>
      <c r="V255">
        <v>1</v>
      </c>
      <c r="W255">
        <f>E255/100</f>
        <v>0.05</v>
      </c>
      <c r="X255">
        <f>F255/1000000</f>
        <v>1.8814219999999999</v>
      </c>
      <c r="Y255">
        <f>IF(D255="C",1,0)</f>
        <v>0</v>
      </c>
      <c r="Z255">
        <f>IF(G255="C",1,0)</f>
        <v>0</v>
      </c>
      <c r="AA255">
        <f>IF(G255="S",1,0)</f>
        <v>1</v>
      </c>
      <c r="AB255">
        <f>IF(G255="U",1,0)</f>
        <v>0</v>
      </c>
      <c r="AC255" s="5">
        <f>IF(AND(ISNUMBER(H255),NOT(ISNUMBER(P255))),1,0)</f>
        <v>0</v>
      </c>
      <c r="AD255" s="5">
        <f>IF(AND(ISNUMBER(H255),ISNUMBER(P255)),1,0)</f>
        <v>0</v>
      </c>
      <c r="AE255" s="5">
        <f>W255</f>
        <v>0.05</v>
      </c>
      <c r="AF255" s="5">
        <f>X255</f>
        <v>1.8814219999999999</v>
      </c>
      <c r="AG255" s="5">
        <f>Y255</f>
        <v>0</v>
      </c>
      <c r="AH255" s="5">
        <f>IF(OR(G255="C",G255="S",G255="U"),1,0)</f>
        <v>1</v>
      </c>
      <c r="AI255" s="5">
        <f>IF(ISNUMBER(H255),1,0)</f>
        <v>0</v>
      </c>
      <c r="AJ255" s="5">
        <f>IF(ISNUMBER(P255),1,0)</f>
        <v>1</v>
      </c>
      <c r="AK255" s="5" t="str">
        <f>IF(AI255=1,IF(J255&gt;0,1,0),"")</f>
        <v/>
      </c>
      <c r="AL255" s="5">
        <f>IF(AJ255=1,IF(OR(Q255&gt;0,R255&gt;0),1,0),"")</f>
        <v>1</v>
      </c>
    </row>
    <row r="256" spans="1:38">
      <c r="A256">
        <v>252100</v>
      </c>
      <c r="B256" t="s">
        <v>340</v>
      </c>
      <c r="C256" t="s">
        <v>23</v>
      </c>
      <c r="D256" t="s">
        <v>24</v>
      </c>
      <c r="E256">
        <v>69</v>
      </c>
      <c r="F256">
        <v>4150000</v>
      </c>
      <c r="G256" t="s">
        <v>25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>
        <v>1</v>
      </c>
      <c r="Q256">
        <v>0</v>
      </c>
      <c r="R256">
        <v>0</v>
      </c>
      <c r="S256">
        <v>1</v>
      </c>
      <c r="T256">
        <v>0.24099999999999999</v>
      </c>
      <c r="U256">
        <v>1.4500000000000001E-2</v>
      </c>
      <c r="V256">
        <v>0</v>
      </c>
      <c r="W256">
        <f>E256/100</f>
        <v>0.69</v>
      </c>
      <c r="X256">
        <f>F256/1000000</f>
        <v>4.1500000000000004</v>
      </c>
      <c r="Y256">
        <f>IF(D256="C",1,0)</f>
        <v>0</v>
      </c>
      <c r="Z256">
        <f>IF(G256="C",1,0)</f>
        <v>0</v>
      </c>
      <c r="AA256">
        <f>IF(G256="S",1,0)</f>
        <v>1</v>
      </c>
      <c r="AB256">
        <f>IF(G256="U",1,0)</f>
        <v>0</v>
      </c>
      <c r="AC256" s="5">
        <f>IF(AND(ISNUMBER(H256),NOT(ISNUMBER(P256))),1,0)</f>
        <v>0</v>
      </c>
      <c r="AD256" s="5">
        <f>IF(AND(ISNUMBER(H256),ISNUMBER(P256)),1,0)</f>
        <v>0</v>
      </c>
      <c r="AE256" s="5">
        <f>W256</f>
        <v>0.69</v>
      </c>
      <c r="AF256" s="5">
        <f>X256</f>
        <v>4.1500000000000004</v>
      </c>
      <c r="AG256" s="5">
        <f>Y256</f>
        <v>0</v>
      </c>
      <c r="AH256" s="5">
        <f>IF(OR(G256="C",G256="S",G256="U"),1,0)</f>
        <v>1</v>
      </c>
      <c r="AI256" s="5">
        <f>IF(ISNUMBER(H256),1,0)</f>
        <v>0</v>
      </c>
      <c r="AJ256" s="5">
        <f>IF(ISNUMBER(P256),1,0)</f>
        <v>1</v>
      </c>
      <c r="AK256" s="5" t="str">
        <f>IF(AI256=1,IF(J256&gt;0,1,0),"")</f>
        <v/>
      </c>
      <c r="AL256" s="5">
        <f>IF(AJ256=1,IF(OR(Q256&gt;0,R256&gt;0),1,0),"")</f>
        <v>0</v>
      </c>
    </row>
    <row r="257" spans="1:38">
      <c r="A257">
        <v>253536</v>
      </c>
      <c r="B257" t="s">
        <v>341</v>
      </c>
      <c r="C257" t="s">
        <v>261</v>
      </c>
      <c r="D257" t="s">
        <v>24</v>
      </c>
      <c r="E257">
        <v>22</v>
      </c>
      <c r="F257">
        <v>850000</v>
      </c>
      <c r="G257" t="s">
        <v>25</v>
      </c>
      <c r="H257" t="s">
        <v>26</v>
      </c>
      <c r="I257" t="s">
        <v>26</v>
      </c>
      <c r="J257" t="s">
        <v>26</v>
      </c>
      <c r="K257" t="s">
        <v>26</v>
      </c>
      <c r="L257" t="s">
        <v>26</v>
      </c>
      <c r="M257" t="s">
        <v>26</v>
      </c>
      <c r="N257" t="s">
        <v>26</v>
      </c>
      <c r="O257" t="s">
        <v>26</v>
      </c>
      <c r="P257">
        <v>1</v>
      </c>
      <c r="Q257">
        <v>0</v>
      </c>
      <c r="R257">
        <v>1</v>
      </c>
      <c r="S257">
        <v>1</v>
      </c>
      <c r="T257">
        <v>1.1765000000000001</v>
      </c>
      <c r="U257">
        <v>4.5499999999999999E-2</v>
      </c>
      <c r="V257">
        <v>1</v>
      </c>
      <c r="W257">
        <f>E257/100</f>
        <v>0.22</v>
      </c>
      <c r="X257">
        <f>F257/1000000</f>
        <v>0.85</v>
      </c>
      <c r="Y257">
        <f>IF(D257="C",1,0)</f>
        <v>0</v>
      </c>
      <c r="Z257">
        <f>IF(G257="C",1,0)</f>
        <v>0</v>
      </c>
      <c r="AA257">
        <f>IF(G257="S",1,0)</f>
        <v>1</v>
      </c>
      <c r="AB257">
        <f>IF(G257="U",1,0)</f>
        <v>0</v>
      </c>
      <c r="AC257" s="5">
        <f>IF(AND(ISNUMBER(H257),NOT(ISNUMBER(P257))),1,0)</f>
        <v>0</v>
      </c>
      <c r="AD257" s="5">
        <f>IF(AND(ISNUMBER(H257),ISNUMBER(P257)),1,0)</f>
        <v>0</v>
      </c>
      <c r="AE257" s="5">
        <f>W257</f>
        <v>0.22</v>
      </c>
      <c r="AF257" s="5">
        <f>X257</f>
        <v>0.85</v>
      </c>
      <c r="AG257" s="5">
        <f>Y257</f>
        <v>0</v>
      </c>
      <c r="AH257" s="5">
        <f>IF(OR(G257="C",G257="S",G257="U"),1,0)</f>
        <v>1</v>
      </c>
      <c r="AI257" s="5">
        <f>IF(ISNUMBER(H257),1,0)</f>
        <v>0</v>
      </c>
      <c r="AJ257" s="5">
        <f>IF(ISNUMBER(P257),1,0)</f>
        <v>1</v>
      </c>
      <c r="AK257" s="5" t="str">
        <f>IF(AI257=1,IF(J257&gt;0,1,0),"")</f>
        <v/>
      </c>
      <c r="AL257" s="5">
        <f>IF(AJ257=1,IF(OR(Q257&gt;0,R257&gt;0),1,0),"")</f>
        <v>1</v>
      </c>
    </row>
    <row r="258" spans="1:38">
      <c r="A258">
        <v>255677</v>
      </c>
      <c r="B258" t="s">
        <v>342</v>
      </c>
      <c r="C258" t="s">
        <v>93</v>
      </c>
      <c r="D258" t="s">
        <v>24</v>
      </c>
      <c r="E258">
        <v>1</v>
      </c>
      <c r="F258">
        <v>4447533</v>
      </c>
      <c r="G258" t="s">
        <v>25</v>
      </c>
      <c r="H258" t="s">
        <v>26</v>
      </c>
      <c r="I258" t="s">
        <v>26</v>
      </c>
      <c r="J258" t="s">
        <v>26</v>
      </c>
      <c r="K258" t="s">
        <v>26</v>
      </c>
      <c r="L258" t="s">
        <v>26</v>
      </c>
      <c r="M258" t="s">
        <v>26</v>
      </c>
      <c r="N258" t="s">
        <v>26</v>
      </c>
      <c r="O258" t="s">
        <v>26</v>
      </c>
      <c r="P258">
        <v>1</v>
      </c>
      <c r="Q258">
        <v>0</v>
      </c>
      <c r="R258">
        <v>1</v>
      </c>
      <c r="S258">
        <v>1</v>
      </c>
      <c r="T258">
        <v>0.2248</v>
      </c>
      <c r="U258">
        <v>1</v>
      </c>
      <c r="V258">
        <v>1</v>
      </c>
      <c r="W258">
        <f>E258/100</f>
        <v>0.01</v>
      </c>
      <c r="X258">
        <f>F258/1000000</f>
        <v>4.447533</v>
      </c>
      <c r="Y258">
        <f>IF(D258="C",1,0)</f>
        <v>0</v>
      </c>
      <c r="Z258">
        <f>IF(G258="C",1,0)</f>
        <v>0</v>
      </c>
      <c r="AA258">
        <f>IF(G258="S",1,0)</f>
        <v>1</v>
      </c>
      <c r="AB258">
        <f>IF(G258="U",1,0)</f>
        <v>0</v>
      </c>
      <c r="AC258" s="5">
        <f>IF(AND(ISNUMBER(H258),NOT(ISNUMBER(P258))),1,0)</f>
        <v>0</v>
      </c>
      <c r="AD258" s="5">
        <f>IF(AND(ISNUMBER(H258),ISNUMBER(P258)),1,0)</f>
        <v>0</v>
      </c>
      <c r="AE258" s="5">
        <f>W258</f>
        <v>0.01</v>
      </c>
      <c r="AF258" s="5">
        <f>X258</f>
        <v>4.447533</v>
      </c>
      <c r="AG258" s="5">
        <f>Y258</f>
        <v>0</v>
      </c>
      <c r="AH258" s="5">
        <f>IF(OR(G258="C",G258="S",G258="U"),1,0)</f>
        <v>1</v>
      </c>
      <c r="AI258" s="5">
        <f>IF(ISNUMBER(H258),1,0)</f>
        <v>0</v>
      </c>
      <c r="AJ258" s="5">
        <f>IF(ISNUMBER(P258),1,0)</f>
        <v>1</v>
      </c>
      <c r="AK258" s="5" t="str">
        <f>IF(AI258=1,IF(J258&gt;0,1,0),"")</f>
        <v/>
      </c>
      <c r="AL258" s="5">
        <f>IF(AJ258=1,IF(OR(Q258&gt;0,R258&gt;0),1,0),"")</f>
        <v>1</v>
      </c>
    </row>
    <row r="259" spans="1:38">
      <c r="A259">
        <v>256503</v>
      </c>
      <c r="B259" t="s">
        <v>343</v>
      </c>
      <c r="C259" t="s">
        <v>23</v>
      </c>
      <c r="D259" t="s">
        <v>24</v>
      </c>
      <c r="E259">
        <v>20</v>
      </c>
      <c r="F259">
        <v>858544</v>
      </c>
      <c r="G259" t="s">
        <v>25</v>
      </c>
      <c r="H259" t="s">
        <v>26</v>
      </c>
      <c r="I259" t="s">
        <v>26</v>
      </c>
      <c r="J259" t="s">
        <v>26</v>
      </c>
      <c r="K259" t="s">
        <v>26</v>
      </c>
      <c r="L259" t="s">
        <v>26</v>
      </c>
      <c r="M259" t="s">
        <v>26</v>
      </c>
      <c r="N259" t="s">
        <v>26</v>
      </c>
      <c r="O259" t="s">
        <v>26</v>
      </c>
      <c r="P259">
        <v>1</v>
      </c>
      <c r="Q259">
        <v>0</v>
      </c>
      <c r="R259">
        <v>0</v>
      </c>
      <c r="S259">
        <v>1</v>
      </c>
      <c r="T259">
        <v>1.1648000000000001</v>
      </c>
      <c r="U259">
        <v>0.05</v>
      </c>
      <c r="V259">
        <v>0</v>
      </c>
      <c r="W259">
        <f>E259/100</f>
        <v>0.2</v>
      </c>
      <c r="X259">
        <f>F259/1000000</f>
        <v>0.85854399999999997</v>
      </c>
      <c r="Y259">
        <f>IF(D259="C",1,0)</f>
        <v>0</v>
      </c>
      <c r="Z259">
        <f>IF(G259="C",1,0)</f>
        <v>0</v>
      </c>
      <c r="AA259">
        <f>IF(G259="S",1,0)</f>
        <v>1</v>
      </c>
      <c r="AB259">
        <f>IF(G259="U",1,0)</f>
        <v>0</v>
      </c>
      <c r="AC259" s="5">
        <f>IF(AND(ISNUMBER(H259),NOT(ISNUMBER(P259))),1,0)</f>
        <v>0</v>
      </c>
      <c r="AD259" s="5">
        <f>IF(AND(ISNUMBER(H259),ISNUMBER(P259)),1,0)</f>
        <v>0</v>
      </c>
      <c r="AE259" s="5">
        <f>W259</f>
        <v>0.2</v>
      </c>
      <c r="AF259" s="5">
        <f>X259</f>
        <v>0.85854399999999997</v>
      </c>
      <c r="AG259" s="5">
        <f>Y259</f>
        <v>0</v>
      </c>
      <c r="AH259" s="5">
        <f>IF(OR(G259="C",G259="S",G259="U"),1,0)</f>
        <v>1</v>
      </c>
      <c r="AI259" s="5">
        <f>IF(ISNUMBER(H259),1,0)</f>
        <v>0</v>
      </c>
      <c r="AJ259" s="5">
        <f>IF(ISNUMBER(P259),1,0)</f>
        <v>1</v>
      </c>
      <c r="AK259" s="5" t="str">
        <f>IF(AI259=1,IF(J259&gt;0,1,0),"")</f>
        <v/>
      </c>
      <c r="AL259" s="5">
        <f>IF(AJ259=1,IF(OR(Q259&gt;0,R259&gt;0),1,0),"")</f>
        <v>0</v>
      </c>
    </row>
    <row r="260" spans="1:38">
      <c r="A260">
        <v>256943</v>
      </c>
      <c r="B260" t="s">
        <v>344</v>
      </c>
      <c r="C260" t="s">
        <v>190</v>
      </c>
      <c r="D260" t="s">
        <v>24</v>
      </c>
      <c r="E260">
        <v>94</v>
      </c>
      <c r="F260">
        <v>5522062</v>
      </c>
      <c r="G260" t="s">
        <v>25</v>
      </c>
      <c r="H260" t="s">
        <v>26</v>
      </c>
      <c r="I260" t="s">
        <v>26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>
        <v>1</v>
      </c>
      <c r="Q260">
        <v>0</v>
      </c>
      <c r="R260">
        <v>1</v>
      </c>
      <c r="S260">
        <v>0</v>
      </c>
      <c r="T260">
        <v>0.18110000000000001</v>
      </c>
      <c r="U260">
        <v>1.06E-2</v>
      </c>
      <c r="V260">
        <v>1</v>
      </c>
      <c r="W260">
        <f>E260/100</f>
        <v>0.94</v>
      </c>
      <c r="X260">
        <f>F260/1000000</f>
        <v>5.522062</v>
      </c>
      <c r="Y260">
        <f>IF(D260="C",1,0)</f>
        <v>0</v>
      </c>
      <c r="Z260">
        <f>IF(G260="C",1,0)</f>
        <v>0</v>
      </c>
      <c r="AA260">
        <f>IF(G260="S",1,0)</f>
        <v>1</v>
      </c>
      <c r="AB260">
        <f>IF(G260="U",1,0)</f>
        <v>0</v>
      </c>
      <c r="AC260" s="5">
        <f>IF(AND(ISNUMBER(H260),NOT(ISNUMBER(P260))),1,0)</f>
        <v>0</v>
      </c>
      <c r="AD260" s="5">
        <f>IF(AND(ISNUMBER(H260),ISNUMBER(P260)),1,0)</f>
        <v>0</v>
      </c>
      <c r="AE260" s="5">
        <f>W260</f>
        <v>0.94</v>
      </c>
      <c r="AF260" s="5">
        <f>X260</f>
        <v>5.522062</v>
      </c>
      <c r="AG260" s="5">
        <f>Y260</f>
        <v>0</v>
      </c>
      <c r="AH260" s="5">
        <f>IF(OR(G260="C",G260="S",G260="U"),1,0)</f>
        <v>1</v>
      </c>
      <c r="AI260" s="5">
        <f>IF(ISNUMBER(H260),1,0)</f>
        <v>0</v>
      </c>
      <c r="AJ260" s="5">
        <f>IF(ISNUMBER(P260),1,0)</f>
        <v>1</v>
      </c>
      <c r="AK260" s="5" t="str">
        <f>IF(AI260=1,IF(J260&gt;0,1,0),"")</f>
        <v/>
      </c>
      <c r="AL260" s="5">
        <f>IF(AJ260=1,IF(OR(Q260&gt;0,R260&gt;0),1,0),"")</f>
        <v>1</v>
      </c>
    </row>
    <row r="261" spans="1:38">
      <c r="A261">
        <v>257209</v>
      </c>
      <c r="B261" t="s">
        <v>345</v>
      </c>
      <c r="C261" t="s">
        <v>37</v>
      </c>
      <c r="D261" t="s">
        <v>24</v>
      </c>
      <c r="E261">
        <v>80</v>
      </c>
      <c r="F261">
        <v>4070643</v>
      </c>
      <c r="G261" t="s">
        <v>25</v>
      </c>
      <c r="H261" t="s">
        <v>26</v>
      </c>
      <c r="I261" t="s">
        <v>26</v>
      </c>
      <c r="J261" t="s">
        <v>26</v>
      </c>
      <c r="K261" t="s">
        <v>26</v>
      </c>
      <c r="L261" t="s">
        <v>26</v>
      </c>
      <c r="M261" t="s">
        <v>26</v>
      </c>
      <c r="N261" t="s">
        <v>26</v>
      </c>
      <c r="O261" t="s">
        <v>26</v>
      </c>
      <c r="P261">
        <v>1</v>
      </c>
      <c r="Q261">
        <v>0</v>
      </c>
      <c r="R261">
        <v>0</v>
      </c>
      <c r="S261">
        <v>1</v>
      </c>
      <c r="T261">
        <v>0.2457</v>
      </c>
      <c r="U261">
        <v>1.2500000000000001E-2</v>
      </c>
      <c r="V261">
        <v>0</v>
      </c>
      <c r="W261">
        <f>E261/100</f>
        <v>0.8</v>
      </c>
      <c r="X261">
        <f>F261/1000000</f>
        <v>4.0706429999999996</v>
      </c>
      <c r="Y261">
        <f>IF(D261="C",1,0)</f>
        <v>0</v>
      </c>
      <c r="Z261">
        <f>IF(G261="C",1,0)</f>
        <v>0</v>
      </c>
      <c r="AA261">
        <f>IF(G261="S",1,0)</f>
        <v>1</v>
      </c>
      <c r="AB261">
        <f>IF(G261="U",1,0)</f>
        <v>0</v>
      </c>
      <c r="AC261" s="5">
        <f>IF(AND(ISNUMBER(H261),NOT(ISNUMBER(P261))),1,0)</f>
        <v>0</v>
      </c>
      <c r="AD261" s="5">
        <f>IF(AND(ISNUMBER(H261),ISNUMBER(P261)),1,0)</f>
        <v>0</v>
      </c>
      <c r="AE261" s="5">
        <f>W261</f>
        <v>0.8</v>
      </c>
      <c r="AF261" s="5">
        <f>X261</f>
        <v>4.0706429999999996</v>
      </c>
      <c r="AG261" s="5">
        <f>Y261</f>
        <v>0</v>
      </c>
      <c r="AH261" s="5">
        <f>IF(OR(G261="C",G261="S",G261="U"),1,0)</f>
        <v>1</v>
      </c>
      <c r="AI261" s="5">
        <f>IF(ISNUMBER(H261),1,0)</f>
        <v>0</v>
      </c>
      <c r="AJ261" s="5">
        <f>IF(ISNUMBER(P261),1,0)</f>
        <v>1</v>
      </c>
      <c r="AK261" s="5" t="str">
        <f>IF(AI261=1,IF(J261&gt;0,1,0),"")</f>
        <v/>
      </c>
      <c r="AL261" s="5">
        <f>IF(AJ261=1,IF(OR(Q261&gt;0,R261&gt;0),1,0),"")</f>
        <v>0</v>
      </c>
    </row>
    <row r="262" spans="1:38">
      <c r="A262">
        <v>257527</v>
      </c>
      <c r="B262" t="s">
        <v>346</v>
      </c>
      <c r="C262" t="s">
        <v>93</v>
      </c>
      <c r="D262" t="s">
        <v>24</v>
      </c>
      <c r="E262">
        <v>10</v>
      </c>
      <c r="F262">
        <v>771133</v>
      </c>
      <c r="G262" t="s">
        <v>25</v>
      </c>
      <c r="H262" t="s">
        <v>26</v>
      </c>
      <c r="I262" t="s">
        <v>26</v>
      </c>
      <c r="J262" t="s">
        <v>26</v>
      </c>
      <c r="K262" t="s">
        <v>26</v>
      </c>
      <c r="L262" t="s">
        <v>26</v>
      </c>
      <c r="M262" t="s">
        <v>26</v>
      </c>
      <c r="N262" t="s">
        <v>26</v>
      </c>
      <c r="O262" t="s">
        <v>26</v>
      </c>
      <c r="P262">
        <v>1</v>
      </c>
      <c r="Q262">
        <v>0</v>
      </c>
      <c r="R262">
        <v>1</v>
      </c>
      <c r="S262">
        <v>1</v>
      </c>
      <c r="T262">
        <v>1.2968</v>
      </c>
      <c r="U262">
        <v>0.1</v>
      </c>
      <c r="V262">
        <v>1</v>
      </c>
      <c r="W262">
        <f>E262/100</f>
        <v>0.1</v>
      </c>
      <c r="X262">
        <f>F262/1000000</f>
        <v>0.77113299999999996</v>
      </c>
      <c r="Y262">
        <f>IF(D262="C",1,0)</f>
        <v>0</v>
      </c>
      <c r="Z262">
        <f>IF(G262="C",1,0)</f>
        <v>0</v>
      </c>
      <c r="AA262">
        <f>IF(G262="S",1,0)</f>
        <v>1</v>
      </c>
      <c r="AB262">
        <f>IF(G262="U",1,0)</f>
        <v>0</v>
      </c>
      <c r="AC262" s="5">
        <f>IF(AND(ISNUMBER(H262),NOT(ISNUMBER(P262))),1,0)</f>
        <v>0</v>
      </c>
      <c r="AD262" s="5">
        <f>IF(AND(ISNUMBER(H262),ISNUMBER(P262)),1,0)</f>
        <v>0</v>
      </c>
      <c r="AE262" s="5">
        <f>W262</f>
        <v>0.1</v>
      </c>
      <c r="AF262" s="5">
        <f>X262</f>
        <v>0.77113299999999996</v>
      </c>
      <c r="AG262" s="5">
        <f>Y262</f>
        <v>0</v>
      </c>
      <c r="AH262" s="5">
        <f>IF(OR(G262="C",G262="S",G262="U"),1,0)</f>
        <v>1</v>
      </c>
      <c r="AI262" s="5">
        <f>IF(ISNUMBER(H262),1,0)</f>
        <v>0</v>
      </c>
      <c r="AJ262" s="5">
        <f>IF(ISNUMBER(P262),1,0)</f>
        <v>1</v>
      </c>
      <c r="AK262" s="5" t="str">
        <f>IF(AI262=1,IF(J262&gt;0,1,0),"")</f>
        <v/>
      </c>
      <c r="AL262" s="5">
        <f>IF(AJ262=1,IF(OR(Q262&gt;0,R262&gt;0),1,0),"")</f>
        <v>1</v>
      </c>
    </row>
    <row r="263" spans="1:38">
      <c r="A263">
        <v>259385</v>
      </c>
      <c r="B263" t="s">
        <v>347</v>
      </c>
      <c r="C263" t="s">
        <v>23</v>
      </c>
      <c r="D263" t="s">
        <v>24</v>
      </c>
      <c r="E263">
        <v>40</v>
      </c>
      <c r="F263">
        <v>2317748</v>
      </c>
      <c r="G263" t="s">
        <v>25</v>
      </c>
      <c r="H263" t="s">
        <v>26</v>
      </c>
      <c r="I263" t="s">
        <v>26</v>
      </c>
      <c r="J263" t="s">
        <v>26</v>
      </c>
      <c r="K263" t="s">
        <v>26</v>
      </c>
      <c r="L263" t="s">
        <v>26</v>
      </c>
      <c r="M263" t="s">
        <v>26</v>
      </c>
      <c r="N263" t="s">
        <v>26</v>
      </c>
      <c r="O263" t="s">
        <v>26</v>
      </c>
      <c r="P263">
        <v>1</v>
      </c>
      <c r="Q263">
        <v>0</v>
      </c>
      <c r="R263">
        <v>0</v>
      </c>
      <c r="S263">
        <v>1</v>
      </c>
      <c r="T263">
        <v>0.43149999999999999</v>
      </c>
      <c r="U263">
        <v>2.5000000000000001E-2</v>
      </c>
      <c r="V263">
        <v>0</v>
      </c>
      <c r="W263">
        <f>E263/100</f>
        <v>0.4</v>
      </c>
      <c r="X263">
        <f>F263/1000000</f>
        <v>2.3177479999999999</v>
      </c>
      <c r="Y263">
        <f>IF(D263="C",1,0)</f>
        <v>0</v>
      </c>
      <c r="Z263">
        <f>IF(G263="C",1,0)</f>
        <v>0</v>
      </c>
      <c r="AA263">
        <f>IF(G263="S",1,0)</f>
        <v>1</v>
      </c>
      <c r="AB263">
        <f>IF(G263="U",1,0)</f>
        <v>0</v>
      </c>
      <c r="AC263" s="5">
        <f>IF(AND(ISNUMBER(H263),NOT(ISNUMBER(P263))),1,0)</f>
        <v>0</v>
      </c>
      <c r="AD263" s="5">
        <f>IF(AND(ISNUMBER(H263),ISNUMBER(P263)),1,0)</f>
        <v>0</v>
      </c>
      <c r="AE263" s="5">
        <f>W263</f>
        <v>0.4</v>
      </c>
      <c r="AF263" s="5">
        <f>X263</f>
        <v>2.3177479999999999</v>
      </c>
      <c r="AG263" s="5">
        <f>Y263</f>
        <v>0</v>
      </c>
      <c r="AH263" s="5">
        <f>IF(OR(G263="C",G263="S",G263="U"),1,0)</f>
        <v>1</v>
      </c>
      <c r="AI263" s="5">
        <f>IF(ISNUMBER(H263),1,0)</f>
        <v>0</v>
      </c>
      <c r="AJ263" s="5">
        <f>IF(ISNUMBER(P263),1,0)</f>
        <v>1</v>
      </c>
      <c r="AK263" s="5" t="str">
        <f>IF(AI263=1,IF(J263&gt;0,1,0),"")</f>
        <v/>
      </c>
      <c r="AL263" s="5">
        <f>IF(AJ263=1,IF(OR(Q263&gt;0,R263&gt;0),1,0),"")</f>
        <v>0</v>
      </c>
    </row>
    <row r="264" spans="1:38">
      <c r="A264">
        <v>259609</v>
      </c>
      <c r="B264" t="s">
        <v>349</v>
      </c>
      <c r="C264" t="s">
        <v>37</v>
      </c>
      <c r="D264" t="s">
        <v>24</v>
      </c>
      <c r="E264">
        <v>4</v>
      </c>
      <c r="F264">
        <v>144340</v>
      </c>
      <c r="G264" t="s">
        <v>25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26</v>
      </c>
      <c r="O264" t="s">
        <v>26</v>
      </c>
      <c r="P264">
        <v>1</v>
      </c>
      <c r="Q264">
        <v>0</v>
      </c>
      <c r="R264">
        <v>0</v>
      </c>
      <c r="S264">
        <v>1</v>
      </c>
      <c r="T264">
        <v>6.9280999999999997</v>
      </c>
      <c r="U264">
        <v>0.25</v>
      </c>
      <c r="V264">
        <v>0</v>
      </c>
      <c r="W264">
        <f>E264/100</f>
        <v>0.04</v>
      </c>
      <c r="X264">
        <f>F264/1000000</f>
        <v>0.14434</v>
      </c>
      <c r="Y264">
        <f>IF(D264="C",1,0)</f>
        <v>0</v>
      </c>
      <c r="Z264">
        <f>IF(G264="C",1,0)</f>
        <v>0</v>
      </c>
      <c r="AA264">
        <f>IF(G264="S",1,0)</f>
        <v>1</v>
      </c>
      <c r="AB264">
        <f>IF(G264="U",1,0)</f>
        <v>0</v>
      </c>
      <c r="AC264" s="5">
        <f>IF(AND(ISNUMBER(H264),NOT(ISNUMBER(P264))),1,0)</f>
        <v>0</v>
      </c>
      <c r="AD264" s="5">
        <f>IF(AND(ISNUMBER(H264),ISNUMBER(P264)),1,0)</f>
        <v>0</v>
      </c>
      <c r="AE264" s="5">
        <f>W264</f>
        <v>0.04</v>
      </c>
      <c r="AF264" s="5">
        <f>X264</f>
        <v>0.14434</v>
      </c>
      <c r="AG264" s="5">
        <f>Y264</f>
        <v>0</v>
      </c>
      <c r="AH264" s="5">
        <f>IF(OR(G264="C",G264="S",G264="U"),1,0)</f>
        <v>1</v>
      </c>
      <c r="AI264" s="5">
        <f>IF(ISNUMBER(H264),1,0)</f>
        <v>0</v>
      </c>
      <c r="AJ264" s="5">
        <f>IF(ISNUMBER(P264),1,0)</f>
        <v>1</v>
      </c>
      <c r="AK264" s="5" t="str">
        <f>IF(AI264=1,IF(J264&gt;0,1,0),"")</f>
        <v/>
      </c>
      <c r="AL264" s="5">
        <f>IF(AJ264=1,IF(OR(Q264&gt;0,R264&gt;0),1,0),"")</f>
        <v>0</v>
      </c>
    </row>
    <row r="265" spans="1:38">
      <c r="A265">
        <v>260012</v>
      </c>
      <c r="B265" t="s">
        <v>350</v>
      </c>
      <c r="C265" t="s">
        <v>40</v>
      </c>
      <c r="D265" t="s">
        <v>24</v>
      </c>
      <c r="E265">
        <v>41</v>
      </c>
      <c r="F265">
        <v>4050000</v>
      </c>
      <c r="G265" t="s">
        <v>25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26</v>
      </c>
      <c r="O265" t="s">
        <v>26</v>
      </c>
      <c r="P265">
        <v>1</v>
      </c>
      <c r="Q265">
        <v>0</v>
      </c>
      <c r="R265">
        <v>1</v>
      </c>
      <c r="S265">
        <v>1</v>
      </c>
      <c r="T265">
        <v>0.24690000000000001</v>
      </c>
      <c r="U265">
        <v>2.4400000000000002E-2</v>
      </c>
      <c r="V265">
        <v>1</v>
      </c>
      <c r="W265">
        <f>E265/100</f>
        <v>0.41</v>
      </c>
      <c r="X265">
        <f>F265/1000000</f>
        <v>4.05</v>
      </c>
      <c r="Y265">
        <f>IF(D265="C",1,0)</f>
        <v>0</v>
      </c>
      <c r="Z265">
        <f>IF(G265="C",1,0)</f>
        <v>0</v>
      </c>
      <c r="AA265">
        <f>IF(G265="S",1,0)</f>
        <v>1</v>
      </c>
      <c r="AB265">
        <f>IF(G265="U",1,0)</f>
        <v>0</v>
      </c>
      <c r="AC265" s="5">
        <f>IF(AND(ISNUMBER(H265),NOT(ISNUMBER(P265))),1,0)</f>
        <v>0</v>
      </c>
      <c r="AD265" s="5">
        <f>IF(AND(ISNUMBER(H265),ISNUMBER(P265)),1,0)</f>
        <v>0</v>
      </c>
      <c r="AE265" s="5">
        <f>W265</f>
        <v>0.41</v>
      </c>
      <c r="AF265" s="5">
        <f>X265</f>
        <v>4.05</v>
      </c>
      <c r="AG265" s="5">
        <f>Y265</f>
        <v>0</v>
      </c>
      <c r="AH265" s="5">
        <f>IF(OR(G265="C",G265="S",G265="U"),1,0)</f>
        <v>1</v>
      </c>
      <c r="AI265" s="5">
        <f>IF(ISNUMBER(H265),1,0)</f>
        <v>0</v>
      </c>
      <c r="AJ265" s="5">
        <f>IF(ISNUMBER(P265),1,0)</f>
        <v>1</v>
      </c>
      <c r="AK265" s="5" t="str">
        <f>IF(AI265=1,IF(J265&gt;0,1,0),"")</f>
        <v/>
      </c>
      <c r="AL265" s="5">
        <f>IF(AJ265=1,IF(OR(Q265&gt;0,R265&gt;0),1,0),"")</f>
        <v>1</v>
      </c>
    </row>
    <row r="266" spans="1:38">
      <c r="A266">
        <v>261406</v>
      </c>
      <c r="B266" t="s">
        <v>352</v>
      </c>
      <c r="C266" t="s">
        <v>190</v>
      </c>
      <c r="D266" t="s">
        <v>24</v>
      </c>
      <c r="E266">
        <v>11</v>
      </c>
      <c r="F266">
        <v>1170000</v>
      </c>
      <c r="G266" t="s">
        <v>25</v>
      </c>
      <c r="H266" t="s">
        <v>26</v>
      </c>
      <c r="I266" t="s">
        <v>26</v>
      </c>
      <c r="J266" t="s">
        <v>26</v>
      </c>
      <c r="K266" t="s">
        <v>26</v>
      </c>
      <c r="L266" t="s">
        <v>26</v>
      </c>
      <c r="M266" t="s">
        <v>26</v>
      </c>
      <c r="N266" t="s">
        <v>26</v>
      </c>
      <c r="O266" t="s">
        <v>26</v>
      </c>
      <c r="P266">
        <v>1</v>
      </c>
      <c r="Q266">
        <v>0</v>
      </c>
      <c r="R266">
        <v>0</v>
      </c>
      <c r="S266">
        <v>1</v>
      </c>
      <c r="T266">
        <v>0.85470000000000002</v>
      </c>
      <c r="U266">
        <v>9.0899999999999995E-2</v>
      </c>
      <c r="V266">
        <v>0</v>
      </c>
      <c r="W266">
        <f>E266/100</f>
        <v>0.11</v>
      </c>
      <c r="X266">
        <f>F266/1000000</f>
        <v>1.17</v>
      </c>
      <c r="Y266">
        <f>IF(D266="C",1,0)</f>
        <v>0</v>
      </c>
      <c r="Z266">
        <f>IF(G266="C",1,0)</f>
        <v>0</v>
      </c>
      <c r="AA266">
        <f>IF(G266="S",1,0)</f>
        <v>1</v>
      </c>
      <c r="AB266">
        <f>IF(G266="U",1,0)</f>
        <v>0</v>
      </c>
      <c r="AC266" s="5">
        <f>IF(AND(ISNUMBER(H266),NOT(ISNUMBER(P266))),1,0)</f>
        <v>0</v>
      </c>
      <c r="AD266" s="5">
        <f>IF(AND(ISNUMBER(H266),ISNUMBER(P266)),1,0)</f>
        <v>0</v>
      </c>
      <c r="AE266" s="5">
        <f>W266</f>
        <v>0.11</v>
      </c>
      <c r="AF266" s="5">
        <f>X266</f>
        <v>1.17</v>
      </c>
      <c r="AG266" s="5">
        <f>Y266</f>
        <v>0</v>
      </c>
      <c r="AH266" s="5">
        <f>IF(OR(G266="C",G266="S",G266="U"),1,0)</f>
        <v>1</v>
      </c>
      <c r="AI266" s="5">
        <f>IF(ISNUMBER(H266),1,0)</f>
        <v>0</v>
      </c>
      <c r="AJ266" s="5">
        <f>IF(ISNUMBER(P266),1,0)</f>
        <v>1</v>
      </c>
      <c r="AK266" s="5" t="str">
        <f>IF(AI266=1,IF(J266&gt;0,1,0),"")</f>
        <v/>
      </c>
      <c r="AL266" s="5">
        <f>IF(AJ266=1,IF(OR(Q266&gt;0,R266&gt;0),1,0),"")</f>
        <v>0</v>
      </c>
    </row>
    <row r="267" spans="1:38">
      <c r="A267">
        <v>264144</v>
      </c>
      <c r="B267" t="s">
        <v>353</v>
      </c>
      <c r="C267" t="s">
        <v>23</v>
      </c>
      <c r="D267" t="s">
        <v>24</v>
      </c>
      <c r="E267">
        <v>45</v>
      </c>
      <c r="F267">
        <v>3088165</v>
      </c>
      <c r="G267" t="s">
        <v>25</v>
      </c>
      <c r="H267" t="s">
        <v>26</v>
      </c>
      <c r="I267" t="s">
        <v>26</v>
      </c>
      <c r="J267" t="s">
        <v>26</v>
      </c>
      <c r="K267" t="s">
        <v>26</v>
      </c>
      <c r="L267" t="s">
        <v>26</v>
      </c>
      <c r="M267" t="s">
        <v>26</v>
      </c>
      <c r="N267" t="s">
        <v>26</v>
      </c>
      <c r="O267" t="s">
        <v>26</v>
      </c>
      <c r="P267">
        <v>1</v>
      </c>
      <c r="Q267">
        <v>0</v>
      </c>
      <c r="R267">
        <v>1</v>
      </c>
      <c r="S267">
        <v>0</v>
      </c>
      <c r="T267">
        <v>0.32379999999999998</v>
      </c>
      <c r="U267">
        <v>2.2200000000000001E-2</v>
      </c>
      <c r="V267">
        <v>1</v>
      </c>
      <c r="W267">
        <f>E267/100</f>
        <v>0.45</v>
      </c>
      <c r="X267">
        <f>F267/1000000</f>
        <v>3.088165</v>
      </c>
      <c r="Y267">
        <f>IF(D267="C",1,0)</f>
        <v>0</v>
      </c>
      <c r="Z267">
        <f>IF(G267="C",1,0)</f>
        <v>0</v>
      </c>
      <c r="AA267">
        <f>IF(G267="S",1,0)</f>
        <v>1</v>
      </c>
      <c r="AB267">
        <f>IF(G267="U",1,0)</f>
        <v>0</v>
      </c>
      <c r="AC267" s="5">
        <f>IF(AND(ISNUMBER(H267),NOT(ISNUMBER(P267))),1,0)</f>
        <v>0</v>
      </c>
      <c r="AD267" s="5">
        <f>IF(AND(ISNUMBER(H267),ISNUMBER(P267)),1,0)</f>
        <v>0</v>
      </c>
      <c r="AE267" s="5">
        <f>W267</f>
        <v>0.45</v>
      </c>
      <c r="AF267" s="5">
        <f>X267</f>
        <v>3.088165</v>
      </c>
      <c r="AG267" s="5">
        <f>Y267</f>
        <v>0</v>
      </c>
      <c r="AH267" s="5">
        <f>IF(OR(G267="C",G267="S",G267="U"),1,0)</f>
        <v>1</v>
      </c>
      <c r="AI267" s="5">
        <f>IF(ISNUMBER(H267),1,0)</f>
        <v>0</v>
      </c>
      <c r="AJ267" s="5">
        <f>IF(ISNUMBER(P267),1,0)</f>
        <v>1</v>
      </c>
      <c r="AK267" s="5" t="str">
        <f>IF(AI267=1,IF(J267&gt;0,1,0),"")</f>
        <v/>
      </c>
      <c r="AL267" s="5">
        <f>IF(AJ267=1,IF(OR(Q267&gt;0,R267&gt;0),1,0),"")</f>
        <v>1</v>
      </c>
    </row>
    <row r="268" spans="1:38">
      <c r="A268">
        <v>264201</v>
      </c>
      <c r="B268" t="s">
        <v>354</v>
      </c>
      <c r="C268" t="s">
        <v>23</v>
      </c>
      <c r="D268" t="s">
        <v>24</v>
      </c>
      <c r="E268">
        <v>44</v>
      </c>
      <c r="F268">
        <v>4074249</v>
      </c>
      <c r="G268" t="s">
        <v>25</v>
      </c>
      <c r="H268" t="s">
        <v>26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>
        <v>1</v>
      </c>
      <c r="Q268">
        <v>0</v>
      </c>
      <c r="R268">
        <v>1</v>
      </c>
      <c r="S268">
        <v>1</v>
      </c>
      <c r="T268">
        <v>0.24540000000000001</v>
      </c>
      <c r="U268">
        <v>2.2700000000000001E-2</v>
      </c>
      <c r="V268">
        <v>1</v>
      </c>
      <c r="W268">
        <f>E268/100</f>
        <v>0.44</v>
      </c>
      <c r="X268">
        <f>F268/1000000</f>
        <v>4.074249</v>
      </c>
      <c r="Y268">
        <f>IF(D268="C",1,0)</f>
        <v>0</v>
      </c>
      <c r="Z268">
        <f>IF(G268="C",1,0)</f>
        <v>0</v>
      </c>
      <c r="AA268">
        <f>IF(G268="S",1,0)</f>
        <v>1</v>
      </c>
      <c r="AB268">
        <f>IF(G268="U",1,0)</f>
        <v>0</v>
      </c>
      <c r="AC268" s="5">
        <f>IF(AND(ISNUMBER(H268),NOT(ISNUMBER(P268))),1,0)</f>
        <v>0</v>
      </c>
      <c r="AD268" s="5">
        <f>IF(AND(ISNUMBER(H268),ISNUMBER(P268)),1,0)</f>
        <v>0</v>
      </c>
      <c r="AE268" s="5">
        <f>W268</f>
        <v>0.44</v>
      </c>
      <c r="AF268" s="5">
        <f>X268</f>
        <v>4.074249</v>
      </c>
      <c r="AG268" s="5">
        <f>Y268</f>
        <v>0</v>
      </c>
      <c r="AH268" s="5">
        <f>IF(OR(G268="C",G268="S",G268="U"),1,0)</f>
        <v>1</v>
      </c>
      <c r="AI268" s="5">
        <f>IF(ISNUMBER(H268),1,0)</f>
        <v>0</v>
      </c>
      <c r="AJ268" s="5">
        <f>IF(ISNUMBER(P268),1,0)</f>
        <v>1</v>
      </c>
      <c r="AK268" s="5" t="str">
        <f>IF(AI268=1,IF(J268&gt;0,1,0),"")</f>
        <v/>
      </c>
      <c r="AL268" s="5">
        <f>IF(AJ268=1,IF(OR(Q268&gt;0,R268&gt;0),1,0),"")</f>
        <v>1</v>
      </c>
    </row>
    <row r="269" spans="1:38">
      <c r="A269">
        <v>264369</v>
      </c>
      <c r="B269" t="s">
        <v>355</v>
      </c>
      <c r="C269" t="s">
        <v>93</v>
      </c>
      <c r="D269" t="s">
        <v>24</v>
      </c>
      <c r="E269">
        <v>11</v>
      </c>
      <c r="F269">
        <v>580000</v>
      </c>
      <c r="G269" t="s">
        <v>25</v>
      </c>
      <c r="H269" t="s">
        <v>26</v>
      </c>
      <c r="I269" t="s">
        <v>26</v>
      </c>
      <c r="J269" t="s">
        <v>26</v>
      </c>
      <c r="K269" t="s">
        <v>26</v>
      </c>
      <c r="L269" t="s">
        <v>26</v>
      </c>
      <c r="M269" t="s">
        <v>26</v>
      </c>
      <c r="N269" t="s">
        <v>26</v>
      </c>
      <c r="O269" t="s">
        <v>26</v>
      </c>
      <c r="P269">
        <v>1</v>
      </c>
      <c r="Q269">
        <v>0</v>
      </c>
      <c r="R269">
        <v>1</v>
      </c>
      <c r="S269">
        <v>1</v>
      </c>
      <c r="T269">
        <v>1.7241</v>
      </c>
      <c r="U269">
        <v>9.0899999999999995E-2</v>
      </c>
      <c r="V269">
        <v>1</v>
      </c>
      <c r="W269">
        <f>E269/100</f>
        <v>0.11</v>
      </c>
      <c r="X269">
        <f>F269/1000000</f>
        <v>0.57999999999999996</v>
      </c>
      <c r="Y269">
        <f>IF(D269="C",1,0)</f>
        <v>0</v>
      </c>
      <c r="Z269">
        <f>IF(G269="C",1,0)</f>
        <v>0</v>
      </c>
      <c r="AA269">
        <f>IF(G269="S",1,0)</f>
        <v>1</v>
      </c>
      <c r="AB269">
        <f>IF(G269="U",1,0)</f>
        <v>0</v>
      </c>
      <c r="AC269" s="5">
        <f>IF(AND(ISNUMBER(H269),NOT(ISNUMBER(P269))),1,0)</f>
        <v>0</v>
      </c>
      <c r="AD269" s="5">
        <f>IF(AND(ISNUMBER(H269),ISNUMBER(P269)),1,0)</f>
        <v>0</v>
      </c>
      <c r="AE269" s="5">
        <f>W269</f>
        <v>0.11</v>
      </c>
      <c r="AF269" s="5">
        <f>X269</f>
        <v>0.57999999999999996</v>
      </c>
      <c r="AG269" s="5">
        <f>Y269</f>
        <v>0</v>
      </c>
      <c r="AH269" s="5">
        <f>IF(OR(G269="C",G269="S",G269="U"),1,0)</f>
        <v>1</v>
      </c>
      <c r="AI269" s="5">
        <f>IF(ISNUMBER(H269),1,0)</f>
        <v>0</v>
      </c>
      <c r="AJ269" s="5">
        <f>IF(ISNUMBER(P269),1,0)</f>
        <v>1</v>
      </c>
      <c r="AK269" s="5" t="str">
        <f>IF(AI269=1,IF(J269&gt;0,1,0),"")</f>
        <v/>
      </c>
      <c r="AL269" s="5">
        <f>IF(AJ269=1,IF(OR(Q269&gt;0,R269&gt;0),1,0),"")</f>
        <v>1</v>
      </c>
    </row>
    <row r="270" spans="1:38">
      <c r="A270">
        <v>264428</v>
      </c>
      <c r="B270" t="s">
        <v>356</v>
      </c>
      <c r="C270" t="s">
        <v>84</v>
      </c>
      <c r="D270" t="s">
        <v>24</v>
      </c>
      <c r="E270">
        <v>27</v>
      </c>
      <c r="F270">
        <v>2169282</v>
      </c>
      <c r="G270" t="s">
        <v>25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>
        <v>1</v>
      </c>
      <c r="Q270">
        <v>0</v>
      </c>
      <c r="R270">
        <v>0</v>
      </c>
      <c r="S270">
        <v>1</v>
      </c>
      <c r="T270">
        <v>0.46100000000000002</v>
      </c>
      <c r="U270">
        <v>3.6999999999999998E-2</v>
      </c>
      <c r="V270">
        <v>0</v>
      </c>
      <c r="W270">
        <f>E270/100</f>
        <v>0.27</v>
      </c>
      <c r="X270">
        <f>F270/1000000</f>
        <v>2.1692819999999999</v>
      </c>
      <c r="Y270">
        <f>IF(D270="C",1,0)</f>
        <v>0</v>
      </c>
      <c r="Z270">
        <f>IF(G270="C",1,0)</f>
        <v>0</v>
      </c>
      <c r="AA270">
        <f>IF(G270="S",1,0)</f>
        <v>1</v>
      </c>
      <c r="AB270">
        <f>IF(G270="U",1,0)</f>
        <v>0</v>
      </c>
      <c r="AC270" s="5">
        <f>IF(AND(ISNUMBER(H270),NOT(ISNUMBER(P270))),1,0)</f>
        <v>0</v>
      </c>
      <c r="AD270" s="5">
        <f>IF(AND(ISNUMBER(H270),ISNUMBER(P270)),1,0)</f>
        <v>0</v>
      </c>
      <c r="AE270" s="5">
        <f>W270</f>
        <v>0.27</v>
      </c>
      <c r="AF270" s="5">
        <f>X270</f>
        <v>2.1692819999999999</v>
      </c>
      <c r="AG270" s="5">
        <f>Y270</f>
        <v>0</v>
      </c>
      <c r="AH270" s="5">
        <f>IF(OR(G270="C",G270="S",G270="U"),1,0)</f>
        <v>1</v>
      </c>
      <c r="AI270" s="5">
        <f>IF(ISNUMBER(H270),1,0)</f>
        <v>0</v>
      </c>
      <c r="AJ270" s="5">
        <f>IF(ISNUMBER(P270),1,0)</f>
        <v>1</v>
      </c>
      <c r="AK270" s="5" t="str">
        <f>IF(AI270=1,IF(J270&gt;0,1,0),"")</f>
        <v/>
      </c>
      <c r="AL270" s="5">
        <f>IF(AJ270=1,IF(OR(Q270&gt;0,R270&gt;0),1,0),"")</f>
        <v>0</v>
      </c>
    </row>
    <row r="271" spans="1:38">
      <c r="A271">
        <v>265309</v>
      </c>
      <c r="B271" t="s">
        <v>357</v>
      </c>
      <c r="C271" t="s">
        <v>77</v>
      </c>
      <c r="D271" t="s">
        <v>24</v>
      </c>
      <c r="E271">
        <v>5</v>
      </c>
      <c r="F271">
        <v>281240</v>
      </c>
      <c r="G271" t="s">
        <v>33</v>
      </c>
      <c r="H271" t="s">
        <v>26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>
        <v>1</v>
      </c>
      <c r="Q271">
        <v>0</v>
      </c>
      <c r="R271">
        <v>1</v>
      </c>
      <c r="S271">
        <v>1</v>
      </c>
      <c r="T271">
        <v>3.5556999999999999</v>
      </c>
      <c r="U271">
        <v>0.2</v>
      </c>
      <c r="V271">
        <v>1</v>
      </c>
      <c r="W271">
        <f>E271/100</f>
        <v>0.05</v>
      </c>
      <c r="X271">
        <f>F271/1000000</f>
        <v>0.28123999999999999</v>
      </c>
      <c r="Y271">
        <f>IF(D271="C",1,0)</f>
        <v>0</v>
      </c>
      <c r="Z271">
        <f>IF(G271="C",1,0)</f>
        <v>1</v>
      </c>
      <c r="AA271">
        <f>IF(G271="S",1,0)</f>
        <v>0</v>
      </c>
      <c r="AB271">
        <f>IF(G271="U",1,0)</f>
        <v>0</v>
      </c>
      <c r="AC271" s="5">
        <f>IF(AND(ISNUMBER(H271),NOT(ISNUMBER(P271))),1,0)</f>
        <v>0</v>
      </c>
      <c r="AD271" s="5">
        <f>IF(AND(ISNUMBER(H271),ISNUMBER(P271)),1,0)</f>
        <v>0</v>
      </c>
      <c r="AE271" s="5">
        <f>W271</f>
        <v>0.05</v>
      </c>
      <c r="AF271" s="5">
        <f>X271</f>
        <v>0.28123999999999999</v>
      </c>
      <c r="AG271" s="5">
        <f>Y271</f>
        <v>0</v>
      </c>
      <c r="AH271" s="5">
        <f>IF(OR(G271="C",G271="S",G271="U"),1,0)</f>
        <v>1</v>
      </c>
      <c r="AI271" s="5">
        <f>IF(ISNUMBER(H271),1,0)</f>
        <v>0</v>
      </c>
      <c r="AJ271" s="5">
        <f>IF(ISNUMBER(P271),1,0)</f>
        <v>1</v>
      </c>
      <c r="AK271" s="5" t="str">
        <f>IF(AI271=1,IF(J271&gt;0,1,0),"")</f>
        <v/>
      </c>
      <c r="AL271" s="5">
        <f>IF(AJ271=1,IF(OR(Q271&gt;0,R271&gt;0),1,0),"")</f>
        <v>1</v>
      </c>
    </row>
    <row r="272" spans="1:38">
      <c r="A272">
        <v>265831</v>
      </c>
      <c r="B272" t="s">
        <v>358</v>
      </c>
      <c r="C272" t="s">
        <v>37</v>
      </c>
      <c r="D272" t="s">
        <v>33</v>
      </c>
      <c r="E272">
        <v>62</v>
      </c>
      <c r="F272">
        <v>746075</v>
      </c>
      <c r="H272" t="s">
        <v>26</v>
      </c>
      <c r="I272" t="s">
        <v>26</v>
      </c>
      <c r="J272" t="s">
        <v>26</v>
      </c>
      <c r="K272" t="s">
        <v>26</v>
      </c>
      <c r="L272" t="s">
        <v>26</v>
      </c>
      <c r="M272" t="s">
        <v>26</v>
      </c>
      <c r="N272" t="s">
        <v>26</v>
      </c>
      <c r="O272" t="s">
        <v>26</v>
      </c>
      <c r="P272">
        <v>1</v>
      </c>
      <c r="Q272">
        <v>0</v>
      </c>
      <c r="R272">
        <v>0</v>
      </c>
      <c r="S272">
        <v>1</v>
      </c>
      <c r="T272">
        <v>1.3403</v>
      </c>
      <c r="U272">
        <v>1.61E-2</v>
      </c>
      <c r="V272">
        <v>0</v>
      </c>
      <c r="W272">
        <f>E272/100</f>
        <v>0.62</v>
      </c>
      <c r="X272">
        <f>F272/1000000</f>
        <v>0.74607500000000004</v>
      </c>
      <c r="Y272">
        <f>IF(D272="C",1,0)</f>
        <v>1</v>
      </c>
      <c r="Z272">
        <f>IF(G272="C",1,0)</f>
        <v>0</v>
      </c>
      <c r="AA272">
        <f>IF(G272="S",1,0)</f>
        <v>0</v>
      </c>
      <c r="AB272">
        <f>IF(G272="U",1,0)</f>
        <v>0</v>
      </c>
      <c r="AC272" s="5">
        <f>IF(AND(ISNUMBER(H272),NOT(ISNUMBER(P272))),1,0)</f>
        <v>0</v>
      </c>
      <c r="AD272" s="5">
        <f>IF(AND(ISNUMBER(H272),ISNUMBER(P272)),1,0)</f>
        <v>0</v>
      </c>
      <c r="AE272" s="5">
        <f>W272</f>
        <v>0.62</v>
      </c>
      <c r="AF272" s="5">
        <f>X272</f>
        <v>0.74607500000000004</v>
      </c>
      <c r="AG272" s="5">
        <f>Y272</f>
        <v>1</v>
      </c>
      <c r="AH272" s="5">
        <f>IF(OR(G272="C",G272="S",G272="U"),1,0)</f>
        <v>0</v>
      </c>
      <c r="AI272" s="5">
        <f>IF(ISNUMBER(H272),1,0)</f>
        <v>0</v>
      </c>
      <c r="AJ272" s="5">
        <f>IF(ISNUMBER(P272),1,0)</f>
        <v>1</v>
      </c>
      <c r="AK272" s="5" t="str">
        <f>IF(AI272=1,IF(J272&gt;0,1,0),"")</f>
        <v/>
      </c>
      <c r="AL272" s="5">
        <f>IF(AJ272=1,IF(OR(Q272&gt;0,R272&gt;0),1,0),"")</f>
        <v>0</v>
      </c>
    </row>
    <row r="273" spans="1:38">
      <c r="A273">
        <v>266032</v>
      </c>
      <c r="B273" t="s">
        <v>359</v>
      </c>
      <c r="C273" t="s">
        <v>23</v>
      </c>
      <c r="D273" t="s">
        <v>24</v>
      </c>
      <c r="E273">
        <v>15</v>
      </c>
      <c r="F273">
        <v>555000</v>
      </c>
      <c r="G273" t="s">
        <v>25</v>
      </c>
      <c r="H273" t="s">
        <v>26</v>
      </c>
      <c r="I273" t="s">
        <v>26</v>
      </c>
      <c r="J273" t="s">
        <v>26</v>
      </c>
      <c r="K273" t="s">
        <v>26</v>
      </c>
      <c r="L273" t="s">
        <v>26</v>
      </c>
      <c r="M273" t="s">
        <v>26</v>
      </c>
      <c r="N273" t="s">
        <v>26</v>
      </c>
      <c r="O273" t="s">
        <v>26</v>
      </c>
      <c r="P273">
        <v>1</v>
      </c>
      <c r="Q273">
        <v>0</v>
      </c>
      <c r="R273">
        <v>0</v>
      </c>
      <c r="S273">
        <v>1</v>
      </c>
      <c r="T273">
        <v>1.8018000000000001</v>
      </c>
      <c r="U273">
        <v>6.6699999999999995E-2</v>
      </c>
      <c r="V273">
        <v>0</v>
      </c>
      <c r="W273">
        <f>E273/100</f>
        <v>0.15</v>
      </c>
      <c r="X273">
        <f>F273/1000000</f>
        <v>0.55500000000000005</v>
      </c>
      <c r="Y273">
        <f>IF(D273="C",1,0)</f>
        <v>0</v>
      </c>
      <c r="Z273">
        <f>IF(G273="C",1,0)</f>
        <v>0</v>
      </c>
      <c r="AA273">
        <f>IF(G273="S",1,0)</f>
        <v>1</v>
      </c>
      <c r="AB273">
        <f>IF(G273="U",1,0)</f>
        <v>0</v>
      </c>
      <c r="AC273" s="5">
        <f>IF(AND(ISNUMBER(H273),NOT(ISNUMBER(P273))),1,0)</f>
        <v>0</v>
      </c>
      <c r="AD273" s="5">
        <f>IF(AND(ISNUMBER(H273),ISNUMBER(P273)),1,0)</f>
        <v>0</v>
      </c>
      <c r="AE273" s="5">
        <f>W273</f>
        <v>0.15</v>
      </c>
      <c r="AF273" s="5">
        <f>X273</f>
        <v>0.55500000000000005</v>
      </c>
      <c r="AG273" s="5">
        <f>Y273</f>
        <v>0</v>
      </c>
      <c r="AH273" s="5">
        <f>IF(OR(G273="C",G273="S",G273="U"),1,0)</f>
        <v>1</v>
      </c>
      <c r="AI273" s="5">
        <f>IF(ISNUMBER(H273),1,0)</f>
        <v>0</v>
      </c>
      <c r="AJ273" s="5">
        <f>IF(ISNUMBER(P273),1,0)</f>
        <v>1</v>
      </c>
      <c r="AK273" s="5" t="str">
        <f>IF(AI273=1,IF(J273&gt;0,1,0),"")</f>
        <v/>
      </c>
      <c r="AL273" s="5">
        <f>IF(AJ273=1,IF(OR(Q273&gt;0,R273&gt;0),1,0),"")</f>
        <v>0</v>
      </c>
    </row>
    <row r="274" spans="1:38">
      <c r="A274">
        <v>267146</v>
      </c>
      <c r="B274" t="s">
        <v>361</v>
      </c>
      <c r="C274" t="s">
        <v>23</v>
      </c>
      <c r="D274" t="s">
        <v>24</v>
      </c>
      <c r="E274">
        <v>175</v>
      </c>
      <c r="F274">
        <v>2552423</v>
      </c>
      <c r="G274" t="s">
        <v>25</v>
      </c>
      <c r="H274" t="s">
        <v>26</v>
      </c>
      <c r="I274" t="s">
        <v>26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>
        <v>1</v>
      </c>
      <c r="Q274">
        <v>0</v>
      </c>
      <c r="R274">
        <v>0</v>
      </c>
      <c r="S274">
        <v>1</v>
      </c>
      <c r="T274">
        <v>0.39179999999999998</v>
      </c>
      <c r="U274">
        <v>5.7000000000000002E-3</v>
      </c>
      <c r="V274">
        <v>0</v>
      </c>
      <c r="W274">
        <f>E274/100</f>
        <v>1.75</v>
      </c>
      <c r="X274">
        <f>F274/1000000</f>
        <v>2.5524230000000001</v>
      </c>
      <c r="Y274">
        <f>IF(D274="C",1,0)</f>
        <v>0</v>
      </c>
      <c r="Z274">
        <f>IF(G274="C",1,0)</f>
        <v>0</v>
      </c>
      <c r="AA274">
        <f>IF(G274="S",1,0)</f>
        <v>1</v>
      </c>
      <c r="AB274">
        <f>IF(G274="U",1,0)</f>
        <v>0</v>
      </c>
      <c r="AC274" s="5">
        <f>IF(AND(ISNUMBER(H274),NOT(ISNUMBER(P274))),1,0)</f>
        <v>0</v>
      </c>
      <c r="AD274" s="5">
        <f>IF(AND(ISNUMBER(H274),ISNUMBER(P274)),1,0)</f>
        <v>0</v>
      </c>
      <c r="AE274" s="5">
        <f>W274</f>
        <v>1.75</v>
      </c>
      <c r="AF274" s="5">
        <f>X274</f>
        <v>2.5524230000000001</v>
      </c>
      <c r="AG274" s="5">
        <f>Y274</f>
        <v>0</v>
      </c>
      <c r="AH274" s="5">
        <f>IF(OR(G274="C",G274="S",G274="U"),1,0)</f>
        <v>1</v>
      </c>
      <c r="AI274" s="5">
        <f>IF(ISNUMBER(H274),1,0)</f>
        <v>0</v>
      </c>
      <c r="AJ274" s="5">
        <f>IF(ISNUMBER(P274),1,0)</f>
        <v>1</v>
      </c>
      <c r="AK274" s="5" t="str">
        <f>IF(AI274=1,IF(J274&gt;0,1,0),"")</f>
        <v/>
      </c>
      <c r="AL274" s="5">
        <f>IF(AJ274=1,IF(OR(Q274&gt;0,R274&gt;0),1,0),"")</f>
        <v>0</v>
      </c>
    </row>
    <row r="275" spans="1:38">
      <c r="A275">
        <v>267175</v>
      </c>
      <c r="B275" t="s">
        <v>362</v>
      </c>
      <c r="C275" t="s">
        <v>23</v>
      </c>
      <c r="D275" t="s">
        <v>24</v>
      </c>
      <c r="E275">
        <v>52</v>
      </c>
      <c r="F275">
        <v>746414</v>
      </c>
      <c r="G275" t="s">
        <v>25</v>
      </c>
      <c r="H275" t="s">
        <v>26</v>
      </c>
      <c r="I275" t="s">
        <v>26</v>
      </c>
      <c r="J275" t="s">
        <v>26</v>
      </c>
      <c r="K275" t="s">
        <v>26</v>
      </c>
      <c r="L275" t="s">
        <v>26</v>
      </c>
      <c r="M275" t="s">
        <v>26</v>
      </c>
      <c r="N275" t="s">
        <v>26</v>
      </c>
      <c r="O275" t="s">
        <v>26</v>
      </c>
      <c r="P275">
        <v>1</v>
      </c>
      <c r="Q275">
        <v>0</v>
      </c>
      <c r="R275">
        <v>0</v>
      </c>
      <c r="S275">
        <v>1</v>
      </c>
      <c r="T275">
        <v>1.3396999999999999</v>
      </c>
      <c r="U275">
        <v>1.9199999999999998E-2</v>
      </c>
      <c r="V275">
        <v>0</v>
      </c>
      <c r="W275">
        <f>E275/100</f>
        <v>0.52</v>
      </c>
      <c r="X275">
        <f>F275/1000000</f>
        <v>0.74641400000000002</v>
      </c>
      <c r="Y275">
        <f>IF(D275="C",1,0)</f>
        <v>0</v>
      </c>
      <c r="Z275">
        <f>IF(G275="C",1,0)</f>
        <v>0</v>
      </c>
      <c r="AA275">
        <f>IF(G275="S",1,0)</f>
        <v>1</v>
      </c>
      <c r="AB275">
        <f>IF(G275="U",1,0)</f>
        <v>0</v>
      </c>
      <c r="AC275" s="5">
        <f>IF(AND(ISNUMBER(H275),NOT(ISNUMBER(P275))),1,0)</f>
        <v>0</v>
      </c>
      <c r="AD275" s="5">
        <f>IF(AND(ISNUMBER(H275),ISNUMBER(P275)),1,0)</f>
        <v>0</v>
      </c>
      <c r="AE275" s="5">
        <f>W275</f>
        <v>0.52</v>
      </c>
      <c r="AF275" s="5">
        <f>X275</f>
        <v>0.74641400000000002</v>
      </c>
      <c r="AG275" s="5">
        <f>Y275</f>
        <v>0</v>
      </c>
      <c r="AH275" s="5">
        <f>IF(OR(G275="C",G275="S",G275="U"),1,0)</f>
        <v>1</v>
      </c>
      <c r="AI275" s="5">
        <f>IF(ISNUMBER(H275),1,0)</f>
        <v>0</v>
      </c>
      <c r="AJ275" s="5">
        <f>IF(ISNUMBER(P275),1,0)</f>
        <v>1</v>
      </c>
      <c r="AK275" s="5" t="str">
        <f>IF(AI275=1,IF(J275&gt;0,1,0),"")</f>
        <v/>
      </c>
      <c r="AL275" s="5">
        <f>IF(AJ275=1,IF(OR(Q275&gt;0,R275&gt;0),1,0),"")</f>
        <v>0</v>
      </c>
    </row>
    <row r="276" spans="1:38">
      <c r="A276">
        <v>267233</v>
      </c>
      <c r="B276" t="s">
        <v>363</v>
      </c>
      <c r="C276" t="s">
        <v>77</v>
      </c>
      <c r="D276" t="s">
        <v>24</v>
      </c>
      <c r="E276">
        <v>1</v>
      </c>
      <c r="F276">
        <v>4093575</v>
      </c>
      <c r="G276" t="s">
        <v>25</v>
      </c>
      <c r="H276" t="s">
        <v>26</v>
      </c>
      <c r="I276" t="s">
        <v>26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>
        <v>1</v>
      </c>
      <c r="Q276">
        <v>0</v>
      </c>
      <c r="R276">
        <v>1</v>
      </c>
      <c r="S276">
        <v>0</v>
      </c>
      <c r="T276">
        <v>0.24429999999999999</v>
      </c>
      <c r="U276">
        <v>1</v>
      </c>
      <c r="V276">
        <v>1</v>
      </c>
      <c r="W276">
        <f>E276/100</f>
        <v>0.01</v>
      </c>
      <c r="X276">
        <f>F276/1000000</f>
        <v>4.0935750000000004</v>
      </c>
      <c r="Y276">
        <f>IF(D276="C",1,0)</f>
        <v>0</v>
      </c>
      <c r="Z276">
        <f>IF(G276="C",1,0)</f>
        <v>0</v>
      </c>
      <c r="AA276">
        <f>IF(G276="S",1,0)</f>
        <v>1</v>
      </c>
      <c r="AB276">
        <f>IF(G276="U",1,0)</f>
        <v>0</v>
      </c>
      <c r="AC276" s="5">
        <f>IF(AND(ISNUMBER(H276),NOT(ISNUMBER(P276))),1,0)</f>
        <v>0</v>
      </c>
      <c r="AD276" s="5">
        <f>IF(AND(ISNUMBER(H276),ISNUMBER(P276)),1,0)</f>
        <v>0</v>
      </c>
      <c r="AE276" s="5">
        <f>W276</f>
        <v>0.01</v>
      </c>
      <c r="AF276" s="5">
        <f>X276</f>
        <v>4.0935750000000004</v>
      </c>
      <c r="AG276" s="5">
        <f>Y276</f>
        <v>0</v>
      </c>
      <c r="AH276" s="5">
        <f>IF(OR(G276="C",G276="S",G276="U"),1,0)</f>
        <v>1</v>
      </c>
      <c r="AI276" s="5">
        <f>IF(ISNUMBER(H276),1,0)</f>
        <v>0</v>
      </c>
      <c r="AJ276" s="5">
        <f>IF(ISNUMBER(P276),1,0)</f>
        <v>1</v>
      </c>
      <c r="AK276" s="5" t="str">
        <f>IF(AI276=1,IF(J276&gt;0,1,0),"")</f>
        <v/>
      </c>
      <c r="AL276" s="5">
        <f>IF(AJ276=1,IF(OR(Q276&gt;0,R276&gt;0),1,0),"")</f>
        <v>1</v>
      </c>
    </row>
    <row r="277" spans="1:38">
      <c r="A277">
        <v>267244</v>
      </c>
      <c r="B277" t="s">
        <v>364</v>
      </c>
      <c r="C277" t="s">
        <v>23</v>
      </c>
      <c r="D277" t="s">
        <v>24</v>
      </c>
      <c r="E277">
        <v>21</v>
      </c>
      <c r="F277">
        <v>1730964</v>
      </c>
      <c r="G277" t="s">
        <v>25</v>
      </c>
      <c r="H277" t="s">
        <v>26</v>
      </c>
      <c r="I277" t="s">
        <v>26</v>
      </c>
      <c r="J277" t="s">
        <v>26</v>
      </c>
      <c r="K277" t="s">
        <v>26</v>
      </c>
      <c r="L277" t="s">
        <v>26</v>
      </c>
      <c r="M277" t="s">
        <v>26</v>
      </c>
      <c r="N277" t="s">
        <v>26</v>
      </c>
      <c r="O277" t="s">
        <v>26</v>
      </c>
      <c r="P277">
        <v>1</v>
      </c>
      <c r="Q277">
        <v>0</v>
      </c>
      <c r="R277">
        <v>0</v>
      </c>
      <c r="S277">
        <v>1</v>
      </c>
      <c r="T277">
        <v>0.57769999999999999</v>
      </c>
      <c r="U277">
        <v>4.7600000000000003E-2</v>
      </c>
      <c r="V277">
        <v>0</v>
      </c>
      <c r="W277">
        <f>E277/100</f>
        <v>0.21</v>
      </c>
      <c r="X277">
        <f>F277/1000000</f>
        <v>1.7309639999999999</v>
      </c>
      <c r="Y277">
        <f>IF(D277="C",1,0)</f>
        <v>0</v>
      </c>
      <c r="Z277">
        <f>IF(G277="C",1,0)</f>
        <v>0</v>
      </c>
      <c r="AA277">
        <f>IF(G277="S",1,0)</f>
        <v>1</v>
      </c>
      <c r="AB277">
        <f>IF(G277="U",1,0)</f>
        <v>0</v>
      </c>
      <c r="AC277" s="5">
        <f>IF(AND(ISNUMBER(H277),NOT(ISNUMBER(P277))),1,0)</f>
        <v>0</v>
      </c>
      <c r="AD277" s="5">
        <f>IF(AND(ISNUMBER(H277),ISNUMBER(P277)),1,0)</f>
        <v>0</v>
      </c>
      <c r="AE277" s="5">
        <f>W277</f>
        <v>0.21</v>
      </c>
      <c r="AF277" s="5">
        <f>X277</f>
        <v>1.7309639999999999</v>
      </c>
      <c r="AG277" s="5">
        <f>Y277</f>
        <v>0</v>
      </c>
      <c r="AH277" s="5">
        <f>IF(OR(G277="C",G277="S",G277="U"),1,0)</f>
        <v>1</v>
      </c>
      <c r="AI277" s="5">
        <f>IF(ISNUMBER(H277),1,0)</f>
        <v>0</v>
      </c>
      <c r="AJ277" s="5">
        <f>IF(ISNUMBER(P277),1,0)</f>
        <v>1</v>
      </c>
      <c r="AK277" s="5" t="str">
        <f>IF(AI277=1,IF(J277&gt;0,1,0),"")</f>
        <v/>
      </c>
      <c r="AL277" s="5">
        <f>IF(AJ277=1,IF(OR(Q277&gt;0,R277&gt;0),1,0),"")</f>
        <v>0</v>
      </c>
    </row>
    <row r="278" spans="1:38">
      <c r="A278">
        <v>268066</v>
      </c>
      <c r="B278" t="s">
        <v>365</v>
      </c>
      <c r="C278" t="s">
        <v>82</v>
      </c>
      <c r="D278" t="s">
        <v>24</v>
      </c>
      <c r="E278">
        <v>0</v>
      </c>
      <c r="F278">
        <v>11001</v>
      </c>
      <c r="G278" t="s">
        <v>25</v>
      </c>
      <c r="H278" t="s">
        <v>26</v>
      </c>
      <c r="I278" t="s">
        <v>26</v>
      </c>
      <c r="J278" t="s">
        <v>26</v>
      </c>
      <c r="K278" t="s">
        <v>26</v>
      </c>
      <c r="L278" t="s">
        <v>26</v>
      </c>
      <c r="M278" t="s">
        <v>26</v>
      </c>
      <c r="N278" t="s">
        <v>26</v>
      </c>
      <c r="O278" t="s">
        <v>26</v>
      </c>
      <c r="P278">
        <v>1</v>
      </c>
      <c r="Q278">
        <v>0</v>
      </c>
      <c r="R278">
        <v>0</v>
      </c>
      <c r="S278">
        <v>1</v>
      </c>
      <c r="T278">
        <v>90.900800000000004</v>
      </c>
      <c r="U278" t="s">
        <v>26</v>
      </c>
      <c r="V278">
        <v>0</v>
      </c>
      <c r="W278">
        <f>E278/100</f>
        <v>0</v>
      </c>
      <c r="X278">
        <f>F278/1000000</f>
        <v>1.1001E-2</v>
      </c>
      <c r="Y278">
        <f>IF(D278="C",1,0)</f>
        <v>0</v>
      </c>
      <c r="Z278">
        <f>IF(G278="C",1,0)</f>
        <v>0</v>
      </c>
      <c r="AA278">
        <f>IF(G278="S",1,0)</f>
        <v>1</v>
      </c>
      <c r="AB278">
        <f>IF(G278="U",1,0)</f>
        <v>0</v>
      </c>
      <c r="AC278" s="5">
        <f>IF(AND(ISNUMBER(H278),NOT(ISNUMBER(P278))),1,0)</f>
        <v>0</v>
      </c>
      <c r="AD278" s="5">
        <f>IF(AND(ISNUMBER(H278),ISNUMBER(P278)),1,0)</f>
        <v>0</v>
      </c>
      <c r="AE278" s="5">
        <f>W278</f>
        <v>0</v>
      </c>
      <c r="AF278" s="5">
        <f>X278</f>
        <v>1.1001E-2</v>
      </c>
      <c r="AG278" s="5">
        <f>Y278</f>
        <v>0</v>
      </c>
      <c r="AH278" s="5">
        <f>IF(OR(G278="C",G278="S",G278="U"),1,0)</f>
        <v>1</v>
      </c>
      <c r="AI278" s="5">
        <f>IF(ISNUMBER(H278),1,0)</f>
        <v>0</v>
      </c>
      <c r="AJ278" s="5">
        <f>IF(ISNUMBER(P278),1,0)</f>
        <v>1</v>
      </c>
      <c r="AK278" s="5" t="str">
        <f>IF(AI278=1,IF(J278&gt;0,1,0),"")</f>
        <v/>
      </c>
      <c r="AL278" s="5">
        <f>IF(AJ278=1,IF(OR(Q278&gt;0,R278&gt;0),1,0),"")</f>
        <v>0</v>
      </c>
    </row>
    <row r="279" spans="1:38">
      <c r="A279">
        <v>270168</v>
      </c>
      <c r="B279" t="s">
        <v>366</v>
      </c>
      <c r="C279" t="s">
        <v>23</v>
      </c>
      <c r="D279" t="s">
        <v>24</v>
      </c>
      <c r="E279">
        <v>1</v>
      </c>
      <c r="F279">
        <v>110258</v>
      </c>
      <c r="G279" t="s">
        <v>25</v>
      </c>
      <c r="H279" t="s">
        <v>26</v>
      </c>
      <c r="I279" t="s">
        <v>26</v>
      </c>
      <c r="J279" t="s">
        <v>26</v>
      </c>
      <c r="K279" t="s">
        <v>26</v>
      </c>
      <c r="L279" t="s">
        <v>26</v>
      </c>
      <c r="M279" t="s">
        <v>26</v>
      </c>
      <c r="N279" t="s">
        <v>26</v>
      </c>
      <c r="O279" t="s">
        <v>26</v>
      </c>
      <c r="P279">
        <v>2</v>
      </c>
      <c r="Q279">
        <v>0</v>
      </c>
      <c r="R279">
        <v>1</v>
      </c>
      <c r="S279">
        <v>2</v>
      </c>
      <c r="T279">
        <v>18.139299999999999</v>
      </c>
      <c r="U279">
        <v>2</v>
      </c>
      <c r="V279">
        <v>1</v>
      </c>
      <c r="W279">
        <f>E279/100</f>
        <v>0.01</v>
      </c>
      <c r="X279">
        <f>F279/1000000</f>
        <v>0.11025799999999999</v>
      </c>
      <c r="Y279">
        <f>IF(D279="C",1,0)</f>
        <v>0</v>
      </c>
      <c r="Z279">
        <f>IF(G279="C",1,0)</f>
        <v>0</v>
      </c>
      <c r="AA279">
        <f>IF(G279="S",1,0)</f>
        <v>1</v>
      </c>
      <c r="AB279">
        <f>IF(G279="U",1,0)</f>
        <v>0</v>
      </c>
      <c r="AC279" s="5">
        <f>IF(AND(ISNUMBER(H279),NOT(ISNUMBER(P279))),1,0)</f>
        <v>0</v>
      </c>
      <c r="AD279" s="5">
        <f>IF(AND(ISNUMBER(H279),ISNUMBER(P279)),1,0)</f>
        <v>0</v>
      </c>
      <c r="AE279" s="5">
        <f>W279</f>
        <v>0.01</v>
      </c>
      <c r="AF279" s="5">
        <f>X279</f>
        <v>0.11025799999999999</v>
      </c>
      <c r="AG279" s="5">
        <f>Y279</f>
        <v>0</v>
      </c>
      <c r="AH279" s="5">
        <f>IF(OR(G279="C",G279="S",G279="U"),1,0)</f>
        <v>1</v>
      </c>
      <c r="AI279" s="5">
        <f>IF(ISNUMBER(H279),1,0)</f>
        <v>0</v>
      </c>
      <c r="AJ279" s="5">
        <f>IF(ISNUMBER(P279),1,0)</f>
        <v>1</v>
      </c>
      <c r="AK279" s="5" t="str">
        <f>IF(AI279=1,IF(J279&gt;0,1,0),"")</f>
        <v/>
      </c>
      <c r="AL279" s="5">
        <f>IF(AJ279=1,IF(OR(Q279&gt;0,R279&gt;0),1,0),"")</f>
        <v>1</v>
      </c>
    </row>
    <row r="280" spans="1:38">
      <c r="A280">
        <v>270360</v>
      </c>
      <c r="B280" t="s">
        <v>367</v>
      </c>
      <c r="C280" t="s">
        <v>368</v>
      </c>
      <c r="D280" t="s">
        <v>24</v>
      </c>
      <c r="E280">
        <v>35</v>
      </c>
      <c r="F280">
        <v>1559027</v>
      </c>
      <c r="G280" t="s">
        <v>25</v>
      </c>
      <c r="H280" t="s">
        <v>26</v>
      </c>
      <c r="I280" t="s">
        <v>26</v>
      </c>
      <c r="J280" t="s">
        <v>26</v>
      </c>
      <c r="K280" t="s">
        <v>26</v>
      </c>
      <c r="L280" t="s">
        <v>26</v>
      </c>
      <c r="M280" t="s">
        <v>26</v>
      </c>
      <c r="N280" t="s">
        <v>26</v>
      </c>
      <c r="O280" t="s">
        <v>26</v>
      </c>
      <c r="P280">
        <v>1</v>
      </c>
      <c r="Q280">
        <v>0</v>
      </c>
      <c r="R280">
        <v>1</v>
      </c>
      <c r="S280">
        <v>1</v>
      </c>
      <c r="T280">
        <v>0.64139999999999997</v>
      </c>
      <c r="U280">
        <v>2.86E-2</v>
      </c>
      <c r="V280">
        <v>1</v>
      </c>
      <c r="W280">
        <f>E280/100</f>
        <v>0.35</v>
      </c>
      <c r="X280">
        <f>F280/1000000</f>
        <v>1.5590269999999999</v>
      </c>
      <c r="Y280">
        <f>IF(D280="C",1,0)</f>
        <v>0</v>
      </c>
      <c r="Z280">
        <f>IF(G280="C",1,0)</f>
        <v>0</v>
      </c>
      <c r="AA280">
        <f>IF(G280="S",1,0)</f>
        <v>1</v>
      </c>
      <c r="AB280">
        <f>IF(G280="U",1,0)</f>
        <v>0</v>
      </c>
      <c r="AC280" s="5">
        <f>IF(AND(ISNUMBER(H280),NOT(ISNUMBER(P280))),1,0)</f>
        <v>0</v>
      </c>
      <c r="AD280" s="5">
        <f>IF(AND(ISNUMBER(H280),ISNUMBER(P280)),1,0)</f>
        <v>0</v>
      </c>
      <c r="AE280" s="5">
        <f>W280</f>
        <v>0.35</v>
      </c>
      <c r="AF280" s="5">
        <f>X280</f>
        <v>1.5590269999999999</v>
      </c>
      <c r="AG280" s="5">
        <f>Y280</f>
        <v>0</v>
      </c>
      <c r="AH280" s="5">
        <f>IF(OR(G280="C",G280="S",G280="U"),1,0)</f>
        <v>1</v>
      </c>
      <c r="AI280" s="5">
        <f>IF(ISNUMBER(H280),1,0)</f>
        <v>0</v>
      </c>
      <c r="AJ280" s="5">
        <f>IF(ISNUMBER(P280),1,0)</f>
        <v>1</v>
      </c>
      <c r="AK280" s="5" t="str">
        <f>IF(AI280=1,IF(J280&gt;0,1,0),"")</f>
        <v/>
      </c>
      <c r="AL280" s="5">
        <f>IF(AJ280=1,IF(OR(Q280&gt;0,R280&gt;0),1,0),"")</f>
        <v>1</v>
      </c>
    </row>
    <row r="281" spans="1:38">
      <c r="A281">
        <v>273591</v>
      </c>
      <c r="B281" t="s">
        <v>371</v>
      </c>
      <c r="C281" t="s">
        <v>37</v>
      </c>
      <c r="D281" t="s">
        <v>24</v>
      </c>
      <c r="E281">
        <v>17</v>
      </c>
      <c r="F281">
        <v>570000</v>
      </c>
      <c r="G281" t="s">
        <v>25</v>
      </c>
      <c r="H281" t="s">
        <v>26</v>
      </c>
      <c r="I281" t="s">
        <v>26</v>
      </c>
      <c r="J281" t="s">
        <v>26</v>
      </c>
      <c r="K281" t="s">
        <v>26</v>
      </c>
      <c r="L281" t="s">
        <v>26</v>
      </c>
      <c r="M281" t="s">
        <v>26</v>
      </c>
      <c r="N281" t="s">
        <v>26</v>
      </c>
      <c r="O281" t="s">
        <v>26</v>
      </c>
      <c r="P281">
        <v>1</v>
      </c>
      <c r="Q281">
        <v>0</v>
      </c>
      <c r="R281">
        <v>0</v>
      </c>
      <c r="S281">
        <v>1</v>
      </c>
      <c r="T281">
        <v>1.7544</v>
      </c>
      <c r="U281">
        <v>5.8799999999999998E-2</v>
      </c>
      <c r="V281">
        <v>0</v>
      </c>
      <c r="W281">
        <f>E281/100</f>
        <v>0.17</v>
      </c>
      <c r="X281">
        <f>F281/1000000</f>
        <v>0.56999999999999995</v>
      </c>
      <c r="Y281">
        <f>IF(D281="C",1,0)</f>
        <v>0</v>
      </c>
      <c r="Z281">
        <f>IF(G281="C",1,0)</f>
        <v>0</v>
      </c>
      <c r="AA281">
        <f>IF(G281="S",1,0)</f>
        <v>1</v>
      </c>
      <c r="AB281">
        <f>IF(G281="U",1,0)</f>
        <v>0</v>
      </c>
      <c r="AC281" s="5">
        <f>IF(AND(ISNUMBER(H281),NOT(ISNUMBER(P281))),1,0)</f>
        <v>0</v>
      </c>
      <c r="AD281" s="5">
        <f>IF(AND(ISNUMBER(H281),ISNUMBER(P281)),1,0)</f>
        <v>0</v>
      </c>
      <c r="AE281" s="5">
        <f>W281</f>
        <v>0.17</v>
      </c>
      <c r="AF281" s="5">
        <f>X281</f>
        <v>0.56999999999999995</v>
      </c>
      <c r="AG281" s="5">
        <f>Y281</f>
        <v>0</v>
      </c>
      <c r="AH281" s="5">
        <f>IF(OR(G281="C",G281="S",G281="U"),1,0)</f>
        <v>1</v>
      </c>
      <c r="AI281" s="5">
        <f>IF(ISNUMBER(H281),1,0)</f>
        <v>0</v>
      </c>
      <c r="AJ281" s="5">
        <f>IF(ISNUMBER(P281),1,0)</f>
        <v>1</v>
      </c>
      <c r="AK281" s="5" t="str">
        <f>IF(AI281=1,IF(J281&gt;0,1,0),"")</f>
        <v/>
      </c>
      <c r="AL281" s="5">
        <f>IF(AJ281=1,IF(OR(Q281&gt;0,R281&gt;0),1,0),"")</f>
        <v>0</v>
      </c>
    </row>
    <row r="282" spans="1:38">
      <c r="A282">
        <v>274284</v>
      </c>
      <c r="B282" t="s">
        <v>373</v>
      </c>
      <c r="C282" t="s">
        <v>23</v>
      </c>
      <c r="D282" t="s">
        <v>24</v>
      </c>
      <c r="E282">
        <v>3</v>
      </c>
      <c r="F282">
        <v>220000</v>
      </c>
      <c r="H282" t="s">
        <v>26</v>
      </c>
      <c r="I282" t="s">
        <v>26</v>
      </c>
      <c r="J282" t="s">
        <v>26</v>
      </c>
      <c r="K282" t="s">
        <v>26</v>
      </c>
      <c r="L282" t="s">
        <v>26</v>
      </c>
      <c r="M282" t="s">
        <v>26</v>
      </c>
      <c r="N282" t="s">
        <v>26</v>
      </c>
      <c r="O282" t="s">
        <v>26</v>
      </c>
      <c r="P282">
        <v>1</v>
      </c>
      <c r="Q282">
        <v>0</v>
      </c>
      <c r="R282">
        <v>0</v>
      </c>
      <c r="S282">
        <v>1</v>
      </c>
      <c r="T282">
        <v>4.5454999999999997</v>
      </c>
      <c r="U282">
        <v>0.33329999999999999</v>
      </c>
      <c r="V282">
        <v>0</v>
      </c>
      <c r="W282">
        <f>E282/100</f>
        <v>0.03</v>
      </c>
      <c r="X282">
        <f>F282/1000000</f>
        <v>0.22</v>
      </c>
      <c r="Y282">
        <f>IF(D282="C",1,0)</f>
        <v>0</v>
      </c>
      <c r="Z282">
        <f>IF(G282="C",1,0)</f>
        <v>0</v>
      </c>
      <c r="AA282">
        <f>IF(G282="S",1,0)</f>
        <v>0</v>
      </c>
      <c r="AB282">
        <f>IF(G282="U",1,0)</f>
        <v>0</v>
      </c>
      <c r="AC282" s="5">
        <f>IF(AND(ISNUMBER(H282),NOT(ISNUMBER(P282))),1,0)</f>
        <v>0</v>
      </c>
      <c r="AD282" s="5">
        <f>IF(AND(ISNUMBER(H282),ISNUMBER(P282)),1,0)</f>
        <v>0</v>
      </c>
      <c r="AE282" s="5">
        <f>W282</f>
        <v>0.03</v>
      </c>
      <c r="AF282" s="5">
        <f>X282</f>
        <v>0.22</v>
      </c>
      <c r="AG282" s="5">
        <f>Y282</f>
        <v>0</v>
      </c>
      <c r="AH282" s="5">
        <f>IF(OR(G282="C",G282="S",G282="U"),1,0)</f>
        <v>0</v>
      </c>
      <c r="AI282" s="5">
        <f>IF(ISNUMBER(H282),1,0)</f>
        <v>0</v>
      </c>
      <c r="AJ282" s="5">
        <f>IF(ISNUMBER(P282),1,0)</f>
        <v>1</v>
      </c>
      <c r="AK282" s="5" t="str">
        <f>IF(AI282=1,IF(J282&gt;0,1,0),"")</f>
        <v/>
      </c>
      <c r="AL282" s="5">
        <f>IF(AJ282=1,IF(OR(Q282&gt;0,R282&gt;0),1,0),"")</f>
        <v>0</v>
      </c>
    </row>
    <row r="283" spans="1:38">
      <c r="A283">
        <v>274292</v>
      </c>
      <c r="B283" t="s">
        <v>374</v>
      </c>
      <c r="C283" t="s">
        <v>23</v>
      </c>
      <c r="D283" t="s">
        <v>24</v>
      </c>
      <c r="E283">
        <v>58</v>
      </c>
      <c r="F283">
        <v>5329120</v>
      </c>
      <c r="G283" t="s">
        <v>25</v>
      </c>
      <c r="H283" t="s">
        <v>26</v>
      </c>
      <c r="I283" t="s">
        <v>26</v>
      </c>
      <c r="J283" t="s">
        <v>26</v>
      </c>
      <c r="K283" t="s">
        <v>26</v>
      </c>
      <c r="L283" t="s">
        <v>26</v>
      </c>
      <c r="M283" t="s">
        <v>26</v>
      </c>
      <c r="N283" t="s">
        <v>26</v>
      </c>
      <c r="O283" t="s">
        <v>26</v>
      </c>
      <c r="P283">
        <v>1</v>
      </c>
      <c r="Q283">
        <v>0</v>
      </c>
      <c r="R283">
        <v>1</v>
      </c>
      <c r="S283">
        <v>1</v>
      </c>
      <c r="T283">
        <v>0.18759999999999999</v>
      </c>
      <c r="U283">
        <v>1.72E-2</v>
      </c>
      <c r="V283">
        <v>1</v>
      </c>
      <c r="W283">
        <f>E283/100</f>
        <v>0.57999999999999996</v>
      </c>
      <c r="X283">
        <f>F283/1000000</f>
        <v>5.3291199999999996</v>
      </c>
      <c r="Y283">
        <f>IF(D283="C",1,0)</f>
        <v>0</v>
      </c>
      <c r="Z283">
        <f>IF(G283="C",1,0)</f>
        <v>0</v>
      </c>
      <c r="AA283">
        <f>IF(G283="S",1,0)</f>
        <v>1</v>
      </c>
      <c r="AB283">
        <f>IF(G283="U",1,0)</f>
        <v>0</v>
      </c>
      <c r="AC283" s="5">
        <f>IF(AND(ISNUMBER(H283),NOT(ISNUMBER(P283))),1,0)</f>
        <v>0</v>
      </c>
      <c r="AD283" s="5">
        <f>IF(AND(ISNUMBER(H283),ISNUMBER(P283)),1,0)</f>
        <v>0</v>
      </c>
      <c r="AE283" s="5">
        <f>W283</f>
        <v>0.57999999999999996</v>
      </c>
      <c r="AF283" s="5">
        <f>X283</f>
        <v>5.3291199999999996</v>
      </c>
      <c r="AG283" s="5">
        <f>Y283</f>
        <v>0</v>
      </c>
      <c r="AH283" s="5">
        <f>IF(OR(G283="C",G283="S",G283="U"),1,0)</f>
        <v>1</v>
      </c>
      <c r="AI283" s="5">
        <f>IF(ISNUMBER(H283),1,0)</f>
        <v>0</v>
      </c>
      <c r="AJ283" s="5">
        <f>IF(ISNUMBER(P283),1,0)</f>
        <v>1</v>
      </c>
      <c r="AK283" s="5" t="str">
        <f>IF(AI283=1,IF(J283&gt;0,1,0),"")</f>
        <v/>
      </c>
      <c r="AL283" s="5">
        <f>IF(AJ283=1,IF(OR(Q283&gt;0,R283&gt;0),1,0),"")</f>
        <v>1</v>
      </c>
    </row>
    <row r="284" spans="1:38">
      <c r="A284">
        <v>274893</v>
      </c>
      <c r="B284" t="s">
        <v>375</v>
      </c>
      <c r="C284" t="s">
        <v>338</v>
      </c>
      <c r="D284" t="s">
        <v>24</v>
      </c>
      <c r="E284">
        <v>91</v>
      </c>
      <c r="F284">
        <v>2865000</v>
      </c>
      <c r="G284" t="s">
        <v>25</v>
      </c>
      <c r="H284" t="s">
        <v>26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>
        <v>1</v>
      </c>
      <c r="Q284">
        <v>0</v>
      </c>
      <c r="R284">
        <v>0</v>
      </c>
      <c r="S284">
        <v>1</v>
      </c>
      <c r="T284">
        <v>0.34899999999999998</v>
      </c>
      <c r="U284">
        <v>1.0999999999999999E-2</v>
      </c>
      <c r="V284">
        <v>0</v>
      </c>
      <c r="W284">
        <f>E284/100</f>
        <v>0.91</v>
      </c>
      <c r="X284">
        <f>F284/1000000</f>
        <v>2.8650000000000002</v>
      </c>
      <c r="Y284">
        <f>IF(D284="C",1,0)</f>
        <v>0</v>
      </c>
      <c r="Z284">
        <f>IF(G284="C",1,0)</f>
        <v>0</v>
      </c>
      <c r="AA284">
        <f>IF(G284="S",1,0)</f>
        <v>1</v>
      </c>
      <c r="AB284">
        <f>IF(G284="U",1,0)</f>
        <v>0</v>
      </c>
      <c r="AC284" s="5">
        <f>IF(AND(ISNUMBER(H284),NOT(ISNUMBER(P284))),1,0)</f>
        <v>0</v>
      </c>
      <c r="AD284" s="5">
        <f>IF(AND(ISNUMBER(H284),ISNUMBER(P284)),1,0)</f>
        <v>0</v>
      </c>
      <c r="AE284" s="5">
        <f>W284</f>
        <v>0.91</v>
      </c>
      <c r="AF284" s="5">
        <f>X284</f>
        <v>2.8650000000000002</v>
      </c>
      <c r="AG284" s="5">
        <f>Y284</f>
        <v>0</v>
      </c>
      <c r="AH284" s="5">
        <f>IF(OR(G284="C",G284="S",G284="U"),1,0)</f>
        <v>1</v>
      </c>
      <c r="AI284" s="5">
        <f>IF(ISNUMBER(H284),1,0)</f>
        <v>0</v>
      </c>
      <c r="AJ284" s="5">
        <f>IF(ISNUMBER(P284),1,0)</f>
        <v>1</v>
      </c>
      <c r="AK284" s="5" t="str">
        <f>IF(AI284=1,IF(J284&gt;0,1,0),"")</f>
        <v/>
      </c>
      <c r="AL284" s="5">
        <f>IF(AJ284=1,IF(OR(Q284&gt;0,R284&gt;0),1,0),"")</f>
        <v>0</v>
      </c>
    </row>
    <row r="285" spans="1:38">
      <c r="A285">
        <v>275165</v>
      </c>
      <c r="B285" t="s">
        <v>376</v>
      </c>
      <c r="C285" t="s">
        <v>37</v>
      </c>
      <c r="D285" t="s">
        <v>24</v>
      </c>
      <c r="E285">
        <v>15</v>
      </c>
      <c r="F285">
        <v>1113647</v>
      </c>
      <c r="H285" t="s">
        <v>26</v>
      </c>
      <c r="I285" t="s">
        <v>26</v>
      </c>
      <c r="J285" t="s">
        <v>26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>
        <v>1</v>
      </c>
      <c r="Q285">
        <v>0</v>
      </c>
      <c r="R285">
        <v>0</v>
      </c>
      <c r="S285">
        <v>1</v>
      </c>
      <c r="T285">
        <v>0.89800000000000002</v>
      </c>
      <c r="U285">
        <v>6.6699999999999995E-2</v>
      </c>
      <c r="V285">
        <v>0</v>
      </c>
      <c r="W285">
        <f>E285/100</f>
        <v>0.15</v>
      </c>
      <c r="X285">
        <f>F285/1000000</f>
        <v>1.1136470000000001</v>
      </c>
      <c r="Y285">
        <f>IF(D285="C",1,0)</f>
        <v>0</v>
      </c>
      <c r="Z285">
        <f>IF(G285="C",1,0)</f>
        <v>0</v>
      </c>
      <c r="AA285">
        <f>IF(G285="S",1,0)</f>
        <v>0</v>
      </c>
      <c r="AB285">
        <f>IF(G285="U",1,0)</f>
        <v>0</v>
      </c>
      <c r="AC285" s="5">
        <f>IF(AND(ISNUMBER(H285),NOT(ISNUMBER(P285))),1,0)</f>
        <v>0</v>
      </c>
      <c r="AD285" s="5">
        <f>IF(AND(ISNUMBER(H285),ISNUMBER(P285)),1,0)</f>
        <v>0</v>
      </c>
      <c r="AE285" s="5">
        <f>W285</f>
        <v>0.15</v>
      </c>
      <c r="AF285" s="5">
        <f>X285</f>
        <v>1.1136470000000001</v>
      </c>
      <c r="AG285" s="5">
        <f>Y285</f>
        <v>0</v>
      </c>
      <c r="AH285" s="5">
        <f>IF(OR(G285="C",G285="S",G285="U"),1,0)</f>
        <v>0</v>
      </c>
      <c r="AI285" s="5">
        <f>IF(ISNUMBER(H285),1,0)</f>
        <v>0</v>
      </c>
      <c r="AJ285" s="5">
        <f>IF(ISNUMBER(P285),1,0)</f>
        <v>1</v>
      </c>
      <c r="AK285" s="5" t="str">
        <f>IF(AI285=1,IF(J285&gt;0,1,0),"")</f>
        <v/>
      </c>
      <c r="AL285" s="5">
        <f>IF(AJ285=1,IF(OR(Q285&gt;0,R285&gt;0),1,0),"")</f>
        <v>0</v>
      </c>
    </row>
    <row r="286" spans="1:38">
      <c r="A286">
        <v>275519</v>
      </c>
      <c r="B286" t="s">
        <v>377</v>
      </c>
      <c r="C286" t="s">
        <v>23</v>
      </c>
      <c r="D286" t="s">
        <v>24</v>
      </c>
      <c r="E286">
        <v>77</v>
      </c>
      <c r="F286">
        <v>1250000</v>
      </c>
      <c r="G286" t="s">
        <v>25</v>
      </c>
      <c r="H286" t="s">
        <v>26</v>
      </c>
      <c r="I286" t="s">
        <v>26</v>
      </c>
      <c r="J286" t="s">
        <v>26</v>
      </c>
      <c r="K286" t="s">
        <v>26</v>
      </c>
      <c r="L286" t="s">
        <v>26</v>
      </c>
      <c r="M286" t="s">
        <v>26</v>
      </c>
      <c r="N286" t="s">
        <v>26</v>
      </c>
      <c r="O286" t="s">
        <v>26</v>
      </c>
      <c r="P286">
        <v>1</v>
      </c>
      <c r="Q286">
        <v>0</v>
      </c>
      <c r="R286">
        <v>0</v>
      </c>
      <c r="S286">
        <v>1</v>
      </c>
      <c r="T286">
        <v>0.8</v>
      </c>
      <c r="U286">
        <v>1.2999999999999999E-2</v>
      </c>
      <c r="V286">
        <v>0</v>
      </c>
      <c r="W286">
        <f>E286/100</f>
        <v>0.77</v>
      </c>
      <c r="X286">
        <f>F286/1000000</f>
        <v>1.25</v>
      </c>
      <c r="Y286">
        <f>IF(D286="C",1,0)</f>
        <v>0</v>
      </c>
      <c r="Z286">
        <f>IF(G286="C",1,0)</f>
        <v>0</v>
      </c>
      <c r="AA286">
        <f>IF(G286="S",1,0)</f>
        <v>1</v>
      </c>
      <c r="AB286">
        <f>IF(G286="U",1,0)</f>
        <v>0</v>
      </c>
      <c r="AC286" s="5">
        <f>IF(AND(ISNUMBER(H286),NOT(ISNUMBER(P286))),1,0)</f>
        <v>0</v>
      </c>
      <c r="AD286" s="5">
        <f>IF(AND(ISNUMBER(H286),ISNUMBER(P286)),1,0)</f>
        <v>0</v>
      </c>
      <c r="AE286" s="5">
        <f>W286</f>
        <v>0.77</v>
      </c>
      <c r="AF286" s="5">
        <f>X286</f>
        <v>1.25</v>
      </c>
      <c r="AG286" s="5">
        <f>Y286</f>
        <v>0</v>
      </c>
      <c r="AH286" s="5">
        <f>IF(OR(G286="C",G286="S",G286="U"),1,0)</f>
        <v>1</v>
      </c>
      <c r="AI286" s="5">
        <f>IF(ISNUMBER(H286),1,0)</f>
        <v>0</v>
      </c>
      <c r="AJ286" s="5">
        <f>IF(ISNUMBER(P286),1,0)</f>
        <v>1</v>
      </c>
      <c r="AK286" s="5" t="str">
        <f>IF(AI286=1,IF(J286&gt;0,1,0),"")</f>
        <v/>
      </c>
      <c r="AL286" s="5">
        <f>IF(AJ286=1,IF(OR(Q286&gt;0,R286&gt;0),1,0),"")</f>
        <v>0</v>
      </c>
    </row>
    <row r="287" spans="1:38">
      <c r="A287">
        <v>277111</v>
      </c>
      <c r="B287" t="s">
        <v>379</v>
      </c>
      <c r="C287" t="s">
        <v>135</v>
      </c>
      <c r="D287" t="s">
        <v>24</v>
      </c>
      <c r="E287">
        <v>70</v>
      </c>
      <c r="F287">
        <v>6400000</v>
      </c>
      <c r="G287" t="s">
        <v>25</v>
      </c>
      <c r="H287" t="s">
        <v>26</v>
      </c>
      <c r="I287" t="s">
        <v>26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>
        <v>1</v>
      </c>
      <c r="Q287">
        <v>0</v>
      </c>
      <c r="R287">
        <v>1</v>
      </c>
      <c r="S287">
        <v>1</v>
      </c>
      <c r="T287">
        <v>0.15629999999999999</v>
      </c>
      <c r="U287">
        <v>1.43E-2</v>
      </c>
      <c r="V287">
        <v>1</v>
      </c>
      <c r="W287">
        <f>E287/100</f>
        <v>0.7</v>
      </c>
      <c r="X287">
        <f>F287/1000000</f>
        <v>6.4</v>
      </c>
      <c r="Y287">
        <f>IF(D287="C",1,0)</f>
        <v>0</v>
      </c>
      <c r="Z287">
        <f>IF(G287="C",1,0)</f>
        <v>0</v>
      </c>
      <c r="AA287">
        <f>IF(G287="S",1,0)</f>
        <v>1</v>
      </c>
      <c r="AB287">
        <f>IF(G287="U",1,0)</f>
        <v>0</v>
      </c>
      <c r="AC287" s="5">
        <f>IF(AND(ISNUMBER(H287),NOT(ISNUMBER(P287))),1,0)</f>
        <v>0</v>
      </c>
      <c r="AD287" s="5">
        <f>IF(AND(ISNUMBER(H287),ISNUMBER(P287)),1,0)</f>
        <v>0</v>
      </c>
      <c r="AE287" s="5">
        <f>W287</f>
        <v>0.7</v>
      </c>
      <c r="AF287" s="5">
        <f>X287</f>
        <v>6.4</v>
      </c>
      <c r="AG287" s="5">
        <f>Y287</f>
        <v>0</v>
      </c>
      <c r="AH287" s="5">
        <f>IF(OR(G287="C",G287="S",G287="U"),1,0)</f>
        <v>1</v>
      </c>
      <c r="AI287" s="5">
        <f>IF(ISNUMBER(H287),1,0)</f>
        <v>0</v>
      </c>
      <c r="AJ287" s="5">
        <f>IF(ISNUMBER(P287),1,0)</f>
        <v>1</v>
      </c>
      <c r="AK287" s="5" t="str">
        <f>IF(AI287=1,IF(J287&gt;0,1,0),"")</f>
        <v/>
      </c>
      <c r="AL287" s="5">
        <f>IF(AJ287=1,IF(OR(Q287&gt;0,R287&gt;0),1,0),"")</f>
        <v>1</v>
      </c>
    </row>
    <row r="288" spans="1:38">
      <c r="A288">
        <v>277257</v>
      </c>
      <c r="B288" t="s">
        <v>380</v>
      </c>
      <c r="C288" t="s">
        <v>77</v>
      </c>
      <c r="D288" t="s">
        <v>24</v>
      </c>
      <c r="E288">
        <v>26</v>
      </c>
      <c r="F288">
        <v>1199209</v>
      </c>
      <c r="G288" t="s">
        <v>25</v>
      </c>
      <c r="H288" t="s">
        <v>26</v>
      </c>
      <c r="I288" t="s">
        <v>26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>
        <v>1</v>
      </c>
      <c r="Q288">
        <v>0</v>
      </c>
      <c r="R288">
        <v>1</v>
      </c>
      <c r="S288">
        <v>1</v>
      </c>
      <c r="T288">
        <v>0.83389999999999997</v>
      </c>
      <c r="U288">
        <v>3.85E-2</v>
      </c>
      <c r="V288">
        <v>1</v>
      </c>
      <c r="W288">
        <f>E288/100</f>
        <v>0.26</v>
      </c>
      <c r="X288">
        <f>F288/1000000</f>
        <v>1.199209</v>
      </c>
      <c r="Y288">
        <f>IF(D288="C",1,0)</f>
        <v>0</v>
      </c>
      <c r="Z288">
        <f>IF(G288="C",1,0)</f>
        <v>0</v>
      </c>
      <c r="AA288">
        <f>IF(G288="S",1,0)</f>
        <v>1</v>
      </c>
      <c r="AB288">
        <f>IF(G288="U",1,0)</f>
        <v>0</v>
      </c>
      <c r="AC288" s="5">
        <f>IF(AND(ISNUMBER(H288),NOT(ISNUMBER(P288))),1,0)</f>
        <v>0</v>
      </c>
      <c r="AD288" s="5">
        <f>IF(AND(ISNUMBER(H288),ISNUMBER(P288)),1,0)</f>
        <v>0</v>
      </c>
      <c r="AE288" s="5">
        <f>W288</f>
        <v>0.26</v>
      </c>
      <c r="AF288" s="5">
        <f>X288</f>
        <v>1.199209</v>
      </c>
      <c r="AG288" s="5">
        <f>Y288</f>
        <v>0</v>
      </c>
      <c r="AH288" s="5">
        <f>IF(OR(G288="C",G288="S",G288="U"),1,0)</f>
        <v>1</v>
      </c>
      <c r="AI288" s="5">
        <f>IF(ISNUMBER(H288),1,0)</f>
        <v>0</v>
      </c>
      <c r="AJ288" s="5">
        <f>IF(ISNUMBER(P288),1,0)</f>
        <v>1</v>
      </c>
      <c r="AK288" s="5" t="str">
        <f>IF(AI288=1,IF(J288&gt;0,1,0),"")</f>
        <v/>
      </c>
      <c r="AL288" s="5">
        <f>IF(AJ288=1,IF(OR(Q288&gt;0,R288&gt;0),1,0),"")</f>
        <v>1</v>
      </c>
    </row>
    <row r="289" spans="1:38">
      <c r="A289">
        <v>277649</v>
      </c>
      <c r="B289" t="s">
        <v>381</v>
      </c>
      <c r="C289" t="s">
        <v>37</v>
      </c>
      <c r="D289" t="s">
        <v>24</v>
      </c>
      <c r="E289">
        <v>576</v>
      </c>
      <c r="F289">
        <v>5172664</v>
      </c>
      <c r="G289" t="s">
        <v>25</v>
      </c>
      <c r="H289" t="s">
        <v>26</v>
      </c>
      <c r="I289" t="s">
        <v>26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>
        <v>1</v>
      </c>
      <c r="Q289">
        <v>0</v>
      </c>
      <c r="R289">
        <v>1</v>
      </c>
      <c r="S289">
        <v>1</v>
      </c>
      <c r="T289">
        <v>0.1933</v>
      </c>
      <c r="U289">
        <v>1.6999999999999999E-3</v>
      </c>
      <c r="V289">
        <v>1</v>
      </c>
      <c r="W289">
        <f>E289/100</f>
        <v>5.76</v>
      </c>
      <c r="X289">
        <f>F289/1000000</f>
        <v>5.1726640000000002</v>
      </c>
      <c r="Y289">
        <f>IF(D289="C",1,0)</f>
        <v>0</v>
      </c>
      <c r="Z289">
        <f>IF(G289="C",1,0)</f>
        <v>0</v>
      </c>
      <c r="AA289">
        <f>IF(G289="S",1,0)</f>
        <v>1</v>
      </c>
      <c r="AB289">
        <f>IF(G289="U",1,0)</f>
        <v>0</v>
      </c>
      <c r="AC289" s="5">
        <f>IF(AND(ISNUMBER(H289),NOT(ISNUMBER(P289))),1,0)</f>
        <v>0</v>
      </c>
      <c r="AD289" s="5">
        <f>IF(AND(ISNUMBER(H289),ISNUMBER(P289)),1,0)</f>
        <v>0</v>
      </c>
      <c r="AE289" s="5">
        <f>W289</f>
        <v>5.76</v>
      </c>
      <c r="AF289" s="5">
        <f>X289</f>
        <v>5.1726640000000002</v>
      </c>
      <c r="AG289" s="5">
        <f>Y289</f>
        <v>0</v>
      </c>
      <c r="AH289" s="5">
        <f>IF(OR(G289="C",G289="S",G289="U"),1,0)</f>
        <v>1</v>
      </c>
      <c r="AI289" s="5">
        <f>IF(ISNUMBER(H289),1,0)</f>
        <v>0</v>
      </c>
      <c r="AJ289" s="5">
        <f>IF(ISNUMBER(P289),1,0)</f>
        <v>1</v>
      </c>
      <c r="AK289" s="5" t="str">
        <f>IF(AI289=1,IF(J289&gt;0,1,0),"")</f>
        <v/>
      </c>
      <c r="AL289" s="5">
        <f>IF(AJ289=1,IF(OR(Q289&gt;0,R289&gt;0),1,0),"")</f>
        <v>1</v>
      </c>
    </row>
    <row r="290" spans="1:38">
      <c r="A290">
        <v>277789</v>
      </c>
      <c r="B290" t="s">
        <v>382</v>
      </c>
      <c r="C290" t="s">
        <v>37</v>
      </c>
      <c r="D290" t="s">
        <v>24</v>
      </c>
      <c r="E290">
        <v>238</v>
      </c>
      <c r="F290">
        <v>654123</v>
      </c>
      <c r="G290" t="s">
        <v>25</v>
      </c>
      <c r="H290" t="s">
        <v>26</v>
      </c>
      <c r="I290" t="s">
        <v>26</v>
      </c>
      <c r="J290" t="s">
        <v>26</v>
      </c>
      <c r="K290" t="s">
        <v>26</v>
      </c>
      <c r="L290" t="s">
        <v>26</v>
      </c>
      <c r="M290" t="s">
        <v>26</v>
      </c>
      <c r="N290" t="s">
        <v>26</v>
      </c>
      <c r="O290" t="s">
        <v>26</v>
      </c>
      <c r="P290">
        <v>1</v>
      </c>
      <c r="Q290">
        <v>0</v>
      </c>
      <c r="R290">
        <v>1</v>
      </c>
      <c r="S290">
        <v>0</v>
      </c>
      <c r="T290">
        <v>1.5287999999999999</v>
      </c>
      <c r="U290">
        <v>4.1999999999999997E-3</v>
      </c>
      <c r="V290">
        <v>1</v>
      </c>
      <c r="W290">
        <f>E290/100</f>
        <v>2.38</v>
      </c>
      <c r="X290">
        <f>F290/1000000</f>
        <v>0.65412300000000001</v>
      </c>
      <c r="Y290">
        <f>IF(D290="C",1,0)</f>
        <v>0</v>
      </c>
      <c r="Z290">
        <f>IF(G290="C",1,0)</f>
        <v>0</v>
      </c>
      <c r="AA290">
        <f>IF(G290="S",1,0)</f>
        <v>1</v>
      </c>
      <c r="AB290">
        <f>IF(G290="U",1,0)</f>
        <v>0</v>
      </c>
      <c r="AC290" s="5">
        <f>IF(AND(ISNUMBER(H290),NOT(ISNUMBER(P290))),1,0)</f>
        <v>0</v>
      </c>
      <c r="AD290" s="5">
        <f>IF(AND(ISNUMBER(H290),ISNUMBER(P290)),1,0)</f>
        <v>0</v>
      </c>
      <c r="AE290" s="5">
        <f>W290</f>
        <v>2.38</v>
      </c>
      <c r="AF290" s="5">
        <f>X290</f>
        <v>0.65412300000000001</v>
      </c>
      <c r="AG290" s="5">
        <f>Y290</f>
        <v>0</v>
      </c>
      <c r="AH290" s="5">
        <f>IF(OR(G290="C",G290="S",G290="U"),1,0)</f>
        <v>1</v>
      </c>
      <c r="AI290" s="5">
        <f>IF(ISNUMBER(H290),1,0)</f>
        <v>0</v>
      </c>
      <c r="AJ290" s="5">
        <f>IF(ISNUMBER(P290),1,0)</f>
        <v>1</v>
      </c>
      <c r="AK290" s="5" t="str">
        <f>IF(AI290=1,IF(J290&gt;0,1,0),"")</f>
        <v/>
      </c>
      <c r="AL290" s="5">
        <f>IF(AJ290=1,IF(OR(Q290&gt;0,R290&gt;0),1,0),"")</f>
        <v>1</v>
      </c>
    </row>
    <row r="291" spans="1:38">
      <c r="A291">
        <v>278269</v>
      </c>
      <c r="B291" t="s">
        <v>383</v>
      </c>
      <c r="C291" t="s">
        <v>82</v>
      </c>
      <c r="D291" t="s">
        <v>24</v>
      </c>
      <c r="E291">
        <v>34</v>
      </c>
      <c r="F291">
        <v>1064190</v>
      </c>
      <c r="G291" t="s">
        <v>25</v>
      </c>
      <c r="H291" t="s">
        <v>26</v>
      </c>
      <c r="I291" t="s">
        <v>26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>
        <v>1</v>
      </c>
      <c r="Q291">
        <v>0</v>
      </c>
      <c r="R291">
        <v>0</v>
      </c>
      <c r="S291">
        <v>1</v>
      </c>
      <c r="T291">
        <v>0.93969999999999998</v>
      </c>
      <c r="U291">
        <v>2.9399999999999999E-2</v>
      </c>
      <c r="V291">
        <v>0</v>
      </c>
      <c r="W291">
        <f>E291/100</f>
        <v>0.34</v>
      </c>
      <c r="X291">
        <f>F291/1000000</f>
        <v>1.06419</v>
      </c>
      <c r="Y291">
        <f>IF(D291="C",1,0)</f>
        <v>0</v>
      </c>
      <c r="Z291">
        <f>IF(G291="C",1,0)</f>
        <v>0</v>
      </c>
      <c r="AA291">
        <f>IF(G291="S",1,0)</f>
        <v>1</v>
      </c>
      <c r="AB291">
        <f>IF(G291="U",1,0)</f>
        <v>0</v>
      </c>
      <c r="AC291" s="5">
        <f>IF(AND(ISNUMBER(H291),NOT(ISNUMBER(P291))),1,0)</f>
        <v>0</v>
      </c>
      <c r="AD291" s="5">
        <f>IF(AND(ISNUMBER(H291),ISNUMBER(P291)),1,0)</f>
        <v>0</v>
      </c>
      <c r="AE291" s="5">
        <f>W291</f>
        <v>0.34</v>
      </c>
      <c r="AF291" s="5">
        <f>X291</f>
        <v>1.06419</v>
      </c>
      <c r="AG291" s="5">
        <f>Y291</f>
        <v>0</v>
      </c>
      <c r="AH291" s="5">
        <f>IF(OR(G291="C",G291="S",G291="U"),1,0)</f>
        <v>1</v>
      </c>
      <c r="AI291" s="5">
        <f>IF(ISNUMBER(H291),1,0)</f>
        <v>0</v>
      </c>
      <c r="AJ291" s="5">
        <f>IF(ISNUMBER(P291),1,0)</f>
        <v>1</v>
      </c>
      <c r="AK291" s="5" t="str">
        <f>IF(AI291=1,IF(J291&gt;0,1,0),"")</f>
        <v/>
      </c>
      <c r="AL291" s="5">
        <f>IF(AJ291=1,IF(OR(Q291&gt;0,R291&gt;0),1,0),"")</f>
        <v>0</v>
      </c>
    </row>
    <row r="292" spans="1:38">
      <c r="A292">
        <v>278750</v>
      </c>
      <c r="B292" t="s">
        <v>384</v>
      </c>
      <c r="C292" t="s">
        <v>23</v>
      </c>
      <c r="D292" t="s">
        <v>33</v>
      </c>
      <c r="E292">
        <v>26</v>
      </c>
      <c r="F292">
        <v>158000</v>
      </c>
      <c r="H292" t="s">
        <v>26</v>
      </c>
      <c r="I292" t="s">
        <v>26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>
        <v>1</v>
      </c>
      <c r="Q292">
        <v>0</v>
      </c>
      <c r="R292">
        <v>1</v>
      </c>
      <c r="S292">
        <v>1</v>
      </c>
      <c r="T292">
        <v>6.3291000000000004</v>
      </c>
      <c r="U292">
        <v>3.85E-2</v>
      </c>
      <c r="V292">
        <v>1</v>
      </c>
      <c r="W292">
        <f>E292/100</f>
        <v>0.26</v>
      </c>
      <c r="X292">
        <f>F292/1000000</f>
        <v>0.158</v>
      </c>
      <c r="Y292">
        <f>IF(D292="C",1,0)</f>
        <v>1</v>
      </c>
      <c r="Z292">
        <f>IF(G292="C",1,0)</f>
        <v>0</v>
      </c>
      <c r="AA292">
        <f>IF(G292="S",1,0)</f>
        <v>0</v>
      </c>
      <c r="AB292">
        <f>IF(G292="U",1,0)</f>
        <v>0</v>
      </c>
      <c r="AC292" s="5">
        <f>IF(AND(ISNUMBER(H292),NOT(ISNUMBER(P292))),1,0)</f>
        <v>0</v>
      </c>
      <c r="AD292" s="5">
        <f>IF(AND(ISNUMBER(H292),ISNUMBER(P292)),1,0)</f>
        <v>0</v>
      </c>
      <c r="AE292" s="5">
        <f>W292</f>
        <v>0.26</v>
      </c>
      <c r="AF292" s="5">
        <f>X292</f>
        <v>0.158</v>
      </c>
      <c r="AG292" s="5">
        <f>Y292</f>
        <v>1</v>
      </c>
      <c r="AH292" s="5">
        <f>IF(OR(G292="C",G292="S",G292="U"),1,0)</f>
        <v>0</v>
      </c>
      <c r="AI292" s="5">
        <f>IF(ISNUMBER(H292),1,0)</f>
        <v>0</v>
      </c>
      <c r="AJ292" s="5">
        <f>IF(ISNUMBER(P292),1,0)</f>
        <v>1</v>
      </c>
      <c r="AK292" s="5" t="str">
        <f>IF(AI292=1,IF(J292&gt;0,1,0),"")</f>
        <v/>
      </c>
      <c r="AL292" s="5">
        <f>IF(AJ292=1,IF(OR(Q292&gt;0,R292&gt;0),1,0),"")</f>
        <v>1</v>
      </c>
    </row>
    <row r="293" spans="1:38">
      <c r="A293">
        <v>280521</v>
      </c>
      <c r="B293" t="s">
        <v>385</v>
      </c>
      <c r="C293" t="s">
        <v>125</v>
      </c>
      <c r="D293" t="s">
        <v>24</v>
      </c>
      <c r="E293">
        <v>6</v>
      </c>
      <c r="F293">
        <v>22733</v>
      </c>
      <c r="G293" t="s">
        <v>33</v>
      </c>
      <c r="H293" t="s">
        <v>26</v>
      </c>
      <c r="I293" t="s">
        <v>26</v>
      </c>
      <c r="J293" t="s">
        <v>26</v>
      </c>
      <c r="K293" t="s">
        <v>26</v>
      </c>
      <c r="L293" t="s">
        <v>26</v>
      </c>
      <c r="M293" t="s">
        <v>26</v>
      </c>
      <c r="N293" t="s">
        <v>26</v>
      </c>
      <c r="O293" t="s">
        <v>26</v>
      </c>
      <c r="P293">
        <v>1</v>
      </c>
      <c r="Q293">
        <v>0</v>
      </c>
      <c r="R293">
        <v>0</v>
      </c>
      <c r="S293">
        <v>1</v>
      </c>
      <c r="T293">
        <v>43.988900000000001</v>
      </c>
      <c r="U293">
        <v>0.16669999999999999</v>
      </c>
      <c r="V293">
        <v>0</v>
      </c>
      <c r="W293">
        <f>E293/100</f>
        <v>0.06</v>
      </c>
      <c r="X293">
        <f>F293/1000000</f>
        <v>2.2733E-2</v>
      </c>
      <c r="Y293">
        <f>IF(D293="C",1,0)</f>
        <v>0</v>
      </c>
      <c r="Z293">
        <f>IF(G293="C",1,0)</f>
        <v>1</v>
      </c>
      <c r="AA293">
        <f>IF(G293="S",1,0)</f>
        <v>0</v>
      </c>
      <c r="AB293">
        <f>IF(G293="U",1,0)</f>
        <v>0</v>
      </c>
      <c r="AC293" s="5">
        <f>IF(AND(ISNUMBER(H293),NOT(ISNUMBER(P293))),1,0)</f>
        <v>0</v>
      </c>
      <c r="AD293" s="5">
        <f>IF(AND(ISNUMBER(H293),ISNUMBER(P293)),1,0)</f>
        <v>0</v>
      </c>
      <c r="AE293" s="5">
        <f>W293</f>
        <v>0.06</v>
      </c>
      <c r="AF293" s="5">
        <f>X293</f>
        <v>2.2733E-2</v>
      </c>
      <c r="AG293" s="5">
        <f>Y293</f>
        <v>0</v>
      </c>
      <c r="AH293" s="5">
        <f>IF(OR(G293="C",G293="S",G293="U"),1,0)</f>
        <v>1</v>
      </c>
      <c r="AI293" s="5">
        <f>IF(ISNUMBER(H293),1,0)</f>
        <v>0</v>
      </c>
      <c r="AJ293" s="5">
        <f>IF(ISNUMBER(P293),1,0)</f>
        <v>1</v>
      </c>
      <c r="AK293" s="5" t="str">
        <f>IF(AI293=1,IF(J293&gt;0,1,0),"")</f>
        <v/>
      </c>
      <c r="AL293" s="5">
        <f>IF(AJ293=1,IF(OR(Q293&gt;0,R293&gt;0),1,0),"")</f>
        <v>0</v>
      </c>
    </row>
    <row r="294" spans="1:38">
      <c r="A294">
        <v>281527</v>
      </c>
      <c r="B294" t="s">
        <v>386</v>
      </c>
      <c r="C294" t="s">
        <v>23</v>
      </c>
      <c r="D294" t="s">
        <v>24</v>
      </c>
      <c r="E294">
        <v>6</v>
      </c>
      <c r="F294">
        <v>578732</v>
      </c>
      <c r="G294" t="s">
        <v>25</v>
      </c>
      <c r="H294" t="s">
        <v>26</v>
      </c>
      <c r="I294" t="s">
        <v>26</v>
      </c>
      <c r="J294" t="s">
        <v>26</v>
      </c>
      <c r="K294" t="s">
        <v>26</v>
      </c>
      <c r="L294" t="s">
        <v>26</v>
      </c>
      <c r="M294" t="s">
        <v>26</v>
      </c>
      <c r="N294" t="s">
        <v>26</v>
      </c>
      <c r="O294" t="s">
        <v>26</v>
      </c>
      <c r="P294">
        <v>1</v>
      </c>
      <c r="Q294">
        <v>0</v>
      </c>
      <c r="R294">
        <v>1</v>
      </c>
      <c r="S294">
        <v>1</v>
      </c>
      <c r="T294">
        <v>1.7279</v>
      </c>
      <c r="U294">
        <v>0.16669999999999999</v>
      </c>
      <c r="V294">
        <v>1</v>
      </c>
      <c r="W294">
        <f>E294/100</f>
        <v>0.06</v>
      </c>
      <c r="X294">
        <f>F294/1000000</f>
        <v>0.57873200000000002</v>
      </c>
      <c r="Y294">
        <f>IF(D294="C",1,0)</f>
        <v>0</v>
      </c>
      <c r="Z294">
        <f>IF(G294="C",1,0)</f>
        <v>0</v>
      </c>
      <c r="AA294">
        <f>IF(G294="S",1,0)</f>
        <v>1</v>
      </c>
      <c r="AB294">
        <f>IF(G294="U",1,0)</f>
        <v>0</v>
      </c>
      <c r="AC294" s="5">
        <f>IF(AND(ISNUMBER(H294),NOT(ISNUMBER(P294))),1,0)</f>
        <v>0</v>
      </c>
      <c r="AD294" s="5">
        <f>IF(AND(ISNUMBER(H294),ISNUMBER(P294)),1,0)</f>
        <v>0</v>
      </c>
      <c r="AE294" s="5">
        <f>W294</f>
        <v>0.06</v>
      </c>
      <c r="AF294" s="5">
        <f>X294</f>
        <v>0.57873200000000002</v>
      </c>
      <c r="AG294" s="5">
        <f>Y294</f>
        <v>0</v>
      </c>
      <c r="AH294" s="5">
        <f>IF(OR(G294="C",G294="S",G294="U"),1,0)</f>
        <v>1</v>
      </c>
      <c r="AI294" s="5">
        <f>IF(ISNUMBER(H294),1,0)</f>
        <v>0</v>
      </c>
      <c r="AJ294" s="5">
        <f>IF(ISNUMBER(P294),1,0)</f>
        <v>1</v>
      </c>
      <c r="AK294" s="5" t="str">
        <f>IF(AI294=1,IF(J294&gt;0,1,0),"")</f>
        <v/>
      </c>
      <c r="AL294" s="5">
        <f>IF(AJ294=1,IF(OR(Q294&gt;0,R294&gt;0),1,0),"")</f>
        <v>1</v>
      </c>
    </row>
    <row r="295" spans="1:38">
      <c r="A295">
        <v>282325</v>
      </c>
      <c r="B295" t="s">
        <v>387</v>
      </c>
      <c r="C295" t="s">
        <v>42</v>
      </c>
      <c r="D295" t="s">
        <v>24</v>
      </c>
      <c r="E295">
        <v>1</v>
      </c>
      <c r="F295">
        <v>329450</v>
      </c>
      <c r="G295" t="s">
        <v>33</v>
      </c>
      <c r="H295" t="s">
        <v>26</v>
      </c>
      <c r="I295" t="s">
        <v>26</v>
      </c>
      <c r="J295" t="s">
        <v>26</v>
      </c>
      <c r="K295" t="s">
        <v>26</v>
      </c>
      <c r="L295" t="s">
        <v>26</v>
      </c>
      <c r="M295" t="s">
        <v>26</v>
      </c>
      <c r="N295" t="s">
        <v>26</v>
      </c>
      <c r="O295" t="s">
        <v>26</v>
      </c>
      <c r="P295">
        <v>1</v>
      </c>
      <c r="Q295">
        <v>0</v>
      </c>
      <c r="R295">
        <v>0</v>
      </c>
      <c r="S295">
        <v>1</v>
      </c>
      <c r="T295">
        <v>3.0354000000000001</v>
      </c>
      <c r="U295">
        <v>1</v>
      </c>
      <c r="V295">
        <v>0</v>
      </c>
      <c r="W295">
        <f>E295/100</f>
        <v>0.01</v>
      </c>
      <c r="X295">
        <f>F295/1000000</f>
        <v>0.32945000000000002</v>
      </c>
      <c r="Y295">
        <f>IF(D295="C",1,0)</f>
        <v>0</v>
      </c>
      <c r="Z295">
        <f>IF(G295="C",1,0)</f>
        <v>1</v>
      </c>
      <c r="AA295">
        <f>IF(G295="S",1,0)</f>
        <v>0</v>
      </c>
      <c r="AB295">
        <f>IF(G295="U",1,0)</f>
        <v>0</v>
      </c>
      <c r="AC295" s="5">
        <f>IF(AND(ISNUMBER(H295),NOT(ISNUMBER(P295))),1,0)</f>
        <v>0</v>
      </c>
      <c r="AD295" s="5">
        <f>IF(AND(ISNUMBER(H295),ISNUMBER(P295)),1,0)</f>
        <v>0</v>
      </c>
      <c r="AE295" s="5">
        <f>W295</f>
        <v>0.01</v>
      </c>
      <c r="AF295" s="5">
        <f>X295</f>
        <v>0.32945000000000002</v>
      </c>
      <c r="AG295" s="5">
        <f>Y295</f>
        <v>0</v>
      </c>
      <c r="AH295" s="5">
        <f>IF(OR(G295="C",G295="S",G295="U"),1,0)</f>
        <v>1</v>
      </c>
      <c r="AI295" s="5">
        <f>IF(ISNUMBER(H295),1,0)</f>
        <v>0</v>
      </c>
      <c r="AJ295" s="5">
        <f>IF(ISNUMBER(P295),1,0)</f>
        <v>1</v>
      </c>
      <c r="AK295" s="5" t="str">
        <f>IF(AI295=1,IF(J295&gt;0,1,0),"")</f>
        <v/>
      </c>
      <c r="AL295" s="5">
        <f>IF(AJ295=1,IF(OR(Q295&gt;0,R295&gt;0),1,0),"")</f>
        <v>0</v>
      </c>
    </row>
    <row r="296" spans="1:38">
      <c r="A296">
        <v>282692</v>
      </c>
      <c r="B296" t="s">
        <v>388</v>
      </c>
      <c r="C296" t="s">
        <v>23</v>
      </c>
      <c r="D296" t="s">
        <v>24</v>
      </c>
      <c r="E296">
        <v>34</v>
      </c>
      <c r="F296">
        <v>1900000</v>
      </c>
      <c r="G296" t="s">
        <v>25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>
        <v>1</v>
      </c>
      <c r="Q296">
        <v>0</v>
      </c>
      <c r="R296">
        <v>0</v>
      </c>
      <c r="S296">
        <v>1</v>
      </c>
      <c r="T296">
        <v>0.52629999999999999</v>
      </c>
      <c r="U296">
        <v>2.9399999999999999E-2</v>
      </c>
      <c r="V296">
        <v>0</v>
      </c>
      <c r="W296">
        <f>E296/100</f>
        <v>0.34</v>
      </c>
      <c r="X296">
        <f>F296/1000000</f>
        <v>1.9</v>
      </c>
      <c r="Y296">
        <f>IF(D296="C",1,0)</f>
        <v>0</v>
      </c>
      <c r="Z296">
        <f>IF(G296="C",1,0)</f>
        <v>0</v>
      </c>
      <c r="AA296">
        <f>IF(G296="S",1,0)</f>
        <v>1</v>
      </c>
      <c r="AB296">
        <f>IF(G296="U",1,0)</f>
        <v>0</v>
      </c>
      <c r="AC296" s="5">
        <f>IF(AND(ISNUMBER(H296),NOT(ISNUMBER(P296))),1,0)</f>
        <v>0</v>
      </c>
      <c r="AD296" s="5">
        <f>IF(AND(ISNUMBER(H296),ISNUMBER(P296)),1,0)</f>
        <v>0</v>
      </c>
      <c r="AE296" s="5">
        <f>W296</f>
        <v>0.34</v>
      </c>
      <c r="AF296" s="5">
        <f>X296</f>
        <v>1.9</v>
      </c>
      <c r="AG296" s="5">
        <f>Y296</f>
        <v>0</v>
      </c>
      <c r="AH296" s="5">
        <f>IF(OR(G296="C",G296="S",G296="U"),1,0)</f>
        <v>1</v>
      </c>
      <c r="AI296" s="5">
        <f>IF(ISNUMBER(H296),1,0)</f>
        <v>0</v>
      </c>
      <c r="AJ296" s="5">
        <f>IF(ISNUMBER(P296),1,0)</f>
        <v>1</v>
      </c>
      <c r="AK296" s="5" t="str">
        <f>IF(AI296=1,IF(J296&gt;0,1,0),"")</f>
        <v/>
      </c>
      <c r="AL296" s="5">
        <f>IF(AJ296=1,IF(OR(Q296&gt;0,R296&gt;0),1,0),"")</f>
        <v>0</v>
      </c>
    </row>
    <row r="297" spans="1:38">
      <c r="A297">
        <v>282770</v>
      </c>
      <c r="B297" t="s">
        <v>389</v>
      </c>
      <c r="C297" t="s">
        <v>23</v>
      </c>
      <c r="D297" t="s">
        <v>24</v>
      </c>
      <c r="E297">
        <v>1</v>
      </c>
      <c r="F297">
        <v>100000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>
        <v>1</v>
      </c>
      <c r="Q297">
        <v>0</v>
      </c>
      <c r="R297">
        <v>1</v>
      </c>
      <c r="S297">
        <v>1</v>
      </c>
      <c r="T297">
        <v>10</v>
      </c>
      <c r="U297">
        <v>1</v>
      </c>
      <c r="V297">
        <v>1</v>
      </c>
      <c r="W297">
        <f>E297/100</f>
        <v>0.01</v>
      </c>
      <c r="X297">
        <f>F297/1000000</f>
        <v>0.1</v>
      </c>
      <c r="Y297">
        <f>IF(D297="C",1,0)</f>
        <v>0</v>
      </c>
      <c r="Z297">
        <f>IF(G297="C",1,0)</f>
        <v>0</v>
      </c>
      <c r="AA297">
        <f>IF(G297="S",1,0)</f>
        <v>0</v>
      </c>
      <c r="AB297">
        <f>IF(G297="U",1,0)</f>
        <v>0</v>
      </c>
      <c r="AC297" s="5">
        <f>IF(AND(ISNUMBER(H297),NOT(ISNUMBER(P297))),1,0)</f>
        <v>0</v>
      </c>
      <c r="AD297" s="5">
        <f>IF(AND(ISNUMBER(H297),ISNUMBER(P297)),1,0)</f>
        <v>0</v>
      </c>
      <c r="AE297" s="5">
        <f>W297</f>
        <v>0.01</v>
      </c>
      <c r="AF297" s="5">
        <f>X297</f>
        <v>0.1</v>
      </c>
      <c r="AG297" s="5">
        <f>Y297</f>
        <v>0</v>
      </c>
      <c r="AH297" s="5">
        <f>IF(OR(G297="C",G297="S",G297="U"),1,0)</f>
        <v>0</v>
      </c>
      <c r="AI297" s="5">
        <f>IF(ISNUMBER(H297),1,0)</f>
        <v>0</v>
      </c>
      <c r="AJ297" s="5">
        <f>IF(ISNUMBER(P297),1,0)</f>
        <v>1</v>
      </c>
      <c r="AK297" s="5" t="str">
        <f>IF(AI297=1,IF(J297&gt;0,1,0),"")</f>
        <v/>
      </c>
      <c r="AL297" s="5">
        <f>IF(AJ297=1,IF(OR(Q297&gt;0,R297&gt;0),1,0),"")</f>
        <v>1</v>
      </c>
    </row>
    <row r="298" spans="1:38">
      <c r="A298">
        <v>284634</v>
      </c>
      <c r="B298" t="s">
        <v>393</v>
      </c>
      <c r="C298" t="s">
        <v>77</v>
      </c>
      <c r="D298" t="s">
        <v>24</v>
      </c>
      <c r="E298">
        <v>44</v>
      </c>
      <c r="F298">
        <v>1927979</v>
      </c>
      <c r="G298" t="s">
        <v>25</v>
      </c>
      <c r="H298" t="s">
        <v>26</v>
      </c>
      <c r="I298" t="s">
        <v>26</v>
      </c>
      <c r="J298" t="s">
        <v>26</v>
      </c>
      <c r="K298" t="s">
        <v>26</v>
      </c>
      <c r="L298" t="s">
        <v>26</v>
      </c>
      <c r="M298" t="s">
        <v>26</v>
      </c>
      <c r="N298" t="s">
        <v>26</v>
      </c>
      <c r="O298" t="s">
        <v>26</v>
      </c>
      <c r="P298">
        <v>1</v>
      </c>
      <c r="Q298">
        <v>0</v>
      </c>
      <c r="R298">
        <v>0</v>
      </c>
      <c r="S298">
        <v>1</v>
      </c>
      <c r="T298">
        <v>0.51870000000000005</v>
      </c>
      <c r="U298">
        <v>2.2700000000000001E-2</v>
      </c>
      <c r="V298">
        <v>0</v>
      </c>
      <c r="W298">
        <f>E298/100</f>
        <v>0.44</v>
      </c>
      <c r="X298">
        <f>F298/1000000</f>
        <v>1.9279790000000001</v>
      </c>
      <c r="Y298">
        <f>IF(D298="C",1,0)</f>
        <v>0</v>
      </c>
      <c r="Z298">
        <f>IF(G298="C",1,0)</f>
        <v>0</v>
      </c>
      <c r="AA298">
        <f>IF(G298="S",1,0)</f>
        <v>1</v>
      </c>
      <c r="AB298">
        <f>IF(G298="U",1,0)</f>
        <v>0</v>
      </c>
      <c r="AC298" s="5">
        <f>IF(AND(ISNUMBER(H298),NOT(ISNUMBER(P298))),1,0)</f>
        <v>0</v>
      </c>
      <c r="AD298" s="5">
        <f>IF(AND(ISNUMBER(H298),ISNUMBER(P298)),1,0)</f>
        <v>0</v>
      </c>
      <c r="AE298" s="5">
        <f>W298</f>
        <v>0.44</v>
      </c>
      <c r="AF298" s="5">
        <f>X298</f>
        <v>1.9279790000000001</v>
      </c>
      <c r="AG298" s="5">
        <f>Y298</f>
        <v>0</v>
      </c>
      <c r="AH298" s="5">
        <f>IF(OR(G298="C",G298="S",G298="U"),1,0)</f>
        <v>1</v>
      </c>
      <c r="AI298" s="5">
        <f>IF(ISNUMBER(H298),1,0)</f>
        <v>0</v>
      </c>
      <c r="AJ298" s="5">
        <f>IF(ISNUMBER(P298),1,0)</f>
        <v>1</v>
      </c>
      <c r="AK298" s="5" t="str">
        <f>IF(AI298=1,IF(J298&gt;0,1,0),"")</f>
        <v/>
      </c>
      <c r="AL298" s="5">
        <f>IF(AJ298=1,IF(OR(Q298&gt;0,R298&gt;0),1,0),"")</f>
        <v>0</v>
      </c>
    </row>
    <row r="299" spans="1:38">
      <c r="A299">
        <v>285525</v>
      </c>
      <c r="B299" t="s">
        <v>395</v>
      </c>
      <c r="C299" t="s">
        <v>37</v>
      </c>
      <c r="D299" t="s">
        <v>24</v>
      </c>
      <c r="E299">
        <v>219</v>
      </c>
      <c r="F299">
        <v>3607324</v>
      </c>
      <c r="G299" t="s">
        <v>25</v>
      </c>
      <c r="H299" t="s">
        <v>26</v>
      </c>
      <c r="I299" t="s">
        <v>26</v>
      </c>
      <c r="J299" t="s">
        <v>26</v>
      </c>
      <c r="K299" t="s">
        <v>26</v>
      </c>
      <c r="L299" t="s">
        <v>26</v>
      </c>
      <c r="M299" t="s">
        <v>26</v>
      </c>
      <c r="N299" t="s">
        <v>26</v>
      </c>
      <c r="O299" t="s">
        <v>26</v>
      </c>
      <c r="P299">
        <v>2</v>
      </c>
      <c r="Q299">
        <v>0</v>
      </c>
      <c r="R299">
        <v>0</v>
      </c>
      <c r="S299">
        <v>2</v>
      </c>
      <c r="T299">
        <v>0.5544</v>
      </c>
      <c r="U299">
        <v>9.1000000000000004E-3</v>
      </c>
      <c r="V299">
        <v>0</v>
      </c>
      <c r="W299">
        <f>E299/100</f>
        <v>2.19</v>
      </c>
      <c r="X299">
        <f>F299/1000000</f>
        <v>3.6073240000000002</v>
      </c>
      <c r="Y299">
        <f>IF(D299="C",1,0)</f>
        <v>0</v>
      </c>
      <c r="Z299">
        <f>IF(G299="C",1,0)</f>
        <v>0</v>
      </c>
      <c r="AA299">
        <f>IF(G299="S",1,0)</f>
        <v>1</v>
      </c>
      <c r="AB299">
        <f>IF(G299="U",1,0)</f>
        <v>0</v>
      </c>
      <c r="AC299" s="5">
        <f>IF(AND(ISNUMBER(H299),NOT(ISNUMBER(P299))),1,0)</f>
        <v>0</v>
      </c>
      <c r="AD299" s="5">
        <f>IF(AND(ISNUMBER(H299),ISNUMBER(P299)),1,0)</f>
        <v>0</v>
      </c>
      <c r="AE299" s="5">
        <f>W299</f>
        <v>2.19</v>
      </c>
      <c r="AF299" s="5">
        <f>X299</f>
        <v>3.6073240000000002</v>
      </c>
      <c r="AG299" s="5">
        <f>Y299</f>
        <v>0</v>
      </c>
      <c r="AH299" s="5">
        <f>IF(OR(G299="C",G299="S",G299="U"),1,0)</f>
        <v>1</v>
      </c>
      <c r="AI299" s="5">
        <f>IF(ISNUMBER(H299),1,0)</f>
        <v>0</v>
      </c>
      <c r="AJ299" s="5">
        <f>IF(ISNUMBER(P299),1,0)</f>
        <v>1</v>
      </c>
      <c r="AK299" s="5" t="str">
        <f>IF(AI299=1,IF(J299&gt;0,1,0),"")</f>
        <v/>
      </c>
      <c r="AL299" s="5">
        <f>IF(AJ299=1,IF(OR(Q299&gt;0,R299&gt;0),1,0),"")</f>
        <v>0</v>
      </c>
    </row>
    <row r="300" spans="1:38">
      <c r="A300">
        <v>286146</v>
      </c>
      <c r="B300" t="s">
        <v>396</v>
      </c>
      <c r="C300" t="s">
        <v>82</v>
      </c>
      <c r="D300" t="s">
        <v>24</v>
      </c>
      <c r="E300">
        <v>1</v>
      </c>
      <c r="F300">
        <v>2771</v>
      </c>
      <c r="G300" t="s">
        <v>25</v>
      </c>
      <c r="H300" t="s">
        <v>26</v>
      </c>
      <c r="I300" t="s">
        <v>26</v>
      </c>
      <c r="J300" t="s">
        <v>26</v>
      </c>
      <c r="K300" t="s">
        <v>26</v>
      </c>
      <c r="L300" t="s">
        <v>26</v>
      </c>
      <c r="M300" t="s">
        <v>26</v>
      </c>
      <c r="N300" t="s">
        <v>26</v>
      </c>
      <c r="O300" t="s">
        <v>26</v>
      </c>
      <c r="P300">
        <v>1</v>
      </c>
      <c r="Q300">
        <v>0</v>
      </c>
      <c r="R300">
        <v>1</v>
      </c>
      <c r="S300">
        <v>1</v>
      </c>
      <c r="T300">
        <v>360.88049999999998</v>
      </c>
      <c r="U300">
        <v>1</v>
      </c>
      <c r="V300">
        <v>1</v>
      </c>
      <c r="W300">
        <f>E300/100</f>
        <v>0.01</v>
      </c>
      <c r="X300">
        <f>F300/1000000</f>
        <v>2.771E-3</v>
      </c>
      <c r="Y300">
        <f>IF(D300="C",1,0)</f>
        <v>0</v>
      </c>
      <c r="Z300">
        <f>IF(G300="C",1,0)</f>
        <v>0</v>
      </c>
      <c r="AA300">
        <f>IF(G300="S",1,0)</f>
        <v>1</v>
      </c>
      <c r="AB300">
        <f>IF(G300="U",1,0)</f>
        <v>0</v>
      </c>
      <c r="AC300" s="5">
        <f>IF(AND(ISNUMBER(H300),NOT(ISNUMBER(P300))),1,0)</f>
        <v>0</v>
      </c>
      <c r="AD300" s="5">
        <f>IF(AND(ISNUMBER(H300),ISNUMBER(P300)),1,0)</f>
        <v>0</v>
      </c>
      <c r="AE300" s="5">
        <f>W300</f>
        <v>0.01</v>
      </c>
      <c r="AF300" s="5">
        <f>X300</f>
        <v>2.771E-3</v>
      </c>
      <c r="AG300" s="5">
        <f>Y300</f>
        <v>0</v>
      </c>
      <c r="AH300" s="5">
        <f>IF(OR(G300="C",G300="S",G300="U"),1,0)</f>
        <v>1</v>
      </c>
      <c r="AI300" s="5">
        <f>IF(ISNUMBER(H300),1,0)</f>
        <v>0</v>
      </c>
      <c r="AJ300" s="5">
        <f>IF(ISNUMBER(P300),1,0)</f>
        <v>1</v>
      </c>
      <c r="AK300" s="5" t="str">
        <f>IF(AI300=1,IF(J300&gt;0,1,0),"")</f>
        <v/>
      </c>
      <c r="AL300" s="5">
        <f>IF(AJ300=1,IF(OR(Q300&gt;0,R300&gt;0),1,0),"")</f>
        <v>1</v>
      </c>
    </row>
    <row r="301" spans="1:38">
      <c r="A301">
        <v>286549</v>
      </c>
      <c r="B301" t="s">
        <v>397</v>
      </c>
      <c r="C301" t="s">
        <v>23</v>
      </c>
      <c r="D301" t="s">
        <v>24</v>
      </c>
      <c r="E301">
        <v>5</v>
      </c>
      <c r="F301">
        <v>161055</v>
      </c>
      <c r="G301" t="s">
        <v>25</v>
      </c>
      <c r="H301" t="s">
        <v>26</v>
      </c>
      <c r="I301" t="s">
        <v>26</v>
      </c>
      <c r="J301" t="s">
        <v>26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>
        <v>1</v>
      </c>
      <c r="Q301">
        <v>0</v>
      </c>
      <c r="R301">
        <v>1</v>
      </c>
      <c r="S301">
        <v>0</v>
      </c>
      <c r="T301">
        <v>6.2091000000000003</v>
      </c>
      <c r="U301">
        <v>0.2</v>
      </c>
      <c r="V301">
        <v>1</v>
      </c>
      <c r="W301">
        <f>E301/100</f>
        <v>0.05</v>
      </c>
      <c r="X301">
        <f>F301/1000000</f>
        <v>0.161055</v>
      </c>
      <c r="Y301">
        <f>IF(D301="C",1,0)</f>
        <v>0</v>
      </c>
      <c r="Z301">
        <f>IF(G301="C",1,0)</f>
        <v>0</v>
      </c>
      <c r="AA301">
        <f>IF(G301="S",1,0)</f>
        <v>1</v>
      </c>
      <c r="AB301">
        <f>IF(G301="U",1,0)</f>
        <v>0</v>
      </c>
      <c r="AC301" s="5">
        <f>IF(AND(ISNUMBER(H301),NOT(ISNUMBER(P301))),1,0)</f>
        <v>0</v>
      </c>
      <c r="AD301" s="5">
        <f>IF(AND(ISNUMBER(H301),ISNUMBER(P301)),1,0)</f>
        <v>0</v>
      </c>
      <c r="AE301" s="5">
        <f>W301</f>
        <v>0.05</v>
      </c>
      <c r="AF301" s="5">
        <f>X301</f>
        <v>0.161055</v>
      </c>
      <c r="AG301" s="5">
        <f>Y301</f>
        <v>0</v>
      </c>
      <c r="AH301" s="5">
        <f>IF(OR(G301="C",G301="S",G301="U"),1,0)</f>
        <v>1</v>
      </c>
      <c r="AI301" s="5">
        <f>IF(ISNUMBER(H301),1,0)</f>
        <v>0</v>
      </c>
      <c r="AJ301" s="5">
        <f>IF(ISNUMBER(P301),1,0)</f>
        <v>1</v>
      </c>
      <c r="AK301" s="5" t="str">
        <f>IF(AI301=1,IF(J301&gt;0,1,0),"")</f>
        <v/>
      </c>
      <c r="AL301" s="5">
        <f>IF(AJ301=1,IF(OR(Q301&gt;0,R301&gt;0),1,0),"")</f>
        <v>1</v>
      </c>
    </row>
    <row r="302" spans="1:38">
      <c r="A302">
        <v>286801</v>
      </c>
      <c r="B302" t="s">
        <v>398</v>
      </c>
      <c r="C302" t="s">
        <v>37</v>
      </c>
      <c r="D302" t="s">
        <v>24</v>
      </c>
      <c r="E302">
        <v>6</v>
      </c>
      <c r="F302">
        <v>716095</v>
      </c>
      <c r="G302" t="s">
        <v>25</v>
      </c>
      <c r="H302" t="s">
        <v>26</v>
      </c>
      <c r="I302" t="s">
        <v>26</v>
      </c>
      <c r="J302" t="s">
        <v>26</v>
      </c>
      <c r="K302" t="s">
        <v>26</v>
      </c>
      <c r="L302" t="s">
        <v>26</v>
      </c>
      <c r="M302" t="s">
        <v>26</v>
      </c>
      <c r="N302" t="s">
        <v>26</v>
      </c>
      <c r="O302" t="s">
        <v>26</v>
      </c>
      <c r="P302">
        <v>2</v>
      </c>
      <c r="Q302">
        <v>0</v>
      </c>
      <c r="R302">
        <v>0</v>
      </c>
      <c r="S302">
        <v>2</v>
      </c>
      <c r="T302">
        <v>2.7928999999999999</v>
      </c>
      <c r="U302">
        <v>0.33329999999999999</v>
      </c>
      <c r="V302">
        <v>0</v>
      </c>
      <c r="W302">
        <f>E302/100</f>
        <v>0.06</v>
      </c>
      <c r="X302">
        <f>F302/1000000</f>
        <v>0.71609500000000004</v>
      </c>
      <c r="Y302">
        <f>IF(D302="C",1,0)</f>
        <v>0</v>
      </c>
      <c r="Z302">
        <f>IF(G302="C",1,0)</f>
        <v>0</v>
      </c>
      <c r="AA302">
        <f>IF(G302="S",1,0)</f>
        <v>1</v>
      </c>
      <c r="AB302">
        <f>IF(G302="U",1,0)</f>
        <v>0</v>
      </c>
      <c r="AC302" s="5">
        <f>IF(AND(ISNUMBER(H302),NOT(ISNUMBER(P302))),1,0)</f>
        <v>0</v>
      </c>
      <c r="AD302" s="5">
        <f>IF(AND(ISNUMBER(H302),ISNUMBER(P302)),1,0)</f>
        <v>0</v>
      </c>
      <c r="AE302" s="5">
        <f>W302</f>
        <v>0.06</v>
      </c>
      <c r="AF302" s="5">
        <f>X302</f>
        <v>0.71609500000000004</v>
      </c>
      <c r="AG302" s="5">
        <f>Y302</f>
        <v>0</v>
      </c>
      <c r="AH302" s="5">
        <f>IF(OR(G302="C",G302="S",G302="U"),1,0)</f>
        <v>1</v>
      </c>
      <c r="AI302" s="5">
        <f>IF(ISNUMBER(H302),1,0)</f>
        <v>0</v>
      </c>
      <c r="AJ302" s="5">
        <f>IF(ISNUMBER(P302),1,0)</f>
        <v>1</v>
      </c>
      <c r="AK302" s="5" t="str">
        <f>IF(AI302=1,IF(J302&gt;0,1,0),"")</f>
        <v/>
      </c>
      <c r="AL302" s="5">
        <f>IF(AJ302=1,IF(OR(Q302&gt;0,R302&gt;0),1,0),"")</f>
        <v>0</v>
      </c>
    </row>
    <row r="303" spans="1:38">
      <c r="A303">
        <v>287351</v>
      </c>
      <c r="B303" t="s">
        <v>399</v>
      </c>
      <c r="C303" t="s">
        <v>23</v>
      </c>
      <c r="D303" t="s">
        <v>24</v>
      </c>
      <c r="E303">
        <v>65</v>
      </c>
      <c r="F303">
        <v>2420092</v>
      </c>
      <c r="G303" t="s">
        <v>25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26</v>
      </c>
      <c r="O303" t="s">
        <v>26</v>
      </c>
      <c r="P303">
        <v>1</v>
      </c>
      <c r="Q303">
        <v>0</v>
      </c>
      <c r="R303">
        <v>0</v>
      </c>
      <c r="S303">
        <v>1</v>
      </c>
      <c r="T303">
        <v>0.41320000000000001</v>
      </c>
      <c r="U303">
        <v>1.54E-2</v>
      </c>
      <c r="V303">
        <v>0</v>
      </c>
      <c r="W303">
        <f>E303/100</f>
        <v>0.65</v>
      </c>
      <c r="X303">
        <f>F303/1000000</f>
        <v>2.4200919999999999</v>
      </c>
      <c r="Y303">
        <f>IF(D303="C",1,0)</f>
        <v>0</v>
      </c>
      <c r="Z303">
        <f>IF(G303="C",1,0)</f>
        <v>0</v>
      </c>
      <c r="AA303">
        <f>IF(G303="S",1,0)</f>
        <v>1</v>
      </c>
      <c r="AB303">
        <f>IF(G303="U",1,0)</f>
        <v>0</v>
      </c>
      <c r="AC303" s="5">
        <f>IF(AND(ISNUMBER(H303),NOT(ISNUMBER(P303))),1,0)</f>
        <v>0</v>
      </c>
      <c r="AD303" s="5">
        <f>IF(AND(ISNUMBER(H303),ISNUMBER(P303)),1,0)</f>
        <v>0</v>
      </c>
      <c r="AE303" s="5">
        <f>W303</f>
        <v>0.65</v>
      </c>
      <c r="AF303" s="5">
        <f>X303</f>
        <v>2.4200919999999999</v>
      </c>
      <c r="AG303" s="5">
        <f>Y303</f>
        <v>0</v>
      </c>
      <c r="AH303" s="5">
        <f>IF(OR(G303="C",G303="S",G303="U"),1,0)</f>
        <v>1</v>
      </c>
      <c r="AI303" s="5">
        <f>IF(ISNUMBER(H303),1,0)</f>
        <v>0</v>
      </c>
      <c r="AJ303" s="5">
        <f>IF(ISNUMBER(P303),1,0)</f>
        <v>1</v>
      </c>
      <c r="AK303" s="5" t="str">
        <f>IF(AI303=1,IF(J303&gt;0,1,0),"")</f>
        <v/>
      </c>
      <c r="AL303" s="5">
        <f>IF(AJ303=1,IF(OR(Q303&gt;0,R303&gt;0),1,0),"")</f>
        <v>0</v>
      </c>
    </row>
    <row r="304" spans="1:38">
      <c r="A304">
        <v>288304</v>
      </c>
      <c r="B304" t="s">
        <v>400</v>
      </c>
      <c r="C304" t="s">
        <v>23</v>
      </c>
      <c r="D304" t="s">
        <v>24</v>
      </c>
      <c r="E304">
        <v>1</v>
      </c>
      <c r="F304">
        <v>65248</v>
      </c>
      <c r="G304" t="s">
        <v>25</v>
      </c>
      <c r="H304" t="s">
        <v>26</v>
      </c>
      <c r="I304" t="s">
        <v>26</v>
      </c>
      <c r="J304" t="s">
        <v>26</v>
      </c>
      <c r="K304" t="s">
        <v>26</v>
      </c>
      <c r="L304" t="s">
        <v>26</v>
      </c>
      <c r="M304" t="s">
        <v>26</v>
      </c>
      <c r="N304" t="s">
        <v>26</v>
      </c>
      <c r="O304" t="s">
        <v>26</v>
      </c>
      <c r="P304">
        <v>2</v>
      </c>
      <c r="Q304">
        <v>0</v>
      </c>
      <c r="R304">
        <v>0</v>
      </c>
      <c r="S304">
        <v>2</v>
      </c>
      <c r="T304">
        <v>30.6523</v>
      </c>
      <c r="U304">
        <v>2</v>
      </c>
      <c r="V304">
        <v>0</v>
      </c>
      <c r="W304">
        <f>E304/100</f>
        <v>0.01</v>
      </c>
      <c r="X304">
        <f>F304/1000000</f>
        <v>6.5248E-2</v>
      </c>
      <c r="Y304">
        <f>IF(D304="C",1,0)</f>
        <v>0</v>
      </c>
      <c r="Z304">
        <f>IF(G304="C",1,0)</f>
        <v>0</v>
      </c>
      <c r="AA304">
        <f>IF(G304="S",1,0)</f>
        <v>1</v>
      </c>
      <c r="AB304">
        <f>IF(G304="U",1,0)</f>
        <v>0</v>
      </c>
      <c r="AC304" s="5">
        <f>IF(AND(ISNUMBER(H304),NOT(ISNUMBER(P304))),1,0)</f>
        <v>0</v>
      </c>
      <c r="AD304" s="5">
        <f>IF(AND(ISNUMBER(H304),ISNUMBER(P304)),1,0)</f>
        <v>0</v>
      </c>
      <c r="AE304" s="5">
        <f>W304</f>
        <v>0.01</v>
      </c>
      <c r="AF304" s="5">
        <f>X304</f>
        <v>6.5248E-2</v>
      </c>
      <c r="AG304" s="5">
        <f>Y304</f>
        <v>0</v>
      </c>
      <c r="AH304" s="5">
        <f>IF(OR(G304="C",G304="S",G304="U"),1,0)</f>
        <v>1</v>
      </c>
      <c r="AI304" s="5">
        <f>IF(ISNUMBER(H304),1,0)</f>
        <v>0</v>
      </c>
      <c r="AJ304" s="5">
        <f>IF(ISNUMBER(P304),1,0)</f>
        <v>1</v>
      </c>
      <c r="AK304" s="5" t="str">
        <f>IF(AI304=1,IF(J304&gt;0,1,0),"")</f>
        <v/>
      </c>
      <c r="AL304" s="5">
        <f>IF(AJ304=1,IF(OR(Q304&gt;0,R304&gt;0),1,0),"")</f>
        <v>0</v>
      </c>
    </row>
    <row r="305" spans="1:38">
      <c r="A305">
        <v>288306</v>
      </c>
      <c r="B305" t="s">
        <v>401</v>
      </c>
      <c r="C305" t="s">
        <v>105</v>
      </c>
      <c r="D305" t="s">
        <v>24</v>
      </c>
      <c r="E305">
        <v>265</v>
      </c>
      <c r="F305">
        <v>1484870</v>
      </c>
      <c r="G305" t="s">
        <v>25</v>
      </c>
      <c r="H305" t="s">
        <v>26</v>
      </c>
      <c r="I305" t="s">
        <v>26</v>
      </c>
      <c r="J305" t="s">
        <v>26</v>
      </c>
      <c r="K305" t="s">
        <v>26</v>
      </c>
      <c r="L305" t="s">
        <v>26</v>
      </c>
      <c r="M305" t="s">
        <v>26</v>
      </c>
      <c r="N305" t="s">
        <v>26</v>
      </c>
      <c r="O305" t="s">
        <v>26</v>
      </c>
      <c r="P305">
        <v>1</v>
      </c>
      <c r="Q305">
        <v>1</v>
      </c>
      <c r="R305">
        <v>0</v>
      </c>
      <c r="S305">
        <v>1</v>
      </c>
      <c r="T305">
        <v>0.67349999999999999</v>
      </c>
      <c r="U305">
        <v>3.8E-3</v>
      </c>
      <c r="V305">
        <v>1</v>
      </c>
      <c r="W305">
        <f>E305/100</f>
        <v>2.65</v>
      </c>
      <c r="X305">
        <f>F305/1000000</f>
        <v>1.4848699999999999</v>
      </c>
      <c r="Y305">
        <f>IF(D305="C",1,0)</f>
        <v>0</v>
      </c>
      <c r="Z305">
        <f>IF(G305="C",1,0)</f>
        <v>0</v>
      </c>
      <c r="AA305">
        <f>IF(G305="S",1,0)</f>
        <v>1</v>
      </c>
      <c r="AB305">
        <f>IF(G305="U",1,0)</f>
        <v>0</v>
      </c>
      <c r="AC305" s="5">
        <f>IF(AND(ISNUMBER(H305),NOT(ISNUMBER(P305))),1,0)</f>
        <v>0</v>
      </c>
      <c r="AD305" s="5">
        <f>IF(AND(ISNUMBER(H305),ISNUMBER(P305)),1,0)</f>
        <v>0</v>
      </c>
      <c r="AE305" s="5">
        <f>W305</f>
        <v>2.65</v>
      </c>
      <c r="AF305" s="5">
        <f>X305</f>
        <v>1.4848699999999999</v>
      </c>
      <c r="AG305" s="5">
        <f>Y305</f>
        <v>0</v>
      </c>
      <c r="AH305" s="5">
        <f>IF(OR(G305="C",G305="S",G305="U"),1,0)</f>
        <v>1</v>
      </c>
      <c r="AI305" s="5">
        <f>IF(ISNUMBER(H305),1,0)</f>
        <v>0</v>
      </c>
      <c r="AJ305" s="5">
        <f>IF(ISNUMBER(P305),1,0)</f>
        <v>1</v>
      </c>
      <c r="AK305" s="5" t="str">
        <f>IF(AI305=1,IF(J305&gt;0,1,0),"")</f>
        <v/>
      </c>
      <c r="AL305" s="5">
        <f>IF(AJ305=1,IF(OR(Q305&gt;0,R305&gt;0),1,0),"")</f>
        <v>1</v>
      </c>
    </row>
    <row r="306" spans="1:38">
      <c r="A306">
        <v>288513</v>
      </c>
      <c r="B306" t="s">
        <v>402</v>
      </c>
      <c r="C306" t="s">
        <v>82</v>
      </c>
      <c r="D306" t="s">
        <v>24</v>
      </c>
      <c r="E306">
        <v>33</v>
      </c>
      <c r="F306">
        <v>4500000</v>
      </c>
      <c r="G306" t="s">
        <v>33</v>
      </c>
      <c r="H306" t="s">
        <v>26</v>
      </c>
      <c r="I306" t="s">
        <v>26</v>
      </c>
      <c r="J306" t="s">
        <v>26</v>
      </c>
      <c r="K306" t="s">
        <v>26</v>
      </c>
      <c r="L306" t="s">
        <v>26</v>
      </c>
      <c r="M306" t="s">
        <v>26</v>
      </c>
      <c r="N306" t="s">
        <v>26</v>
      </c>
      <c r="O306" t="s">
        <v>26</v>
      </c>
      <c r="P306">
        <v>1</v>
      </c>
      <c r="Q306">
        <v>0</v>
      </c>
      <c r="R306">
        <v>1</v>
      </c>
      <c r="S306">
        <v>0</v>
      </c>
      <c r="T306">
        <v>0.22220000000000001</v>
      </c>
      <c r="U306">
        <v>3.0300000000000001E-2</v>
      </c>
      <c r="V306">
        <v>1</v>
      </c>
      <c r="W306">
        <f>E306/100</f>
        <v>0.33</v>
      </c>
      <c r="X306">
        <f>F306/1000000</f>
        <v>4.5</v>
      </c>
      <c r="Y306">
        <f>IF(D306="C",1,0)</f>
        <v>0</v>
      </c>
      <c r="Z306">
        <f>IF(G306="C",1,0)</f>
        <v>1</v>
      </c>
      <c r="AA306">
        <f>IF(G306="S",1,0)</f>
        <v>0</v>
      </c>
      <c r="AB306">
        <f>IF(G306="U",1,0)</f>
        <v>0</v>
      </c>
      <c r="AC306" s="5">
        <f>IF(AND(ISNUMBER(H306),NOT(ISNUMBER(P306))),1,0)</f>
        <v>0</v>
      </c>
      <c r="AD306" s="5">
        <f>IF(AND(ISNUMBER(H306),ISNUMBER(P306)),1,0)</f>
        <v>0</v>
      </c>
      <c r="AE306" s="5">
        <f>W306</f>
        <v>0.33</v>
      </c>
      <c r="AF306" s="5">
        <f>X306</f>
        <v>4.5</v>
      </c>
      <c r="AG306" s="5">
        <f>Y306</f>
        <v>0</v>
      </c>
      <c r="AH306" s="5">
        <f>IF(OR(G306="C",G306="S",G306="U"),1,0)</f>
        <v>1</v>
      </c>
      <c r="AI306" s="5">
        <f>IF(ISNUMBER(H306),1,0)</f>
        <v>0</v>
      </c>
      <c r="AJ306" s="5">
        <f>IF(ISNUMBER(P306),1,0)</f>
        <v>1</v>
      </c>
      <c r="AK306" s="5" t="str">
        <f>IF(AI306=1,IF(J306&gt;0,1,0),"")</f>
        <v/>
      </c>
      <c r="AL306" s="5">
        <f>IF(AJ306=1,IF(OR(Q306&gt;0,R306&gt;0),1,0),"")</f>
        <v>1</v>
      </c>
    </row>
    <row r="307" spans="1:38">
      <c r="A307">
        <v>290415</v>
      </c>
      <c r="B307" t="s">
        <v>403</v>
      </c>
      <c r="C307" t="s">
        <v>212</v>
      </c>
      <c r="D307" t="s">
        <v>24</v>
      </c>
      <c r="E307">
        <v>83</v>
      </c>
      <c r="F307">
        <v>180000</v>
      </c>
      <c r="G307" t="s">
        <v>25</v>
      </c>
      <c r="H307" t="s">
        <v>26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>
        <v>1</v>
      </c>
      <c r="Q307">
        <v>0</v>
      </c>
      <c r="R307">
        <v>1</v>
      </c>
      <c r="S307">
        <v>0</v>
      </c>
      <c r="T307">
        <v>5.5556000000000001</v>
      </c>
      <c r="U307">
        <v>1.2E-2</v>
      </c>
      <c r="V307">
        <v>1</v>
      </c>
      <c r="W307">
        <f>E307/100</f>
        <v>0.83</v>
      </c>
      <c r="X307">
        <f>F307/1000000</f>
        <v>0.18</v>
      </c>
      <c r="Y307">
        <f>IF(D307="C",1,0)</f>
        <v>0</v>
      </c>
      <c r="Z307">
        <f>IF(G307="C",1,0)</f>
        <v>0</v>
      </c>
      <c r="AA307">
        <f>IF(G307="S",1,0)</f>
        <v>1</v>
      </c>
      <c r="AB307">
        <f>IF(G307="U",1,0)</f>
        <v>0</v>
      </c>
      <c r="AC307" s="5">
        <f>IF(AND(ISNUMBER(H307),NOT(ISNUMBER(P307))),1,0)</f>
        <v>0</v>
      </c>
      <c r="AD307" s="5">
        <f>IF(AND(ISNUMBER(H307),ISNUMBER(P307)),1,0)</f>
        <v>0</v>
      </c>
      <c r="AE307" s="5">
        <f>W307</f>
        <v>0.83</v>
      </c>
      <c r="AF307" s="5">
        <f>X307</f>
        <v>0.18</v>
      </c>
      <c r="AG307" s="5">
        <f>Y307</f>
        <v>0</v>
      </c>
      <c r="AH307" s="5">
        <f>IF(OR(G307="C",G307="S",G307="U"),1,0)</f>
        <v>1</v>
      </c>
      <c r="AI307" s="5">
        <f>IF(ISNUMBER(H307),1,0)</f>
        <v>0</v>
      </c>
      <c r="AJ307" s="5">
        <f>IF(ISNUMBER(P307),1,0)</f>
        <v>1</v>
      </c>
      <c r="AK307" s="5" t="str">
        <f>IF(AI307=1,IF(J307&gt;0,1,0),"")</f>
        <v/>
      </c>
      <c r="AL307" s="5">
        <f>IF(AJ307=1,IF(OR(Q307&gt;0,R307&gt;0),1,0),"")</f>
        <v>1</v>
      </c>
    </row>
    <row r="308" spans="1:38">
      <c r="A308">
        <v>290561</v>
      </c>
      <c r="B308" t="s">
        <v>404</v>
      </c>
      <c r="C308" t="s">
        <v>105</v>
      </c>
      <c r="D308" t="s">
        <v>33</v>
      </c>
      <c r="E308">
        <v>1</v>
      </c>
      <c r="F308">
        <v>100000</v>
      </c>
      <c r="H308" t="s">
        <v>26</v>
      </c>
      <c r="I308" t="s">
        <v>26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>
        <v>1</v>
      </c>
      <c r="Q308">
        <v>0</v>
      </c>
      <c r="R308">
        <v>1</v>
      </c>
      <c r="S308">
        <v>0</v>
      </c>
      <c r="T308">
        <v>10</v>
      </c>
      <c r="U308">
        <v>1</v>
      </c>
      <c r="V308">
        <v>1</v>
      </c>
      <c r="W308">
        <f>E308/100</f>
        <v>0.01</v>
      </c>
      <c r="X308">
        <f>F308/1000000</f>
        <v>0.1</v>
      </c>
      <c r="Y308">
        <f>IF(D308="C",1,0)</f>
        <v>1</v>
      </c>
      <c r="Z308">
        <f>IF(G308="C",1,0)</f>
        <v>0</v>
      </c>
      <c r="AA308">
        <f>IF(G308="S",1,0)</f>
        <v>0</v>
      </c>
      <c r="AB308">
        <f>IF(G308="U",1,0)</f>
        <v>0</v>
      </c>
      <c r="AC308" s="5">
        <f>IF(AND(ISNUMBER(H308),NOT(ISNUMBER(P308))),1,0)</f>
        <v>0</v>
      </c>
      <c r="AD308" s="5">
        <f>IF(AND(ISNUMBER(H308),ISNUMBER(P308)),1,0)</f>
        <v>0</v>
      </c>
      <c r="AE308" s="5">
        <f>W308</f>
        <v>0.01</v>
      </c>
      <c r="AF308" s="5">
        <f>X308</f>
        <v>0.1</v>
      </c>
      <c r="AG308" s="5">
        <f>Y308</f>
        <v>1</v>
      </c>
      <c r="AH308" s="5">
        <f>IF(OR(G308="C",G308="S",G308="U"),1,0)</f>
        <v>0</v>
      </c>
      <c r="AI308" s="5">
        <f>IF(ISNUMBER(H308),1,0)</f>
        <v>0</v>
      </c>
      <c r="AJ308" s="5">
        <f>IF(ISNUMBER(P308),1,0)</f>
        <v>1</v>
      </c>
      <c r="AK308" s="5" t="str">
        <f>IF(AI308=1,IF(J308&gt;0,1,0),"")</f>
        <v/>
      </c>
      <c r="AL308" s="5">
        <f>IF(AJ308=1,IF(OR(Q308&gt;0,R308&gt;0),1,0),"")</f>
        <v>1</v>
      </c>
    </row>
    <row r="309" spans="1:38">
      <c r="A309">
        <v>290928</v>
      </c>
      <c r="B309" t="s">
        <v>405</v>
      </c>
      <c r="C309" t="s">
        <v>212</v>
      </c>
      <c r="D309" t="s">
        <v>24</v>
      </c>
      <c r="E309">
        <v>9</v>
      </c>
      <c r="F309">
        <v>1300000</v>
      </c>
      <c r="G309" t="s">
        <v>25</v>
      </c>
      <c r="H309" t="s">
        <v>26</v>
      </c>
      <c r="I309" t="s">
        <v>26</v>
      </c>
      <c r="J309" t="s">
        <v>26</v>
      </c>
      <c r="K309" t="s">
        <v>26</v>
      </c>
      <c r="L309" t="s">
        <v>26</v>
      </c>
      <c r="M309" t="s">
        <v>26</v>
      </c>
      <c r="N309" t="s">
        <v>26</v>
      </c>
      <c r="O309" t="s">
        <v>26</v>
      </c>
      <c r="P309">
        <v>1</v>
      </c>
      <c r="Q309">
        <v>0</v>
      </c>
      <c r="R309">
        <v>1</v>
      </c>
      <c r="S309">
        <v>1</v>
      </c>
      <c r="T309">
        <v>0.76919999999999999</v>
      </c>
      <c r="U309">
        <v>0.1111</v>
      </c>
      <c r="V309">
        <v>1</v>
      </c>
      <c r="W309">
        <f>E309/100</f>
        <v>0.09</v>
      </c>
      <c r="X309">
        <f>F309/1000000</f>
        <v>1.3</v>
      </c>
      <c r="Y309">
        <f>IF(D309="C",1,0)</f>
        <v>0</v>
      </c>
      <c r="Z309">
        <f>IF(G309="C",1,0)</f>
        <v>0</v>
      </c>
      <c r="AA309">
        <f>IF(G309="S",1,0)</f>
        <v>1</v>
      </c>
      <c r="AB309">
        <f>IF(G309="U",1,0)</f>
        <v>0</v>
      </c>
      <c r="AC309" s="5">
        <f>IF(AND(ISNUMBER(H309),NOT(ISNUMBER(P309))),1,0)</f>
        <v>0</v>
      </c>
      <c r="AD309" s="5">
        <f>IF(AND(ISNUMBER(H309),ISNUMBER(P309)),1,0)</f>
        <v>0</v>
      </c>
      <c r="AE309" s="5">
        <f>W309</f>
        <v>0.09</v>
      </c>
      <c r="AF309" s="5">
        <f>X309</f>
        <v>1.3</v>
      </c>
      <c r="AG309" s="5">
        <f>Y309</f>
        <v>0</v>
      </c>
      <c r="AH309" s="5">
        <f>IF(OR(G309="C",G309="S",G309="U"),1,0)</f>
        <v>1</v>
      </c>
      <c r="AI309" s="5">
        <f>IF(ISNUMBER(H309),1,0)</f>
        <v>0</v>
      </c>
      <c r="AJ309" s="5">
        <f>IF(ISNUMBER(P309),1,0)</f>
        <v>1</v>
      </c>
      <c r="AK309" s="5" t="str">
        <f>IF(AI309=1,IF(J309&gt;0,1,0),"")</f>
        <v/>
      </c>
      <c r="AL309" s="5">
        <f>IF(AJ309=1,IF(OR(Q309&gt;0,R309&gt;0),1,0),"")</f>
        <v>1</v>
      </c>
    </row>
    <row r="310" spans="1:38">
      <c r="A310">
        <v>292505</v>
      </c>
      <c r="B310" t="s">
        <v>406</v>
      </c>
      <c r="C310" t="s">
        <v>77</v>
      </c>
      <c r="D310" t="s">
        <v>33</v>
      </c>
      <c r="E310">
        <v>54</v>
      </c>
      <c r="F310">
        <v>2941997</v>
      </c>
      <c r="H310" t="s">
        <v>26</v>
      </c>
      <c r="I310" t="s">
        <v>26</v>
      </c>
      <c r="J310" t="s">
        <v>26</v>
      </c>
      <c r="K310" t="s">
        <v>26</v>
      </c>
      <c r="L310" t="s">
        <v>26</v>
      </c>
      <c r="M310" t="s">
        <v>26</v>
      </c>
      <c r="N310" t="s">
        <v>26</v>
      </c>
      <c r="O310" t="s">
        <v>26</v>
      </c>
      <c r="P310">
        <v>1</v>
      </c>
      <c r="Q310">
        <v>0</v>
      </c>
      <c r="R310">
        <v>1</v>
      </c>
      <c r="S310">
        <v>1</v>
      </c>
      <c r="T310">
        <v>0.33989999999999998</v>
      </c>
      <c r="U310">
        <v>1.8499999999999999E-2</v>
      </c>
      <c r="V310">
        <v>1</v>
      </c>
      <c r="W310">
        <f>E310/100</f>
        <v>0.54</v>
      </c>
      <c r="X310">
        <f>F310/1000000</f>
        <v>2.9419970000000002</v>
      </c>
      <c r="Y310">
        <f>IF(D310="C",1,0)</f>
        <v>1</v>
      </c>
      <c r="Z310">
        <f>IF(G310="C",1,0)</f>
        <v>0</v>
      </c>
      <c r="AA310">
        <f>IF(G310="S",1,0)</f>
        <v>0</v>
      </c>
      <c r="AB310">
        <f>IF(G310="U",1,0)</f>
        <v>0</v>
      </c>
      <c r="AC310" s="5">
        <f>IF(AND(ISNUMBER(H310),NOT(ISNUMBER(P310))),1,0)</f>
        <v>0</v>
      </c>
      <c r="AD310" s="5">
        <f>IF(AND(ISNUMBER(H310),ISNUMBER(P310)),1,0)</f>
        <v>0</v>
      </c>
      <c r="AE310" s="5">
        <f>W310</f>
        <v>0.54</v>
      </c>
      <c r="AF310" s="5">
        <f>X310</f>
        <v>2.9419970000000002</v>
      </c>
      <c r="AG310" s="5">
        <f>Y310</f>
        <v>1</v>
      </c>
      <c r="AH310" s="5">
        <f>IF(OR(G310="C",G310="S",G310="U"),1,0)</f>
        <v>0</v>
      </c>
      <c r="AI310" s="5">
        <f>IF(ISNUMBER(H310),1,0)</f>
        <v>0</v>
      </c>
      <c r="AJ310" s="5">
        <f>IF(ISNUMBER(P310),1,0)</f>
        <v>1</v>
      </c>
      <c r="AK310" s="5" t="str">
        <f>IF(AI310=1,IF(J310&gt;0,1,0),"")</f>
        <v/>
      </c>
      <c r="AL310" s="5">
        <f>IF(AJ310=1,IF(OR(Q310&gt;0,R310&gt;0),1,0),"")</f>
        <v>1</v>
      </c>
    </row>
    <row r="311" spans="1:38">
      <c r="A311">
        <v>293185</v>
      </c>
      <c r="B311" t="s">
        <v>407</v>
      </c>
      <c r="C311" t="s">
        <v>82</v>
      </c>
      <c r="D311" t="s">
        <v>24</v>
      </c>
      <c r="E311">
        <v>541</v>
      </c>
      <c r="F311">
        <v>275000</v>
      </c>
      <c r="H311" t="s">
        <v>26</v>
      </c>
      <c r="I311" t="s">
        <v>26</v>
      </c>
      <c r="J311" t="s">
        <v>26</v>
      </c>
      <c r="K311" t="s">
        <v>26</v>
      </c>
      <c r="L311" t="s">
        <v>26</v>
      </c>
      <c r="M311" t="s">
        <v>26</v>
      </c>
      <c r="N311" t="s">
        <v>26</v>
      </c>
      <c r="O311" t="s">
        <v>26</v>
      </c>
      <c r="P311">
        <v>2</v>
      </c>
      <c r="Q311">
        <v>0</v>
      </c>
      <c r="R311">
        <v>2</v>
      </c>
      <c r="S311">
        <v>1</v>
      </c>
      <c r="T311">
        <v>7.2727000000000004</v>
      </c>
      <c r="U311">
        <v>3.7000000000000002E-3</v>
      </c>
      <c r="V311">
        <v>1</v>
      </c>
      <c r="W311">
        <f>E311/100</f>
        <v>5.41</v>
      </c>
      <c r="X311">
        <f>F311/1000000</f>
        <v>0.27500000000000002</v>
      </c>
      <c r="Y311">
        <f>IF(D311="C",1,0)</f>
        <v>0</v>
      </c>
      <c r="Z311">
        <f>IF(G311="C",1,0)</f>
        <v>0</v>
      </c>
      <c r="AA311">
        <f>IF(G311="S",1,0)</f>
        <v>0</v>
      </c>
      <c r="AB311">
        <f>IF(G311="U",1,0)</f>
        <v>0</v>
      </c>
      <c r="AC311" s="5">
        <f>IF(AND(ISNUMBER(H311),NOT(ISNUMBER(P311))),1,0)</f>
        <v>0</v>
      </c>
      <c r="AD311" s="5">
        <f>IF(AND(ISNUMBER(H311),ISNUMBER(P311)),1,0)</f>
        <v>0</v>
      </c>
      <c r="AE311" s="5">
        <f>W311</f>
        <v>5.41</v>
      </c>
      <c r="AF311" s="5">
        <f>X311</f>
        <v>0.27500000000000002</v>
      </c>
      <c r="AG311" s="5">
        <f>Y311</f>
        <v>0</v>
      </c>
      <c r="AH311" s="5">
        <f>IF(OR(G311="C",G311="S",G311="U"),1,0)</f>
        <v>0</v>
      </c>
      <c r="AI311" s="5">
        <f>IF(ISNUMBER(H311),1,0)</f>
        <v>0</v>
      </c>
      <c r="AJ311" s="5">
        <f>IF(ISNUMBER(P311),1,0)</f>
        <v>1</v>
      </c>
      <c r="AK311" s="5" t="str">
        <f>IF(AI311=1,IF(J311&gt;0,1,0),"")</f>
        <v/>
      </c>
      <c r="AL311" s="5">
        <f>IF(AJ311=1,IF(OR(Q311&gt;0,R311&gt;0),1,0),"")</f>
        <v>1</v>
      </c>
    </row>
    <row r="312" spans="1:38">
      <c r="A312">
        <v>293880</v>
      </c>
      <c r="B312" t="s">
        <v>408</v>
      </c>
      <c r="C312" t="s">
        <v>77</v>
      </c>
      <c r="D312" t="s">
        <v>24</v>
      </c>
      <c r="E312">
        <v>19</v>
      </c>
      <c r="F312">
        <v>2359314</v>
      </c>
      <c r="G312" t="s">
        <v>25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>
        <v>1</v>
      </c>
      <c r="Q312">
        <v>0</v>
      </c>
      <c r="R312">
        <v>1</v>
      </c>
      <c r="S312">
        <v>0</v>
      </c>
      <c r="T312">
        <v>0.4239</v>
      </c>
      <c r="U312">
        <v>5.2600000000000001E-2</v>
      </c>
      <c r="V312">
        <v>1</v>
      </c>
      <c r="W312">
        <f>E312/100</f>
        <v>0.19</v>
      </c>
      <c r="X312">
        <f>F312/1000000</f>
        <v>2.3593139999999999</v>
      </c>
      <c r="Y312">
        <f>IF(D312="C",1,0)</f>
        <v>0</v>
      </c>
      <c r="Z312">
        <f>IF(G312="C",1,0)</f>
        <v>0</v>
      </c>
      <c r="AA312">
        <f>IF(G312="S",1,0)</f>
        <v>1</v>
      </c>
      <c r="AB312">
        <f>IF(G312="U",1,0)</f>
        <v>0</v>
      </c>
      <c r="AC312" s="5">
        <f>IF(AND(ISNUMBER(H312),NOT(ISNUMBER(P312))),1,0)</f>
        <v>0</v>
      </c>
      <c r="AD312" s="5">
        <f>IF(AND(ISNUMBER(H312),ISNUMBER(P312)),1,0)</f>
        <v>0</v>
      </c>
      <c r="AE312" s="5">
        <f>W312</f>
        <v>0.19</v>
      </c>
      <c r="AF312" s="5">
        <f>X312</f>
        <v>2.3593139999999999</v>
      </c>
      <c r="AG312" s="5">
        <f>Y312</f>
        <v>0</v>
      </c>
      <c r="AH312" s="5">
        <f>IF(OR(G312="C",G312="S",G312="U"),1,0)</f>
        <v>1</v>
      </c>
      <c r="AI312" s="5">
        <f>IF(ISNUMBER(H312),1,0)</f>
        <v>0</v>
      </c>
      <c r="AJ312" s="5">
        <f>IF(ISNUMBER(P312),1,0)</f>
        <v>1</v>
      </c>
      <c r="AK312" s="5" t="str">
        <f>IF(AI312=1,IF(J312&gt;0,1,0),"")</f>
        <v/>
      </c>
      <c r="AL312" s="5">
        <f>IF(AJ312=1,IF(OR(Q312&gt;0,R312&gt;0),1,0),"")</f>
        <v>1</v>
      </c>
    </row>
    <row r="313" spans="1:38">
      <c r="A313">
        <v>294623</v>
      </c>
      <c r="B313" t="s">
        <v>409</v>
      </c>
      <c r="C313" t="s">
        <v>37</v>
      </c>
      <c r="D313" t="s">
        <v>24</v>
      </c>
      <c r="E313">
        <v>470</v>
      </c>
      <c r="F313">
        <v>4826532</v>
      </c>
      <c r="H313" t="s">
        <v>26</v>
      </c>
      <c r="I313" t="s">
        <v>26</v>
      </c>
      <c r="J313" t="s">
        <v>26</v>
      </c>
      <c r="K313" t="s">
        <v>26</v>
      </c>
      <c r="L313" t="s">
        <v>26</v>
      </c>
      <c r="M313" t="s">
        <v>26</v>
      </c>
      <c r="N313" t="s">
        <v>26</v>
      </c>
      <c r="O313" t="s">
        <v>26</v>
      </c>
      <c r="P313">
        <v>1</v>
      </c>
      <c r="Q313">
        <v>0</v>
      </c>
      <c r="R313">
        <v>0</v>
      </c>
      <c r="S313">
        <v>1</v>
      </c>
      <c r="T313">
        <v>0.2072</v>
      </c>
      <c r="U313">
        <v>2.0999999999999999E-3</v>
      </c>
      <c r="V313">
        <v>0</v>
      </c>
      <c r="W313">
        <f>E313/100</f>
        <v>4.7</v>
      </c>
      <c r="X313">
        <f>F313/1000000</f>
        <v>4.8265320000000003</v>
      </c>
      <c r="Y313">
        <f>IF(D313="C",1,0)</f>
        <v>0</v>
      </c>
      <c r="Z313">
        <f>IF(G313="C",1,0)</f>
        <v>0</v>
      </c>
      <c r="AA313">
        <f>IF(G313="S",1,0)</f>
        <v>0</v>
      </c>
      <c r="AB313">
        <f>IF(G313="U",1,0)</f>
        <v>0</v>
      </c>
      <c r="AC313" s="5">
        <f>IF(AND(ISNUMBER(H313),NOT(ISNUMBER(P313))),1,0)</f>
        <v>0</v>
      </c>
      <c r="AD313" s="5">
        <f>IF(AND(ISNUMBER(H313),ISNUMBER(P313)),1,0)</f>
        <v>0</v>
      </c>
      <c r="AE313" s="5">
        <f>W313</f>
        <v>4.7</v>
      </c>
      <c r="AF313" s="5">
        <f>X313</f>
        <v>4.8265320000000003</v>
      </c>
      <c r="AG313" s="5">
        <f>Y313</f>
        <v>0</v>
      </c>
      <c r="AH313" s="5">
        <f>IF(OR(G313="C",G313="S",G313="U"),1,0)</f>
        <v>0</v>
      </c>
      <c r="AI313" s="5">
        <f>IF(ISNUMBER(H313),1,0)</f>
        <v>0</v>
      </c>
      <c r="AJ313" s="5">
        <f>IF(ISNUMBER(P313),1,0)</f>
        <v>1</v>
      </c>
      <c r="AK313" s="5" t="str">
        <f>IF(AI313=1,IF(J313&gt;0,1,0),"")</f>
        <v/>
      </c>
      <c r="AL313" s="5">
        <f>IF(AJ313=1,IF(OR(Q313&gt;0,R313&gt;0),1,0),"")</f>
        <v>0</v>
      </c>
    </row>
    <row r="314" spans="1:38">
      <c r="A314">
        <v>295751</v>
      </c>
      <c r="B314" t="s">
        <v>410</v>
      </c>
      <c r="C314" t="s">
        <v>82</v>
      </c>
      <c r="D314" t="s">
        <v>24</v>
      </c>
      <c r="E314">
        <v>18</v>
      </c>
      <c r="F314">
        <v>850000</v>
      </c>
      <c r="H314" t="s">
        <v>26</v>
      </c>
      <c r="I314" t="s">
        <v>26</v>
      </c>
      <c r="J314" t="s">
        <v>26</v>
      </c>
      <c r="K314" t="s">
        <v>26</v>
      </c>
      <c r="L314" t="s">
        <v>26</v>
      </c>
      <c r="M314" t="s">
        <v>26</v>
      </c>
      <c r="N314" t="s">
        <v>26</v>
      </c>
      <c r="O314" t="s">
        <v>26</v>
      </c>
      <c r="P314">
        <v>1</v>
      </c>
      <c r="Q314">
        <v>0</v>
      </c>
      <c r="R314">
        <v>1</v>
      </c>
      <c r="S314">
        <v>1</v>
      </c>
      <c r="T314">
        <v>1.1765000000000001</v>
      </c>
      <c r="U314">
        <v>5.5599999999999997E-2</v>
      </c>
      <c r="V314">
        <v>1</v>
      </c>
      <c r="W314">
        <f>E314/100</f>
        <v>0.18</v>
      </c>
      <c r="X314">
        <f>F314/1000000</f>
        <v>0.85</v>
      </c>
      <c r="Y314">
        <f>IF(D314="C",1,0)</f>
        <v>0</v>
      </c>
      <c r="Z314">
        <f>IF(G314="C",1,0)</f>
        <v>0</v>
      </c>
      <c r="AA314">
        <f>IF(G314="S",1,0)</f>
        <v>0</v>
      </c>
      <c r="AB314">
        <f>IF(G314="U",1,0)</f>
        <v>0</v>
      </c>
      <c r="AC314" s="5">
        <f>IF(AND(ISNUMBER(H314),NOT(ISNUMBER(P314))),1,0)</f>
        <v>0</v>
      </c>
      <c r="AD314" s="5">
        <f>IF(AND(ISNUMBER(H314),ISNUMBER(P314)),1,0)</f>
        <v>0</v>
      </c>
      <c r="AE314" s="5">
        <f>W314</f>
        <v>0.18</v>
      </c>
      <c r="AF314" s="5">
        <f>X314</f>
        <v>0.85</v>
      </c>
      <c r="AG314" s="5">
        <f>Y314</f>
        <v>0</v>
      </c>
      <c r="AH314" s="5">
        <f>IF(OR(G314="C",G314="S",G314="U"),1,0)</f>
        <v>0</v>
      </c>
      <c r="AI314" s="5">
        <f>IF(ISNUMBER(H314),1,0)</f>
        <v>0</v>
      </c>
      <c r="AJ314" s="5">
        <f>IF(ISNUMBER(P314),1,0)</f>
        <v>1</v>
      </c>
      <c r="AK314" s="5" t="str">
        <f>IF(AI314=1,IF(J314&gt;0,1,0),"")</f>
        <v/>
      </c>
      <c r="AL314" s="5">
        <f>IF(AJ314=1,IF(OR(Q314&gt;0,R314&gt;0),1,0),"")</f>
        <v>1</v>
      </c>
    </row>
    <row r="315" spans="1:38">
      <c r="A315">
        <v>296954</v>
      </c>
      <c r="B315" t="s">
        <v>411</v>
      </c>
      <c r="C315" t="s">
        <v>125</v>
      </c>
      <c r="D315" t="s">
        <v>24</v>
      </c>
      <c r="E315">
        <v>15</v>
      </c>
      <c r="F315">
        <v>317628</v>
      </c>
      <c r="G315" t="s">
        <v>25</v>
      </c>
      <c r="H315" t="s">
        <v>26</v>
      </c>
      <c r="I315" t="s">
        <v>26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>
        <v>1</v>
      </c>
      <c r="Q315">
        <v>0</v>
      </c>
      <c r="R315">
        <v>1</v>
      </c>
      <c r="S315">
        <v>0</v>
      </c>
      <c r="T315">
        <v>3.1482999999999999</v>
      </c>
      <c r="U315">
        <v>6.6699999999999995E-2</v>
      </c>
      <c r="V315">
        <v>1</v>
      </c>
      <c r="W315">
        <f>E315/100</f>
        <v>0.15</v>
      </c>
      <c r="X315">
        <f>F315/1000000</f>
        <v>0.31762800000000002</v>
      </c>
      <c r="Y315">
        <f>IF(D315="C",1,0)</f>
        <v>0</v>
      </c>
      <c r="Z315">
        <f>IF(G315="C",1,0)</f>
        <v>0</v>
      </c>
      <c r="AA315">
        <f>IF(G315="S",1,0)</f>
        <v>1</v>
      </c>
      <c r="AB315">
        <f>IF(G315="U",1,0)</f>
        <v>0</v>
      </c>
      <c r="AC315" s="5">
        <f>IF(AND(ISNUMBER(H315),NOT(ISNUMBER(P315))),1,0)</f>
        <v>0</v>
      </c>
      <c r="AD315" s="5">
        <f>IF(AND(ISNUMBER(H315),ISNUMBER(P315)),1,0)</f>
        <v>0</v>
      </c>
      <c r="AE315" s="5">
        <f>W315</f>
        <v>0.15</v>
      </c>
      <c r="AF315" s="5">
        <f>X315</f>
        <v>0.31762800000000002</v>
      </c>
      <c r="AG315" s="5">
        <f>Y315</f>
        <v>0</v>
      </c>
      <c r="AH315" s="5">
        <f>IF(OR(G315="C",G315="S",G315="U"),1,0)</f>
        <v>1</v>
      </c>
      <c r="AI315" s="5">
        <f>IF(ISNUMBER(H315),1,0)</f>
        <v>0</v>
      </c>
      <c r="AJ315" s="5">
        <f>IF(ISNUMBER(P315),1,0)</f>
        <v>1</v>
      </c>
      <c r="AK315" s="5" t="str">
        <f>IF(AI315=1,IF(J315&gt;0,1,0),"")</f>
        <v/>
      </c>
      <c r="AL315" s="5">
        <f>IF(AJ315=1,IF(OR(Q315&gt;0,R315&gt;0),1,0),"")</f>
        <v>1</v>
      </c>
    </row>
    <row r="316" spans="1:38">
      <c r="A316">
        <v>298157</v>
      </c>
      <c r="B316" t="s">
        <v>414</v>
      </c>
      <c r="C316" t="s">
        <v>37</v>
      </c>
      <c r="D316" t="s">
        <v>24</v>
      </c>
      <c r="E316">
        <v>26</v>
      </c>
      <c r="F316">
        <v>1050000</v>
      </c>
      <c r="G316" t="s">
        <v>25</v>
      </c>
      <c r="H316" t="s">
        <v>26</v>
      </c>
      <c r="I316" t="s">
        <v>26</v>
      </c>
      <c r="J316" t="s">
        <v>26</v>
      </c>
      <c r="K316" t="s">
        <v>26</v>
      </c>
      <c r="L316" t="s">
        <v>26</v>
      </c>
      <c r="M316" t="s">
        <v>26</v>
      </c>
      <c r="N316" t="s">
        <v>26</v>
      </c>
      <c r="O316" t="s">
        <v>26</v>
      </c>
      <c r="P316">
        <v>1</v>
      </c>
      <c r="Q316">
        <v>0</v>
      </c>
      <c r="R316">
        <v>0</v>
      </c>
      <c r="S316">
        <v>1</v>
      </c>
      <c r="T316">
        <v>0.95240000000000002</v>
      </c>
      <c r="U316">
        <v>3.85E-2</v>
      </c>
      <c r="V316">
        <v>0</v>
      </c>
      <c r="W316">
        <f>E316/100</f>
        <v>0.26</v>
      </c>
      <c r="X316">
        <f>F316/1000000</f>
        <v>1.05</v>
      </c>
      <c r="Y316">
        <f>IF(D316="C",1,0)</f>
        <v>0</v>
      </c>
      <c r="Z316">
        <f>IF(G316="C",1,0)</f>
        <v>0</v>
      </c>
      <c r="AA316">
        <f>IF(G316="S",1,0)</f>
        <v>1</v>
      </c>
      <c r="AB316">
        <f>IF(G316="U",1,0)</f>
        <v>0</v>
      </c>
      <c r="AC316" s="5">
        <f>IF(AND(ISNUMBER(H316),NOT(ISNUMBER(P316))),1,0)</f>
        <v>0</v>
      </c>
      <c r="AD316" s="5">
        <f>IF(AND(ISNUMBER(H316),ISNUMBER(P316)),1,0)</f>
        <v>0</v>
      </c>
      <c r="AE316" s="5">
        <f>W316</f>
        <v>0.26</v>
      </c>
      <c r="AF316" s="5">
        <f>X316</f>
        <v>1.05</v>
      </c>
      <c r="AG316" s="5">
        <f>Y316</f>
        <v>0</v>
      </c>
      <c r="AH316" s="5">
        <f>IF(OR(G316="C",G316="S",G316="U"),1,0)</f>
        <v>1</v>
      </c>
      <c r="AI316" s="5">
        <f>IF(ISNUMBER(H316),1,0)</f>
        <v>0</v>
      </c>
      <c r="AJ316" s="5">
        <f>IF(ISNUMBER(P316),1,0)</f>
        <v>1</v>
      </c>
      <c r="AK316" s="5" t="str">
        <f>IF(AI316=1,IF(J316&gt;0,1,0),"")</f>
        <v/>
      </c>
      <c r="AL316" s="5">
        <f>IF(AJ316=1,IF(OR(Q316&gt;0,R316&gt;0),1,0),"")</f>
        <v>0</v>
      </c>
    </row>
    <row r="317" spans="1:38">
      <c r="A317">
        <v>298758</v>
      </c>
      <c r="B317" t="s">
        <v>415</v>
      </c>
      <c r="C317" t="s">
        <v>23</v>
      </c>
      <c r="D317" t="s">
        <v>24</v>
      </c>
      <c r="E317">
        <v>29</v>
      </c>
      <c r="F317">
        <v>1834966</v>
      </c>
      <c r="G317" t="s">
        <v>25</v>
      </c>
      <c r="H317" t="s">
        <v>26</v>
      </c>
      <c r="I317" t="s">
        <v>26</v>
      </c>
      <c r="J317" t="s">
        <v>26</v>
      </c>
      <c r="K317" t="s">
        <v>26</v>
      </c>
      <c r="L317" t="s">
        <v>26</v>
      </c>
      <c r="M317" t="s">
        <v>26</v>
      </c>
      <c r="N317" t="s">
        <v>26</v>
      </c>
      <c r="O317" t="s">
        <v>26</v>
      </c>
      <c r="P317">
        <v>2</v>
      </c>
      <c r="Q317">
        <v>0</v>
      </c>
      <c r="R317">
        <v>1</v>
      </c>
      <c r="S317">
        <v>2</v>
      </c>
      <c r="T317">
        <v>1.0899000000000001</v>
      </c>
      <c r="U317">
        <v>6.9000000000000006E-2</v>
      </c>
      <c r="V317">
        <v>1</v>
      </c>
      <c r="W317">
        <f>E317/100</f>
        <v>0.28999999999999998</v>
      </c>
      <c r="X317">
        <f>F317/1000000</f>
        <v>1.8349660000000001</v>
      </c>
      <c r="Y317">
        <f>IF(D317="C",1,0)</f>
        <v>0</v>
      </c>
      <c r="Z317">
        <f>IF(G317="C",1,0)</f>
        <v>0</v>
      </c>
      <c r="AA317">
        <f>IF(G317="S",1,0)</f>
        <v>1</v>
      </c>
      <c r="AB317">
        <f>IF(G317="U",1,0)</f>
        <v>0</v>
      </c>
      <c r="AC317" s="5">
        <f>IF(AND(ISNUMBER(H317),NOT(ISNUMBER(P317))),1,0)</f>
        <v>0</v>
      </c>
      <c r="AD317" s="5">
        <f>IF(AND(ISNUMBER(H317),ISNUMBER(P317)),1,0)</f>
        <v>0</v>
      </c>
      <c r="AE317" s="5">
        <f>W317</f>
        <v>0.28999999999999998</v>
      </c>
      <c r="AF317" s="5">
        <f>X317</f>
        <v>1.8349660000000001</v>
      </c>
      <c r="AG317" s="5">
        <f>Y317</f>
        <v>0</v>
      </c>
      <c r="AH317" s="5">
        <f>IF(OR(G317="C",G317="S",G317="U"),1,0)</f>
        <v>1</v>
      </c>
      <c r="AI317" s="5">
        <f>IF(ISNUMBER(H317),1,0)</f>
        <v>0</v>
      </c>
      <c r="AJ317" s="5">
        <f>IF(ISNUMBER(P317),1,0)</f>
        <v>1</v>
      </c>
      <c r="AK317" s="5" t="str">
        <f>IF(AI317=1,IF(J317&gt;0,1,0),"")</f>
        <v/>
      </c>
      <c r="AL317" s="5">
        <f>IF(AJ317=1,IF(OR(Q317&gt;0,R317&gt;0),1,0),"")</f>
        <v>1</v>
      </c>
    </row>
    <row r="318" spans="1:38">
      <c r="A318">
        <v>299677</v>
      </c>
      <c r="B318" t="s">
        <v>416</v>
      </c>
      <c r="C318" t="s">
        <v>40</v>
      </c>
      <c r="D318" t="s">
        <v>24</v>
      </c>
      <c r="E318">
        <v>1</v>
      </c>
      <c r="F318">
        <v>40000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>
        <v>1</v>
      </c>
      <c r="Q318">
        <v>0</v>
      </c>
      <c r="R318">
        <v>1</v>
      </c>
      <c r="S318">
        <v>1</v>
      </c>
      <c r="T318">
        <v>25</v>
      </c>
      <c r="U318">
        <v>1</v>
      </c>
      <c r="V318">
        <v>1</v>
      </c>
      <c r="W318">
        <f>E318/100</f>
        <v>0.01</v>
      </c>
      <c r="X318">
        <f>F318/1000000</f>
        <v>0.04</v>
      </c>
      <c r="Y318">
        <f>IF(D318="C",1,0)</f>
        <v>0</v>
      </c>
      <c r="Z318">
        <f>IF(G318="C",1,0)</f>
        <v>0</v>
      </c>
      <c r="AA318">
        <f>IF(G318="S",1,0)</f>
        <v>0</v>
      </c>
      <c r="AB318">
        <f>IF(G318="U",1,0)</f>
        <v>0</v>
      </c>
      <c r="AC318" s="5">
        <f>IF(AND(ISNUMBER(H318),NOT(ISNUMBER(P318))),1,0)</f>
        <v>0</v>
      </c>
      <c r="AD318" s="5">
        <f>IF(AND(ISNUMBER(H318),ISNUMBER(P318)),1,0)</f>
        <v>0</v>
      </c>
      <c r="AE318" s="5">
        <f>W318</f>
        <v>0.01</v>
      </c>
      <c r="AF318" s="5">
        <f>X318</f>
        <v>0.04</v>
      </c>
      <c r="AG318" s="5">
        <f>Y318</f>
        <v>0</v>
      </c>
      <c r="AH318" s="5">
        <f>IF(OR(G318="C",G318="S",G318="U"),1,0)</f>
        <v>0</v>
      </c>
      <c r="AI318" s="5">
        <f>IF(ISNUMBER(H318),1,0)</f>
        <v>0</v>
      </c>
      <c r="AJ318" s="5">
        <f>IF(ISNUMBER(P318),1,0)</f>
        <v>1</v>
      </c>
      <c r="AK318" s="5" t="str">
        <f>IF(AI318=1,IF(J318&gt;0,1,0),"")</f>
        <v/>
      </c>
      <c r="AL318" s="5">
        <f>IF(AJ318=1,IF(OR(Q318&gt;0,R318&gt;0),1,0),"")</f>
        <v>1</v>
      </c>
    </row>
    <row r="319" spans="1:38">
      <c r="A319">
        <v>299739</v>
      </c>
      <c r="B319" t="s">
        <v>417</v>
      </c>
      <c r="C319" t="s">
        <v>37</v>
      </c>
      <c r="D319" t="s">
        <v>24</v>
      </c>
      <c r="E319">
        <v>51</v>
      </c>
      <c r="F319">
        <v>452000</v>
      </c>
      <c r="G319" t="s">
        <v>33</v>
      </c>
      <c r="H319" t="s">
        <v>26</v>
      </c>
      <c r="I319" t="s">
        <v>26</v>
      </c>
      <c r="J319" t="s">
        <v>26</v>
      </c>
      <c r="K319" t="s">
        <v>26</v>
      </c>
      <c r="L319" t="s">
        <v>26</v>
      </c>
      <c r="M319" t="s">
        <v>26</v>
      </c>
      <c r="N319" t="s">
        <v>26</v>
      </c>
      <c r="O319" t="s">
        <v>26</v>
      </c>
      <c r="P319">
        <v>1</v>
      </c>
      <c r="Q319">
        <v>0</v>
      </c>
      <c r="R319">
        <v>0</v>
      </c>
      <c r="S319">
        <v>1</v>
      </c>
      <c r="T319">
        <v>2.2124000000000001</v>
      </c>
      <c r="U319">
        <v>1.9599999999999999E-2</v>
      </c>
      <c r="V319">
        <v>0</v>
      </c>
      <c r="W319">
        <f>E319/100</f>
        <v>0.51</v>
      </c>
      <c r="X319">
        <f>F319/1000000</f>
        <v>0.45200000000000001</v>
      </c>
      <c r="Y319">
        <f>IF(D319="C",1,0)</f>
        <v>0</v>
      </c>
      <c r="Z319">
        <f>IF(G319="C",1,0)</f>
        <v>1</v>
      </c>
      <c r="AA319">
        <f>IF(G319="S",1,0)</f>
        <v>0</v>
      </c>
      <c r="AB319">
        <f>IF(G319="U",1,0)</f>
        <v>0</v>
      </c>
      <c r="AC319" s="5">
        <f>IF(AND(ISNUMBER(H319),NOT(ISNUMBER(P319))),1,0)</f>
        <v>0</v>
      </c>
      <c r="AD319" s="5">
        <f>IF(AND(ISNUMBER(H319),ISNUMBER(P319)),1,0)</f>
        <v>0</v>
      </c>
      <c r="AE319" s="5">
        <f>W319</f>
        <v>0.51</v>
      </c>
      <c r="AF319" s="5">
        <f>X319</f>
        <v>0.45200000000000001</v>
      </c>
      <c r="AG319" s="5">
        <f>Y319</f>
        <v>0</v>
      </c>
      <c r="AH319" s="5">
        <f>IF(OR(G319="C",G319="S",G319="U"),1,0)</f>
        <v>1</v>
      </c>
      <c r="AI319" s="5">
        <f>IF(ISNUMBER(H319),1,0)</f>
        <v>0</v>
      </c>
      <c r="AJ319" s="5">
        <f>IF(ISNUMBER(P319),1,0)</f>
        <v>1</v>
      </c>
      <c r="AK319" s="5" t="str">
        <f>IF(AI319=1,IF(J319&gt;0,1,0),"")</f>
        <v/>
      </c>
      <c r="AL319" s="5">
        <f>IF(AJ319=1,IF(OR(Q319&gt;0,R319&gt;0),1,0),"")</f>
        <v>0</v>
      </c>
    </row>
    <row r="320" spans="1:38">
      <c r="A320">
        <v>299986</v>
      </c>
      <c r="B320" t="s">
        <v>418</v>
      </c>
      <c r="C320" t="s">
        <v>84</v>
      </c>
      <c r="D320" t="s">
        <v>24</v>
      </c>
      <c r="E320">
        <v>3</v>
      </c>
      <c r="F320">
        <v>8000</v>
      </c>
      <c r="G320" t="s">
        <v>419</v>
      </c>
      <c r="H320" t="s">
        <v>26</v>
      </c>
      <c r="I320" t="s">
        <v>26</v>
      </c>
      <c r="J320" t="s">
        <v>26</v>
      </c>
      <c r="K320" t="s">
        <v>26</v>
      </c>
      <c r="L320" t="s">
        <v>26</v>
      </c>
      <c r="M320" t="s">
        <v>26</v>
      </c>
      <c r="N320" t="s">
        <v>26</v>
      </c>
      <c r="O320" t="s">
        <v>26</v>
      </c>
      <c r="P320">
        <v>1</v>
      </c>
      <c r="Q320">
        <v>0</v>
      </c>
      <c r="R320">
        <v>1</v>
      </c>
      <c r="S320">
        <v>0</v>
      </c>
      <c r="T320">
        <v>125</v>
      </c>
      <c r="U320">
        <v>0.33329999999999999</v>
      </c>
      <c r="V320">
        <v>1</v>
      </c>
      <c r="W320">
        <f>E320/100</f>
        <v>0.03</v>
      </c>
      <c r="X320">
        <f>F320/1000000</f>
        <v>8.0000000000000002E-3</v>
      </c>
      <c r="Y320">
        <f>IF(D320="C",1,0)</f>
        <v>0</v>
      </c>
      <c r="Z320">
        <f>IF(G320="C",1,0)</f>
        <v>0</v>
      </c>
      <c r="AA320">
        <f>IF(G320="S",1,0)</f>
        <v>0</v>
      </c>
      <c r="AB320">
        <f>IF(G320="U",1,0)</f>
        <v>1</v>
      </c>
      <c r="AC320" s="5">
        <f>IF(AND(ISNUMBER(H320),NOT(ISNUMBER(P320))),1,0)</f>
        <v>0</v>
      </c>
      <c r="AD320" s="5">
        <f>IF(AND(ISNUMBER(H320),ISNUMBER(P320)),1,0)</f>
        <v>0</v>
      </c>
      <c r="AE320" s="5">
        <f>W320</f>
        <v>0.03</v>
      </c>
      <c r="AF320" s="5">
        <f>X320</f>
        <v>8.0000000000000002E-3</v>
      </c>
      <c r="AG320" s="5">
        <f>Y320</f>
        <v>0</v>
      </c>
      <c r="AH320" s="5">
        <f>IF(OR(G320="C",G320="S",G320="U"),1,0)</f>
        <v>1</v>
      </c>
      <c r="AI320" s="5">
        <f>IF(ISNUMBER(H320),1,0)</f>
        <v>0</v>
      </c>
      <c r="AJ320" s="5">
        <f>IF(ISNUMBER(P320),1,0)</f>
        <v>1</v>
      </c>
      <c r="AK320" s="5" t="str">
        <f>IF(AI320=1,IF(J320&gt;0,1,0),"")</f>
        <v/>
      </c>
      <c r="AL320" s="5">
        <f>IF(AJ320=1,IF(OR(Q320&gt;0,R320&gt;0),1,0),"")</f>
        <v>1</v>
      </c>
    </row>
    <row r="321" spans="1:38">
      <c r="A321">
        <v>300485</v>
      </c>
      <c r="B321" t="s">
        <v>420</v>
      </c>
      <c r="C321" t="s">
        <v>23</v>
      </c>
      <c r="D321" t="s">
        <v>24</v>
      </c>
      <c r="E321">
        <v>83</v>
      </c>
      <c r="F321">
        <v>9236000</v>
      </c>
      <c r="G321" t="s">
        <v>25</v>
      </c>
      <c r="H321" t="s">
        <v>26</v>
      </c>
      <c r="I321" t="s">
        <v>26</v>
      </c>
      <c r="J321" t="s">
        <v>26</v>
      </c>
      <c r="K321" t="s">
        <v>26</v>
      </c>
      <c r="L321" t="s">
        <v>26</v>
      </c>
      <c r="M321" t="s">
        <v>26</v>
      </c>
      <c r="N321" t="s">
        <v>26</v>
      </c>
      <c r="O321" t="s">
        <v>26</v>
      </c>
      <c r="P321">
        <v>2</v>
      </c>
      <c r="Q321">
        <v>0</v>
      </c>
      <c r="R321">
        <v>0</v>
      </c>
      <c r="S321">
        <v>2</v>
      </c>
      <c r="T321">
        <v>0.2165</v>
      </c>
      <c r="U321">
        <v>2.41E-2</v>
      </c>
      <c r="V321">
        <v>0</v>
      </c>
      <c r="W321">
        <f>E321/100</f>
        <v>0.83</v>
      </c>
      <c r="X321">
        <f>F321/1000000</f>
        <v>9.2360000000000007</v>
      </c>
      <c r="Y321">
        <f>IF(D321="C",1,0)</f>
        <v>0</v>
      </c>
      <c r="Z321">
        <f>IF(G321="C",1,0)</f>
        <v>0</v>
      </c>
      <c r="AA321">
        <f>IF(G321="S",1,0)</f>
        <v>1</v>
      </c>
      <c r="AB321">
        <f>IF(G321="U",1,0)</f>
        <v>0</v>
      </c>
      <c r="AC321" s="5">
        <f>IF(AND(ISNUMBER(H321),NOT(ISNUMBER(P321))),1,0)</f>
        <v>0</v>
      </c>
      <c r="AD321" s="5">
        <f>IF(AND(ISNUMBER(H321),ISNUMBER(P321)),1,0)</f>
        <v>0</v>
      </c>
      <c r="AE321" s="5">
        <f>W321</f>
        <v>0.83</v>
      </c>
      <c r="AF321" s="5">
        <f>X321</f>
        <v>9.2360000000000007</v>
      </c>
      <c r="AG321" s="5">
        <f>Y321</f>
        <v>0</v>
      </c>
      <c r="AH321" s="5">
        <f>IF(OR(G321="C",G321="S",G321="U"),1,0)</f>
        <v>1</v>
      </c>
      <c r="AI321" s="5">
        <f>IF(ISNUMBER(H321),1,0)</f>
        <v>0</v>
      </c>
      <c r="AJ321" s="5">
        <f>IF(ISNUMBER(P321),1,0)</f>
        <v>1</v>
      </c>
      <c r="AK321" s="5" t="str">
        <f>IF(AI321=1,IF(J321&gt;0,1,0),"")</f>
        <v/>
      </c>
      <c r="AL321" s="5">
        <f>IF(AJ321=1,IF(OR(Q321&gt;0,R321&gt;0),1,0),"")</f>
        <v>0</v>
      </c>
    </row>
    <row r="322" spans="1:38">
      <c r="A322">
        <v>301275</v>
      </c>
      <c r="B322" t="s">
        <v>421</v>
      </c>
      <c r="C322" t="s">
        <v>23</v>
      </c>
      <c r="D322" t="s">
        <v>24</v>
      </c>
      <c r="E322">
        <v>42</v>
      </c>
      <c r="F322">
        <v>559127</v>
      </c>
      <c r="H322" t="s">
        <v>26</v>
      </c>
      <c r="I322" t="s">
        <v>26</v>
      </c>
      <c r="J322" t="s">
        <v>26</v>
      </c>
      <c r="K322" t="s">
        <v>26</v>
      </c>
      <c r="L322" t="s">
        <v>26</v>
      </c>
      <c r="M322" t="s">
        <v>26</v>
      </c>
      <c r="N322" t="s">
        <v>26</v>
      </c>
      <c r="O322" t="s">
        <v>26</v>
      </c>
      <c r="P322">
        <v>1</v>
      </c>
      <c r="Q322">
        <v>1</v>
      </c>
      <c r="R322">
        <v>1</v>
      </c>
      <c r="S322">
        <v>1</v>
      </c>
      <c r="T322">
        <v>1.7885</v>
      </c>
      <c r="U322">
        <v>2.3800000000000002E-2</v>
      </c>
      <c r="V322">
        <v>1</v>
      </c>
      <c r="W322">
        <f>E322/100</f>
        <v>0.42</v>
      </c>
      <c r="X322">
        <f>F322/1000000</f>
        <v>0.55912700000000004</v>
      </c>
      <c r="Y322">
        <f>IF(D322="C",1,0)</f>
        <v>0</v>
      </c>
      <c r="Z322">
        <f>IF(G322="C",1,0)</f>
        <v>0</v>
      </c>
      <c r="AA322">
        <f>IF(G322="S",1,0)</f>
        <v>0</v>
      </c>
      <c r="AB322">
        <f>IF(G322="U",1,0)</f>
        <v>0</v>
      </c>
      <c r="AC322" s="5">
        <f>IF(AND(ISNUMBER(H322),NOT(ISNUMBER(P322))),1,0)</f>
        <v>0</v>
      </c>
      <c r="AD322" s="5">
        <f>IF(AND(ISNUMBER(H322),ISNUMBER(P322)),1,0)</f>
        <v>0</v>
      </c>
      <c r="AE322" s="5">
        <f>W322</f>
        <v>0.42</v>
      </c>
      <c r="AF322" s="5">
        <f>X322</f>
        <v>0.55912700000000004</v>
      </c>
      <c r="AG322" s="5">
        <f>Y322</f>
        <v>0</v>
      </c>
      <c r="AH322" s="5">
        <f>IF(OR(G322="C",G322="S",G322="U"),1,0)</f>
        <v>0</v>
      </c>
      <c r="AI322" s="5">
        <f>IF(ISNUMBER(H322),1,0)</f>
        <v>0</v>
      </c>
      <c r="AJ322" s="5">
        <f>IF(ISNUMBER(P322),1,0)</f>
        <v>1</v>
      </c>
      <c r="AK322" s="5" t="str">
        <f>IF(AI322=1,IF(J322&gt;0,1,0),"")</f>
        <v/>
      </c>
      <c r="AL322" s="5">
        <f>IF(AJ322=1,IF(OR(Q322&gt;0,R322&gt;0),1,0),"")</f>
        <v>1</v>
      </c>
    </row>
    <row r="323" spans="1:38">
      <c r="A323">
        <v>301443</v>
      </c>
      <c r="B323" t="s">
        <v>422</v>
      </c>
      <c r="C323" t="s">
        <v>37</v>
      </c>
      <c r="D323" t="s">
        <v>24</v>
      </c>
      <c r="E323">
        <v>4</v>
      </c>
      <c r="F323">
        <v>453011</v>
      </c>
      <c r="H323" t="s">
        <v>26</v>
      </c>
      <c r="I323" t="s">
        <v>26</v>
      </c>
      <c r="J323" t="s">
        <v>26</v>
      </c>
      <c r="K323" t="s">
        <v>26</v>
      </c>
      <c r="L323" t="s">
        <v>26</v>
      </c>
      <c r="M323" t="s">
        <v>26</v>
      </c>
      <c r="N323" t="s">
        <v>26</v>
      </c>
      <c r="O323" t="s">
        <v>26</v>
      </c>
      <c r="P323">
        <v>1</v>
      </c>
      <c r="Q323">
        <v>0</v>
      </c>
      <c r="R323">
        <v>0</v>
      </c>
      <c r="S323">
        <v>1</v>
      </c>
      <c r="T323">
        <v>2.2075</v>
      </c>
      <c r="U323">
        <v>0.25</v>
      </c>
      <c r="V323">
        <v>0</v>
      </c>
      <c r="W323">
        <f>E323/100</f>
        <v>0.04</v>
      </c>
      <c r="X323">
        <f>F323/1000000</f>
        <v>0.453011</v>
      </c>
      <c r="Y323">
        <f>IF(D323="C",1,0)</f>
        <v>0</v>
      </c>
      <c r="Z323">
        <f>IF(G323="C",1,0)</f>
        <v>0</v>
      </c>
      <c r="AA323">
        <f>IF(G323="S",1,0)</f>
        <v>0</v>
      </c>
      <c r="AB323">
        <f>IF(G323="U",1,0)</f>
        <v>0</v>
      </c>
      <c r="AC323" s="5">
        <f>IF(AND(ISNUMBER(H323),NOT(ISNUMBER(P323))),1,0)</f>
        <v>0</v>
      </c>
      <c r="AD323" s="5">
        <f>IF(AND(ISNUMBER(H323),ISNUMBER(P323)),1,0)</f>
        <v>0</v>
      </c>
      <c r="AE323" s="5">
        <f>W323</f>
        <v>0.04</v>
      </c>
      <c r="AF323" s="5">
        <f>X323</f>
        <v>0.453011</v>
      </c>
      <c r="AG323" s="5">
        <f>Y323</f>
        <v>0</v>
      </c>
      <c r="AH323" s="5">
        <f>IF(OR(G323="C",G323="S",G323="U"),1,0)</f>
        <v>0</v>
      </c>
      <c r="AI323" s="5">
        <f>IF(ISNUMBER(H323),1,0)</f>
        <v>0</v>
      </c>
      <c r="AJ323" s="5">
        <f>IF(ISNUMBER(P323),1,0)</f>
        <v>1</v>
      </c>
      <c r="AK323" s="5" t="str">
        <f>IF(AI323=1,IF(J323&gt;0,1,0),"")</f>
        <v/>
      </c>
      <c r="AL323" s="5">
        <f>IF(AJ323=1,IF(OR(Q323&gt;0,R323&gt;0),1,0),"")</f>
        <v>0</v>
      </c>
    </row>
    <row r="324" spans="1:38">
      <c r="A324">
        <v>301626</v>
      </c>
      <c r="B324" t="s">
        <v>423</v>
      </c>
      <c r="C324" t="s">
        <v>82</v>
      </c>
      <c r="D324" t="s">
        <v>24</v>
      </c>
      <c r="E324">
        <v>10</v>
      </c>
      <c r="F324">
        <v>103420</v>
      </c>
      <c r="G324" t="s">
        <v>25</v>
      </c>
      <c r="H324" t="s">
        <v>26</v>
      </c>
      <c r="I324" t="s">
        <v>26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>
        <v>1</v>
      </c>
      <c r="Q324">
        <v>0</v>
      </c>
      <c r="R324">
        <v>0</v>
      </c>
      <c r="S324">
        <v>1</v>
      </c>
      <c r="T324">
        <v>9.6692999999999998</v>
      </c>
      <c r="U324">
        <v>0.1</v>
      </c>
      <c r="V324">
        <v>0</v>
      </c>
      <c r="W324">
        <f>E324/100</f>
        <v>0.1</v>
      </c>
      <c r="X324">
        <f>F324/1000000</f>
        <v>0.10342</v>
      </c>
      <c r="Y324">
        <f>IF(D324="C",1,0)</f>
        <v>0</v>
      </c>
      <c r="Z324">
        <f>IF(G324="C",1,0)</f>
        <v>0</v>
      </c>
      <c r="AA324">
        <f>IF(G324="S",1,0)</f>
        <v>1</v>
      </c>
      <c r="AB324">
        <f>IF(G324="U",1,0)</f>
        <v>0</v>
      </c>
      <c r="AC324" s="5">
        <f>IF(AND(ISNUMBER(H324),NOT(ISNUMBER(P324))),1,0)</f>
        <v>0</v>
      </c>
      <c r="AD324" s="5">
        <f>IF(AND(ISNUMBER(H324),ISNUMBER(P324)),1,0)</f>
        <v>0</v>
      </c>
      <c r="AE324" s="5">
        <f>W324</f>
        <v>0.1</v>
      </c>
      <c r="AF324" s="5">
        <f>X324</f>
        <v>0.10342</v>
      </c>
      <c r="AG324" s="5">
        <f>Y324</f>
        <v>0</v>
      </c>
      <c r="AH324" s="5">
        <f>IF(OR(G324="C",G324="S",G324="U"),1,0)</f>
        <v>1</v>
      </c>
      <c r="AI324" s="5">
        <f>IF(ISNUMBER(H324),1,0)</f>
        <v>0</v>
      </c>
      <c r="AJ324" s="5">
        <f>IF(ISNUMBER(P324),1,0)</f>
        <v>1</v>
      </c>
      <c r="AK324" s="5" t="str">
        <f>IF(AI324=1,IF(J324&gt;0,1,0),"")</f>
        <v/>
      </c>
      <c r="AL324" s="5">
        <f>IF(AJ324=1,IF(OR(Q324&gt;0,R324&gt;0),1,0),"")</f>
        <v>0</v>
      </c>
    </row>
    <row r="325" spans="1:38">
      <c r="A325">
        <v>301627</v>
      </c>
      <c r="B325" t="s">
        <v>424</v>
      </c>
      <c r="C325" t="s">
        <v>82</v>
      </c>
      <c r="D325" t="s">
        <v>24</v>
      </c>
      <c r="E325">
        <v>34</v>
      </c>
      <c r="F325">
        <v>1628949</v>
      </c>
      <c r="G325" t="s">
        <v>33</v>
      </c>
      <c r="H325" t="s">
        <v>26</v>
      </c>
      <c r="I325" t="s">
        <v>26</v>
      </c>
      <c r="J325" t="s">
        <v>26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>
        <v>1</v>
      </c>
      <c r="Q325">
        <v>0</v>
      </c>
      <c r="R325">
        <v>0</v>
      </c>
      <c r="S325">
        <v>1</v>
      </c>
      <c r="T325">
        <v>0.6139</v>
      </c>
      <c r="U325">
        <v>2.9399999999999999E-2</v>
      </c>
      <c r="V325">
        <v>0</v>
      </c>
      <c r="W325">
        <f>E325/100</f>
        <v>0.34</v>
      </c>
      <c r="X325">
        <f>F325/1000000</f>
        <v>1.628949</v>
      </c>
      <c r="Y325">
        <f>IF(D325="C",1,0)</f>
        <v>0</v>
      </c>
      <c r="Z325">
        <f>IF(G325="C",1,0)</f>
        <v>1</v>
      </c>
      <c r="AA325">
        <f>IF(G325="S",1,0)</f>
        <v>0</v>
      </c>
      <c r="AB325">
        <f>IF(G325="U",1,0)</f>
        <v>0</v>
      </c>
      <c r="AC325" s="5">
        <f>IF(AND(ISNUMBER(H325),NOT(ISNUMBER(P325))),1,0)</f>
        <v>0</v>
      </c>
      <c r="AD325" s="5">
        <f>IF(AND(ISNUMBER(H325),ISNUMBER(P325)),1,0)</f>
        <v>0</v>
      </c>
      <c r="AE325" s="5">
        <f>W325</f>
        <v>0.34</v>
      </c>
      <c r="AF325" s="5">
        <f>X325</f>
        <v>1.628949</v>
      </c>
      <c r="AG325" s="5">
        <f>Y325</f>
        <v>0</v>
      </c>
      <c r="AH325" s="5">
        <f>IF(OR(G325="C",G325="S",G325="U"),1,0)</f>
        <v>1</v>
      </c>
      <c r="AI325" s="5">
        <f>IF(ISNUMBER(H325),1,0)</f>
        <v>0</v>
      </c>
      <c r="AJ325" s="5">
        <f>IF(ISNUMBER(P325),1,0)</f>
        <v>1</v>
      </c>
      <c r="AK325" s="5" t="str">
        <f>IF(AI325=1,IF(J325&gt;0,1,0),"")</f>
        <v/>
      </c>
      <c r="AL325" s="5">
        <f>IF(AJ325=1,IF(OR(Q325&gt;0,R325&gt;0),1,0),"")</f>
        <v>0</v>
      </c>
    </row>
    <row r="326" spans="1:38">
      <c r="A326">
        <v>302722</v>
      </c>
      <c r="B326" t="s">
        <v>425</v>
      </c>
      <c r="C326" t="s">
        <v>105</v>
      </c>
      <c r="D326" t="s">
        <v>24</v>
      </c>
      <c r="E326">
        <v>2</v>
      </c>
      <c r="F326">
        <v>47076</v>
      </c>
      <c r="H326" t="s">
        <v>26</v>
      </c>
      <c r="I326" t="s">
        <v>26</v>
      </c>
      <c r="J326" t="s">
        <v>26</v>
      </c>
      <c r="K326" t="s">
        <v>26</v>
      </c>
      <c r="L326" t="s">
        <v>26</v>
      </c>
      <c r="M326" t="s">
        <v>26</v>
      </c>
      <c r="N326" t="s">
        <v>26</v>
      </c>
      <c r="O326" t="s">
        <v>26</v>
      </c>
      <c r="P326">
        <v>1</v>
      </c>
      <c r="Q326">
        <v>0</v>
      </c>
      <c r="R326">
        <v>1</v>
      </c>
      <c r="S326">
        <v>1</v>
      </c>
      <c r="T326">
        <v>21.2422</v>
      </c>
      <c r="U326">
        <v>0.5</v>
      </c>
      <c r="V326">
        <v>1</v>
      </c>
      <c r="W326">
        <f>E326/100</f>
        <v>0.02</v>
      </c>
      <c r="X326">
        <f>F326/1000000</f>
        <v>4.7076E-2</v>
      </c>
      <c r="Y326">
        <f>IF(D326="C",1,0)</f>
        <v>0</v>
      </c>
      <c r="Z326">
        <f>IF(G326="C",1,0)</f>
        <v>0</v>
      </c>
      <c r="AA326">
        <f>IF(G326="S",1,0)</f>
        <v>0</v>
      </c>
      <c r="AB326">
        <f>IF(G326="U",1,0)</f>
        <v>0</v>
      </c>
      <c r="AC326" s="5">
        <f>IF(AND(ISNUMBER(H326),NOT(ISNUMBER(P326))),1,0)</f>
        <v>0</v>
      </c>
      <c r="AD326" s="5">
        <f>IF(AND(ISNUMBER(H326),ISNUMBER(P326)),1,0)</f>
        <v>0</v>
      </c>
      <c r="AE326" s="5">
        <f>W326</f>
        <v>0.02</v>
      </c>
      <c r="AF326" s="5">
        <f>X326</f>
        <v>4.7076E-2</v>
      </c>
      <c r="AG326" s="5">
        <f>Y326</f>
        <v>0</v>
      </c>
      <c r="AH326" s="5">
        <f>IF(OR(G326="C",G326="S",G326="U"),1,0)</f>
        <v>0</v>
      </c>
      <c r="AI326" s="5">
        <f>IF(ISNUMBER(H326),1,0)</f>
        <v>0</v>
      </c>
      <c r="AJ326" s="5">
        <f>IF(ISNUMBER(P326),1,0)</f>
        <v>1</v>
      </c>
      <c r="AK326" s="5" t="str">
        <f>IF(AI326=1,IF(J326&gt;0,1,0),"")</f>
        <v/>
      </c>
      <c r="AL326" s="5">
        <f>IF(AJ326=1,IF(OR(Q326&gt;0,R326&gt;0),1,0),"")</f>
        <v>1</v>
      </c>
    </row>
    <row r="327" spans="1:38">
      <c r="A327">
        <v>308681</v>
      </c>
      <c r="B327" t="s">
        <v>426</v>
      </c>
      <c r="C327" t="s">
        <v>212</v>
      </c>
      <c r="D327" t="s">
        <v>24</v>
      </c>
      <c r="E327">
        <v>23</v>
      </c>
      <c r="F327">
        <v>2740301</v>
      </c>
      <c r="G327" t="s">
        <v>25</v>
      </c>
      <c r="H327" t="s">
        <v>26</v>
      </c>
      <c r="I327" t="s">
        <v>26</v>
      </c>
      <c r="J327" t="s">
        <v>26</v>
      </c>
      <c r="K327" t="s">
        <v>26</v>
      </c>
      <c r="L327" t="s">
        <v>26</v>
      </c>
      <c r="M327" t="s">
        <v>26</v>
      </c>
      <c r="N327" t="s">
        <v>26</v>
      </c>
      <c r="O327" t="s">
        <v>26</v>
      </c>
      <c r="P327">
        <v>1</v>
      </c>
      <c r="Q327">
        <v>0</v>
      </c>
      <c r="R327">
        <v>1</v>
      </c>
      <c r="S327">
        <v>1</v>
      </c>
      <c r="T327">
        <v>0.3649</v>
      </c>
      <c r="U327">
        <v>4.3499999999999997E-2</v>
      </c>
      <c r="V327">
        <v>1</v>
      </c>
      <c r="W327">
        <f>E327/100</f>
        <v>0.23</v>
      </c>
      <c r="X327">
        <f>F327/1000000</f>
        <v>2.7403010000000001</v>
      </c>
      <c r="Y327">
        <f>IF(D327="C",1,0)</f>
        <v>0</v>
      </c>
      <c r="Z327">
        <f>IF(G327="C",1,0)</f>
        <v>0</v>
      </c>
      <c r="AA327">
        <f>IF(G327="S",1,0)</f>
        <v>1</v>
      </c>
      <c r="AB327">
        <f>IF(G327="U",1,0)</f>
        <v>0</v>
      </c>
      <c r="AC327" s="5">
        <f>IF(AND(ISNUMBER(H327),NOT(ISNUMBER(P327))),1,0)</f>
        <v>0</v>
      </c>
      <c r="AD327" s="5">
        <f>IF(AND(ISNUMBER(H327),ISNUMBER(P327)),1,0)</f>
        <v>0</v>
      </c>
      <c r="AE327" s="5">
        <f>W327</f>
        <v>0.23</v>
      </c>
      <c r="AF327" s="5">
        <f>X327</f>
        <v>2.7403010000000001</v>
      </c>
      <c r="AG327" s="5">
        <f>Y327</f>
        <v>0</v>
      </c>
      <c r="AH327" s="5">
        <f>IF(OR(G327="C",G327="S",G327="U"),1,0)</f>
        <v>1</v>
      </c>
      <c r="AI327" s="5">
        <f>IF(ISNUMBER(H327),1,0)</f>
        <v>0</v>
      </c>
      <c r="AJ327" s="5">
        <f>IF(ISNUMBER(P327),1,0)</f>
        <v>1</v>
      </c>
      <c r="AK327" s="5" t="str">
        <f>IF(AI327=1,IF(J327&gt;0,1,0),"")</f>
        <v/>
      </c>
      <c r="AL327" s="5">
        <f>IF(AJ327=1,IF(OR(Q327&gt;0,R327&gt;0),1,0),"")</f>
        <v>1</v>
      </c>
    </row>
    <row r="328" spans="1:38">
      <c r="A328">
        <v>309317</v>
      </c>
      <c r="B328" t="s">
        <v>427</v>
      </c>
      <c r="C328" t="s">
        <v>82</v>
      </c>
      <c r="D328" t="s">
        <v>24</v>
      </c>
      <c r="E328">
        <v>259</v>
      </c>
      <c r="F328">
        <v>1155579</v>
      </c>
      <c r="G328" t="s">
        <v>25</v>
      </c>
      <c r="H328" t="s">
        <v>26</v>
      </c>
      <c r="I328" t="s">
        <v>26</v>
      </c>
      <c r="J328" t="s">
        <v>26</v>
      </c>
      <c r="K328" t="s">
        <v>26</v>
      </c>
      <c r="L328" t="s">
        <v>26</v>
      </c>
      <c r="M328" t="s">
        <v>26</v>
      </c>
      <c r="N328" t="s">
        <v>26</v>
      </c>
      <c r="O328" t="s">
        <v>26</v>
      </c>
      <c r="P328">
        <v>1</v>
      </c>
      <c r="Q328">
        <v>0</v>
      </c>
      <c r="R328">
        <v>1</v>
      </c>
      <c r="S328">
        <v>1</v>
      </c>
      <c r="T328">
        <v>0.86539999999999995</v>
      </c>
      <c r="U328">
        <v>3.8999999999999998E-3</v>
      </c>
      <c r="V328">
        <v>1</v>
      </c>
      <c r="W328">
        <f>E328/100</f>
        <v>2.59</v>
      </c>
      <c r="X328">
        <f>F328/1000000</f>
        <v>1.1555789999999999</v>
      </c>
      <c r="Y328">
        <f>IF(D328="C",1,0)</f>
        <v>0</v>
      </c>
      <c r="Z328">
        <f>IF(G328="C",1,0)</f>
        <v>0</v>
      </c>
      <c r="AA328">
        <f>IF(G328="S",1,0)</f>
        <v>1</v>
      </c>
      <c r="AB328">
        <f>IF(G328="U",1,0)</f>
        <v>0</v>
      </c>
      <c r="AC328" s="5">
        <f>IF(AND(ISNUMBER(H328),NOT(ISNUMBER(P328))),1,0)</f>
        <v>0</v>
      </c>
      <c r="AD328" s="5">
        <f>IF(AND(ISNUMBER(H328),ISNUMBER(P328)),1,0)</f>
        <v>0</v>
      </c>
      <c r="AE328" s="5">
        <f>W328</f>
        <v>2.59</v>
      </c>
      <c r="AF328" s="5">
        <f>X328</f>
        <v>1.1555789999999999</v>
      </c>
      <c r="AG328" s="5">
        <f>Y328</f>
        <v>0</v>
      </c>
      <c r="AH328" s="5">
        <f>IF(OR(G328="C",G328="S",G328="U"),1,0)</f>
        <v>1</v>
      </c>
      <c r="AI328" s="5">
        <f>IF(ISNUMBER(H328),1,0)</f>
        <v>0</v>
      </c>
      <c r="AJ328" s="5">
        <f>IF(ISNUMBER(P328),1,0)</f>
        <v>1</v>
      </c>
      <c r="AK328" s="5" t="str">
        <f>IF(AI328=1,IF(J328&gt;0,1,0),"")</f>
        <v/>
      </c>
      <c r="AL328" s="5">
        <f>IF(AJ328=1,IF(OR(Q328&gt;0,R328&gt;0),1,0),"")</f>
        <v>1</v>
      </c>
    </row>
    <row r="329" spans="1:38">
      <c r="A329">
        <v>309353</v>
      </c>
      <c r="B329" t="s">
        <v>428</v>
      </c>
      <c r="C329" t="s">
        <v>82</v>
      </c>
      <c r="D329" t="s">
        <v>24</v>
      </c>
      <c r="E329">
        <v>11</v>
      </c>
      <c r="F329">
        <v>87986</v>
      </c>
      <c r="G329" t="s">
        <v>25</v>
      </c>
      <c r="H329" t="s">
        <v>26</v>
      </c>
      <c r="I329" t="s">
        <v>26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>
        <v>1</v>
      </c>
      <c r="Q329">
        <v>0</v>
      </c>
      <c r="R329">
        <v>0</v>
      </c>
      <c r="S329">
        <v>1</v>
      </c>
      <c r="T329">
        <v>11.365399999999999</v>
      </c>
      <c r="U329">
        <v>9.0899999999999995E-2</v>
      </c>
      <c r="V329">
        <v>0</v>
      </c>
      <c r="W329">
        <f>E329/100</f>
        <v>0.11</v>
      </c>
      <c r="X329">
        <f>F329/1000000</f>
        <v>8.7985999999999995E-2</v>
      </c>
      <c r="Y329">
        <f>IF(D329="C",1,0)</f>
        <v>0</v>
      </c>
      <c r="Z329">
        <f>IF(G329="C",1,0)</f>
        <v>0</v>
      </c>
      <c r="AA329">
        <f>IF(G329="S",1,0)</f>
        <v>1</v>
      </c>
      <c r="AB329">
        <f>IF(G329="U",1,0)</f>
        <v>0</v>
      </c>
      <c r="AC329" s="5">
        <f>IF(AND(ISNUMBER(H329),NOT(ISNUMBER(P329))),1,0)</f>
        <v>0</v>
      </c>
      <c r="AD329" s="5">
        <f>IF(AND(ISNUMBER(H329),ISNUMBER(P329)),1,0)</f>
        <v>0</v>
      </c>
      <c r="AE329" s="5">
        <f>W329</f>
        <v>0.11</v>
      </c>
      <c r="AF329" s="5">
        <f>X329</f>
        <v>8.7985999999999995E-2</v>
      </c>
      <c r="AG329" s="5">
        <f>Y329</f>
        <v>0</v>
      </c>
      <c r="AH329" s="5">
        <f>IF(OR(G329="C",G329="S",G329="U"),1,0)</f>
        <v>1</v>
      </c>
      <c r="AI329" s="5">
        <f>IF(ISNUMBER(H329),1,0)</f>
        <v>0</v>
      </c>
      <c r="AJ329" s="5">
        <f>IF(ISNUMBER(P329),1,0)</f>
        <v>1</v>
      </c>
      <c r="AK329" s="5" t="str">
        <f>IF(AI329=1,IF(J329&gt;0,1,0),"")</f>
        <v/>
      </c>
      <c r="AL329" s="5">
        <f>IF(AJ329=1,IF(OR(Q329&gt;0,R329&gt;0),1,0),"")</f>
        <v>0</v>
      </c>
    </row>
    <row r="330" spans="1:38">
      <c r="A330">
        <v>310266</v>
      </c>
      <c r="B330" t="s">
        <v>429</v>
      </c>
      <c r="C330" t="s">
        <v>23</v>
      </c>
      <c r="D330" t="s">
        <v>24</v>
      </c>
      <c r="E330">
        <v>11</v>
      </c>
      <c r="F330">
        <v>812000</v>
      </c>
      <c r="G330" t="s">
        <v>25</v>
      </c>
      <c r="H330" t="s">
        <v>26</v>
      </c>
      <c r="I330" t="s">
        <v>26</v>
      </c>
      <c r="J330" t="s">
        <v>26</v>
      </c>
      <c r="K330" t="s">
        <v>26</v>
      </c>
      <c r="L330" t="s">
        <v>26</v>
      </c>
      <c r="M330" t="s">
        <v>26</v>
      </c>
      <c r="N330" t="s">
        <v>26</v>
      </c>
      <c r="O330" t="s">
        <v>26</v>
      </c>
      <c r="P330">
        <v>1</v>
      </c>
      <c r="Q330">
        <v>0</v>
      </c>
      <c r="R330">
        <v>1</v>
      </c>
      <c r="S330">
        <v>1</v>
      </c>
      <c r="T330">
        <v>1.2315</v>
      </c>
      <c r="U330">
        <v>9.0899999999999995E-2</v>
      </c>
      <c r="V330">
        <v>1</v>
      </c>
      <c r="W330">
        <f>E330/100</f>
        <v>0.11</v>
      </c>
      <c r="X330">
        <f>F330/1000000</f>
        <v>0.81200000000000006</v>
      </c>
      <c r="Y330">
        <f>IF(D330="C",1,0)</f>
        <v>0</v>
      </c>
      <c r="Z330">
        <f>IF(G330="C",1,0)</f>
        <v>0</v>
      </c>
      <c r="AA330">
        <f>IF(G330="S",1,0)</f>
        <v>1</v>
      </c>
      <c r="AB330">
        <f>IF(G330="U",1,0)</f>
        <v>0</v>
      </c>
      <c r="AC330" s="5">
        <f>IF(AND(ISNUMBER(H330),NOT(ISNUMBER(P330))),1,0)</f>
        <v>0</v>
      </c>
      <c r="AD330" s="5">
        <f>IF(AND(ISNUMBER(H330),ISNUMBER(P330)),1,0)</f>
        <v>0</v>
      </c>
      <c r="AE330" s="5">
        <f>W330</f>
        <v>0.11</v>
      </c>
      <c r="AF330" s="5">
        <f>X330</f>
        <v>0.81200000000000006</v>
      </c>
      <c r="AG330" s="5">
        <f>Y330</f>
        <v>0</v>
      </c>
      <c r="AH330" s="5">
        <f>IF(OR(G330="C",G330="S",G330="U"),1,0)</f>
        <v>1</v>
      </c>
      <c r="AI330" s="5">
        <f>IF(ISNUMBER(H330),1,0)</f>
        <v>0</v>
      </c>
      <c r="AJ330" s="5">
        <f>IF(ISNUMBER(P330),1,0)</f>
        <v>1</v>
      </c>
      <c r="AK330" s="5" t="str">
        <f>IF(AI330=1,IF(J330&gt;0,1,0),"")</f>
        <v/>
      </c>
      <c r="AL330" s="5">
        <f>IF(AJ330=1,IF(OR(Q330&gt;0,R330&gt;0),1,0),"")</f>
        <v>1</v>
      </c>
    </row>
    <row r="331" spans="1:38">
      <c r="A331">
        <v>311077</v>
      </c>
      <c r="B331" t="s">
        <v>430</v>
      </c>
      <c r="C331" t="s">
        <v>183</v>
      </c>
      <c r="D331" t="s">
        <v>24</v>
      </c>
      <c r="E331">
        <v>114</v>
      </c>
      <c r="F331">
        <v>4765808</v>
      </c>
      <c r="G331" t="s">
        <v>25</v>
      </c>
      <c r="H331" t="s">
        <v>26</v>
      </c>
      <c r="I331" t="s">
        <v>26</v>
      </c>
      <c r="J331" t="s">
        <v>26</v>
      </c>
      <c r="K331" t="s">
        <v>26</v>
      </c>
      <c r="L331" t="s">
        <v>26</v>
      </c>
      <c r="M331" t="s">
        <v>26</v>
      </c>
      <c r="N331" t="s">
        <v>26</v>
      </c>
      <c r="O331" t="s">
        <v>26</v>
      </c>
      <c r="P331">
        <v>1</v>
      </c>
      <c r="Q331">
        <v>0</v>
      </c>
      <c r="R331">
        <v>0</v>
      </c>
      <c r="S331">
        <v>1</v>
      </c>
      <c r="T331">
        <v>0.20979999999999999</v>
      </c>
      <c r="U331">
        <v>8.8000000000000005E-3</v>
      </c>
      <c r="V331">
        <v>0</v>
      </c>
      <c r="W331">
        <f>E331/100</f>
        <v>1.1399999999999999</v>
      </c>
      <c r="X331">
        <f>F331/1000000</f>
        <v>4.7658079999999998</v>
      </c>
      <c r="Y331">
        <f>IF(D331="C",1,0)</f>
        <v>0</v>
      </c>
      <c r="Z331">
        <f>IF(G331="C",1,0)</f>
        <v>0</v>
      </c>
      <c r="AA331">
        <f>IF(G331="S",1,0)</f>
        <v>1</v>
      </c>
      <c r="AB331">
        <f>IF(G331="U",1,0)</f>
        <v>0</v>
      </c>
      <c r="AC331" s="5">
        <f>IF(AND(ISNUMBER(H331),NOT(ISNUMBER(P331))),1,0)</f>
        <v>0</v>
      </c>
      <c r="AD331" s="5">
        <f>IF(AND(ISNUMBER(H331),ISNUMBER(P331)),1,0)</f>
        <v>0</v>
      </c>
      <c r="AE331" s="5">
        <f>W331</f>
        <v>1.1399999999999999</v>
      </c>
      <c r="AF331" s="5">
        <f>X331</f>
        <v>4.7658079999999998</v>
      </c>
      <c r="AG331" s="5">
        <f>Y331</f>
        <v>0</v>
      </c>
      <c r="AH331" s="5">
        <f>IF(OR(G331="C",G331="S",G331="U"),1,0)</f>
        <v>1</v>
      </c>
      <c r="AI331" s="5">
        <f>IF(ISNUMBER(H331),1,0)</f>
        <v>0</v>
      </c>
      <c r="AJ331" s="5">
        <f>IF(ISNUMBER(P331),1,0)</f>
        <v>1</v>
      </c>
      <c r="AK331" s="5" t="str">
        <f>IF(AI331=1,IF(J331&gt;0,1,0),"")</f>
        <v/>
      </c>
      <c r="AL331" s="5">
        <f>IF(AJ331=1,IF(OR(Q331&gt;0,R331&gt;0),1,0),"")</f>
        <v>0</v>
      </c>
    </row>
    <row r="332" spans="1:38">
      <c r="A332">
        <v>311559</v>
      </c>
      <c r="B332" t="s">
        <v>431</v>
      </c>
      <c r="C332" t="s">
        <v>37</v>
      </c>
      <c r="D332" t="s">
        <v>33</v>
      </c>
      <c r="E332">
        <v>3</v>
      </c>
      <c r="F332">
        <v>23998</v>
      </c>
      <c r="G332" t="s">
        <v>25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>
        <v>1</v>
      </c>
      <c r="Q332">
        <v>0</v>
      </c>
      <c r="R332">
        <v>1</v>
      </c>
      <c r="S332">
        <v>1</v>
      </c>
      <c r="T332">
        <v>41.670099999999998</v>
      </c>
      <c r="U332">
        <v>0.33329999999999999</v>
      </c>
      <c r="V332">
        <v>1</v>
      </c>
      <c r="W332">
        <f>E332/100</f>
        <v>0.03</v>
      </c>
      <c r="X332">
        <f>F332/1000000</f>
        <v>2.3997999999999998E-2</v>
      </c>
      <c r="Y332">
        <f>IF(D332="C",1,0)</f>
        <v>1</v>
      </c>
      <c r="Z332">
        <f>IF(G332="C",1,0)</f>
        <v>0</v>
      </c>
      <c r="AA332">
        <f>IF(G332="S",1,0)</f>
        <v>1</v>
      </c>
      <c r="AB332">
        <f>IF(G332="U",1,0)</f>
        <v>0</v>
      </c>
      <c r="AC332" s="5">
        <f>IF(AND(ISNUMBER(H332),NOT(ISNUMBER(P332))),1,0)</f>
        <v>0</v>
      </c>
      <c r="AD332" s="5">
        <f>IF(AND(ISNUMBER(H332),ISNUMBER(P332)),1,0)</f>
        <v>0</v>
      </c>
      <c r="AE332" s="5">
        <f>W332</f>
        <v>0.03</v>
      </c>
      <c r="AF332" s="5">
        <f>X332</f>
        <v>2.3997999999999998E-2</v>
      </c>
      <c r="AG332" s="5">
        <f>Y332</f>
        <v>1</v>
      </c>
      <c r="AH332" s="5">
        <f>IF(OR(G332="C",G332="S",G332="U"),1,0)</f>
        <v>1</v>
      </c>
      <c r="AI332" s="5">
        <f>IF(ISNUMBER(H332),1,0)</f>
        <v>0</v>
      </c>
      <c r="AJ332" s="5">
        <f>IF(ISNUMBER(P332),1,0)</f>
        <v>1</v>
      </c>
      <c r="AK332" s="5" t="str">
        <f>IF(AI332=1,IF(J332&gt;0,1,0),"")</f>
        <v/>
      </c>
      <c r="AL332" s="5">
        <f>IF(AJ332=1,IF(OR(Q332&gt;0,R332&gt;0),1,0),"")</f>
        <v>1</v>
      </c>
    </row>
    <row r="333" spans="1:38">
      <c r="A333">
        <v>311680</v>
      </c>
      <c r="B333" t="s">
        <v>432</v>
      </c>
      <c r="C333" t="s">
        <v>82</v>
      </c>
      <c r="D333" t="s">
        <v>24</v>
      </c>
      <c r="E333">
        <v>4</v>
      </c>
      <c r="F333">
        <v>209484</v>
      </c>
      <c r="G333" t="s">
        <v>25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>
        <v>1</v>
      </c>
      <c r="Q333">
        <v>0</v>
      </c>
      <c r="R333">
        <v>1</v>
      </c>
      <c r="S333">
        <v>1</v>
      </c>
      <c r="T333">
        <v>4.7736000000000001</v>
      </c>
      <c r="U333">
        <v>0.25</v>
      </c>
      <c r="V333">
        <v>1</v>
      </c>
      <c r="W333">
        <f>E333/100</f>
        <v>0.04</v>
      </c>
      <c r="X333">
        <f>F333/1000000</f>
        <v>0.209484</v>
      </c>
      <c r="Y333">
        <f>IF(D333="C",1,0)</f>
        <v>0</v>
      </c>
      <c r="Z333">
        <f>IF(G333="C",1,0)</f>
        <v>0</v>
      </c>
      <c r="AA333">
        <f>IF(G333="S",1,0)</f>
        <v>1</v>
      </c>
      <c r="AB333">
        <f>IF(G333="U",1,0)</f>
        <v>0</v>
      </c>
      <c r="AC333" s="5">
        <f>IF(AND(ISNUMBER(H333),NOT(ISNUMBER(P333))),1,0)</f>
        <v>0</v>
      </c>
      <c r="AD333" s="5">
        <f>IF(AND(ISNUMBER(H333),ISNUMBER(P333)),1,0)</f>
        <v>0</v>
      </c>
      <c r="AE333" s="5">
        <f>W333</f>
        <v>0.04</v>
      </c>
      <c r="AF333" s="5">
        <f>X333</f>
        <v>0.209484</v>
      </c>
      <c r="AG333" s="5">
        <f>Y333</f>
        <v>0</v>
      </c>
      <c r="AH333" s="5">
        <f>IF(OR(G333="C",G333="S",G333="U"),1,0)</f>
        <v>1</v>
      </c>
      <c r="AI333" s="5">
        <f>IF(ISNUMBER(H333),1,0)</f>
        <v>0</v>
      </c>
      <c r="AJ333" s="5">
        <f>IF(ISNUMBER(P333),1,0)</f>
        <v>1</v>
      </c>
      <c r="AK333" s="5" t="str">
        <f>IF(AI333=1,IF(J333&gt;0,1,0),"")</f>
        <v/>
      </c>
      <c r="AL333" s="5">
        <f>IF(AJ333=1,IF(OR(Q333&gt;0,R333&gt;0),1,0),"")</f>
        <v>1</v>
      </c>
    </row>
    <row r="334" spans="1:38">
      <c r="A334">
        <v>311682</v>
      </c>
      <c r="B334" t="s">
        <v>433</v>
      </c>
      <c r="C334" t="s">
        <v>82</v>
      </c>
      <c r="D334" t="s">
        <v>24</v>
      </c>
      <c r="E334">
        <v>34</v>
      </c>
      <c r="F334">
        <v>661744</v>
      </c>
      <c r="H334" t="s">
        <v>26</v>
      </c>
      <c r="I334" t="s">
        <v>26</v>
      </c>
      <c r="J334" t="s">
        <v>26</v>
      </c>
      <c r="K334" t="s">
        <v>26</v>
      </c>
      <c r="L334" t="s">
        <v>26</v>
      </c>
      <c r="M334" t="s">
        <v>26</v>
      </c>
      <c r="N334" t="s">
        <v>26</v>
      </c>
      <c r="O334" t="s">
        <v>26</v>
      </c>
      <c r="P334">
        <v>1</v>
      </c>
      <c r="Q334">
        <v>0</v>
      </c>
      <c r="R334">
        <v>1</v>
      </c>
      <c r="S334">
        <v>1</v>
      </c>
      <c r="T334">
        <v>1.5112000000000001</v>
      </c>
      <c r="U334">
        <v>2.9399999999999999E-2</v>
      </c>
      <c r="V334">
        <v>1</v>
      </c>
      <c r="W334">
        <f>E334/100</f>
        <v>0.34</v>
      </c>
      <c r="X334">
        <f>F334/1000000</f>
        <v>0.661744</v>
      </c>
      <c r="Y334">
        <f>IF(D334="C",1,0)</f>
        <v>0</v>
      </c>
      <c r="Z334">
        <f>IF(G334="C",1,0)</f>
        <v>0</v>
      </c>
      <c r="AA334">
        <f>IF(G334="S",1,0)</f>
        <v>0</v>
      </c>
      <c r="AB334">
        <f>IF(G334="U",1,0)</f>
        <v>0</v>
      </c>
      <c r="AC334" s="5">
        <f>IF(AND(ISNUMBER(H334),NOT(ISNUMBER(P334))),1,0)</f>
        <v>0</v>
      </c>
      <c r="AD334" s="5">
        <f>IF(AND(ISNUMBER(H334),ISNUMBER(P334)),1,0)</f>
        <v>0</v>
      </c>
      <c r="AE334" s="5">
        <f>W334</f>
        <v>0.34</v>
      </c>
      <c r="AF334" s="5">
        <f>X334</f>
        <v>0.661744</v>
      </c>
      <c r="AG334" s="5">
        <f>Y334</f>
        <v>0</v>
      </c>
      <c r="AH334" s="5">
        <f>IF(OR(G334="C",G334="S",G334="U"),1,0)</f>
        <v>0</v>
      </c>
      <c r="AI334" s="5">
        <f>IF(ISNUMBER(H334),1,0)</f>
        <v>0</v>
      </c>
      <c r="AJ334" s="5">
        <f>IF(ISNUMBER(P334),1,0)</f>
        <v>1</v>
      </c>
      <c r="AK334" s="5" t="str">
        <f>IF(AI334=1,IF(J334&gt;0,1,0),"")</f>
        <v/>
      </c>
      <c r="AL334" s="5">
        <f>IF(AJ334=1,IF(OR(Q334&gt;0,R334&gt;0),1,0),"")</f>
        <v>1</v>
      </c>
    </row>
    <row r="335" spans="1:38">
      <c r="A335">
        <v>312635</v>
      </c>
      <c r="B335" t="s">
        <v>434</v>
      </c>
      <c r="C335" t="s">
        <v>23</v>
      </c>
      <c r="D335" t="s">
        <v>24</v>
      </c>
      <c r="E335">
        <v>14</v>
      </c>
      <c r="F335">
        <v>112304</v>
      </c>
      <c r="G335" t="s">
        <v>25</v>
      </c>
      <c r="H335" t="s">
        <v>26</v>
      </c>
      <c r="I335" t="s">
        <v>26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>
        <v>1</v>
      </c>
      <c r="Q335">
        <v>0</v>
      </c>
      <c r="R335">
        <v>1</v>
      </c>
      <c r="S335">
        <v>1</v>
      </c>
      <c r="T335">
        <v>8.9044000000000008</v>
      </c>
      <c r="U335">
        <v>7.1400000000000005E-2</v>
      </c>
      <c r="V335">
        <v>1</v>
      </c>
      <c r="W335">
        <f>E335/100</f>
        <v>0.14000000000000001</v>
      </c>
      <c r="X335">
        <f>F335/1000000</f>
        <v>0.112304</v>
      </c>
      <c r="Y335">
        <f>IF(D335="C",1,0)</f>
        <v>0</v>
      </c>
      <c r="Z335">
        <f>IF(G335="C",1,0)</f>
        <v>0</v>
      </c>
      <c r="AA335">
        <f>IF(G335="S",1,0)</f>
        <v>1</v>
      </c>
      <c r="AB335">
        <f>IF(G335="U",1,0)</f>
        <v>0</v>
      </c>
      <c r="AC335" s="5">
        <f>IF(AND(ISNUMBER(H335),NOT(ISNUMBER(P335))),1,0)</f>
        <v>0</v>
      </c>
      <c r="AD335" s="5">
        <f>IF(AND(ISNUMBER(H335),ISNUMBER(P335)),1,0)</f>
        <v>0</v>
      </c>
      <c r="AE335" s="5">
        <f>W335</f>
        <v>0.14000000000000001</v>
      </c>
      <c r="AF335" s="5">
        <f>X335</f>
        <v>0.112304</v>
      </c>
      <c r="AG335" s="5">
        <f>Y335</f>
        <v>0</v>
      </c>
      <c r="AH335" s="5">
        <f>IF(OR(G335="C",G335="S",G335="U"),1,0)</f>
        <v>1</v>
      </c>
      <c r="AI335" s="5">
        <f>IF(ISNUMBER(H335),1,0)</f>
        <v>0</v>
      </c>
      <c r="AJ335" s="5">
        <f>IF(ISNUMBER(P335),1,0)</f>
        <v>1</v>
      </c>
      <c r="AK335" s="5" t="str">
        <f>IF(AI335=1,IF(J335&gt;0,1,0),"")</f>
        <v/>
      </c>
      <c r="AL335" s="5">
        <f>IF(AJ335=1,IF(OR(Q335&gt;0,R335&gt;0),1,0),"")</f>
        <v>1</v>
      </c>
    </row>
    <row r="336" spans="1:38">
      <c r="A336">
        <v>315303</v>
      </c>
      <c r="B336" t="s">
        <v>435</v>
      </c>
      <c r="C336" t="s">
        <v>37</v>
      </c>
      <c r="D336" t="s">
        <v>24</v>
      </c>
      <c r="E336">
        <v>51</v>
      </c>
      <c r="F336">
        <v>4973424</v>
      </c>
      <c r="G336" t="s">
        <v>25</v>
      </c>
      <c r="H336" t="s">
        <v>26</v>
      </c>
      <c r="I336" t="s">
        <v>26</v>
      </c>
      <c r="J336" t="s">
        <v>26</v>
      </c>
      <c r="K336" t="s">
        <v>26</v>
      </c>
      <c r="L336" t="s">
        <v>26</v>
      </c>
      <c r="M336" t="s">
        <v>26</v>
      </c>
      <c r="N336" t="s">
        <v>26</v>
      </c>
      <c r="O336" t="s">
        <v>26</v>
      </c>
      <c r="P336">
        <v>2</v>
      </c>
      <c r="Q336">
        <v>0</v>
      </c>
      <c r="R336">
        <v>1</v>
      </c>
      <c r="S336">
        <v>1</v>
      </c>
      <c r="T336">
        <v>0.40210000000000001</v>
      </c>
      <c r="U336">
        <v>3.9199999999999999E-2</v>
      </c>
      <c r="V336">
        <v>1</v>
      </c>
      <c r="W336">
        <f>E336/100</f>
        <v>0.51</v>
      </c>
      <c r="X336">
        <f>F336/1000000</f>
        <v>4.9734239999999996</v>
      </c>
      <c r="Y336">
        <f>IF(D336="C",1,0)</f>
        <v>0</v>
      </c>
      <c r="Z336">
        <f>IF(G336="C",1,0)</f>
        <v>0</v>
      </c>
      <c r="AA336">
        <f>IF(G336="S",1,0)</f>
        <v>1</v>
      </c>
      <c r="AB336">
        <f>IF(G336="U",1,0)</f>
        <v>0</v>
      </c>
      <c r="AC336" s="5">
        <f>IF(AND(ISNUMBER(H336),NOT(ISNUMBER(P336))),1,0)</f>
        <v>0</v>
      </c>
      <c r="AD336" s="5">
        <f>IF(AND(ISNUMBER(H336),ISNUMBER(P336)),1,0)</f>
        <v>0</v>
      </c>
      <c r="AE336" s="5">
        <f>W336</f>
        <v>0.51</v>
      </c>
      <c r="AF336" s="5">
        <f>X336</f>
        <v>4.9734239999999996</v>
      </c>
      <c r="AG336" s="5">
        <f>Y336</f>
        <v>0</v>
      </c>
      <c r="AH336" s="5">
        <f>IF(OR(G336="C",G336="S",G336="U"),1,0)</f>
        <v>1</v>
      </c>
      <c r="AI336" s="5">
        <f>IF(ISNUMBER(H336),1,0)</f>
        <v>0</v>
      </c>
      <c r="AJ336" s="5">
        <f>IF(ISNUMBER(P336),1,0)</f>
        <v>1</v>
      </c>
      <c r="AK336" s="5" t="str">
        <f>IF(AI336=1,IF(J336&gt;0,1,0),"")</f>
        <v/>
      </c>
      <c r="AL336" s="5">
        <f>IF(AJ336=1,IF(OR(Q336&gt;0,R336&gt;0),1,0),"")</f>
        <v>1</v>
      </c>
    </row>
    <row r="337" spans="1:38">
      <c r="A337">
        <v>317416</v>
      </c>
      <c r="B337" t="s">
        <v>436</v>
      </c>
      <c r="C337" t="s">
        <v>77</v>
      </c>
      <c r="D337" t="s">
        <v>24</v>
      </c>
      <c r="E337">
        <v>31</v>
      </c>
      <c r="F337">
        <v>3300000</v>
      </c>
      <c r="G337" t="s">
        <v>33</v>
      </c>
      <c r="H337" t="s">
        <v>26</v>
      </c>
      <c r="I337" t="s">
        <v>26</v>
      </c>
      <c r="J337" t="s">
        <v>26</v>
      </c>
      <c r="K337" t="s">
        <v>26</v>
      </c>
      <c r="L337" t="s">
        <v>26</v>
      </c>
      <c r="M337" t="s">
        <v>26</v>
      </c>
      <c r="N337" t="s">
        <v>26</v>
      </c>
      <c r="O337" t="s">
        <v>26</v>
      </c>
      <c r="P337">
        <v>1</v>
      </c>
      <c r="Q337">
        <v>0</v>
      </c>
      <c r="R337">
        <v>1</v>
      </c>
      <c r="S337">
        <v>1</v>
      </c>
      <c r="T337">
        <v>0.30299999999999999</v>
      </c>
      <c r="U337">
        <v>3.2300000000000002E-2</v>
      </c>
      <c r="V337">
        <v>1</v>
      </c>
      <c r="W337">
        <f>E337/100</f>
        <v>0.31</v>
      </c>
      <c r="X337">
        <f>F337/1000000</f>
        <v>3.3</v>
      </c>
      <c r="Y337">
        <f>IF(D337="C",1,0)</f>
        <v>0</v>
      </c>
      <c r="Z337">
        <f>IF(G337="C",1,0)</f>
        <v>1</v>
      </c>
      <c r="AA337">
        <f>IF(G337="S",1,0)</f>
        <v>0</v>
      </c>
      <c r="AB337">
        <f>IF(G337="U",1,0)</f>
        <v>0</v>
      </c>
      <c r="AC337" s="5">
        <f>IF(AND(ISNUMBER(H337),NOT(ISNUMBER(P337))),1,0)</f>
        <v>0</v>
      </c>
      <c r="AD337" s="5">
        <f>IF(AND(ISNUMBER(H337),ISNUMBER(P337)),1,0)</f>
        <v>0</v>
      </c>
      <c r="AE337" s="5">
        <f>W337</f>
        <v>0.31</v>
      </c>
      <c r="AF337" s="5">
        <f>X337</f>
        <v>3.3</v>
      </c>
      <c r="AG337" s="5">
        <f>Y337</f>
        <v>0</v>
      </c>
      <c r="AH337" s="5">
        <f>IF(OR(G337="C",G337="S",G337="U"),1,0)</f>
        <v>1</v>
      </c>
      <c r="AI337" s="5">
        <f>IF(ISNUMBER(H337),1,0)</f>
        <v>0</v>
      </c>
      <c r="AJ337" s="5">
        <f>IF(ISNUMBER(P337),1,0)</f>
        <v>1</v>
      </c>
      <c r="AK337" s="5" t="str">
        <f>IF(AI337=1,IF(J337&gt;0,1,0),"")</f>
        <v/>
      </c>
      <c r="AL337" s="5">
        <f>IF(AJ337=1,IF(OR(Q337&gt;0,R337&gt;0),1,0),"")</f>
        <v>1</v>
      </c>
    </row>
    <row r="338" spans="1:38">
      <c r="A338">
        <v>318260</v>
      </c>
      <c r="B338" t="s">
        <v>437</v>
      </c>
      <c r="C338" t="s">
        <v>77</v>
      </c>
      <c r="D338" t="s">
        <v>24</v>
      </c>
      <c r="E338">
        <v>1</v>
      </c>
      <c r="F338">
        <v>24000</v>
      </c>
      <c r="G338" t="s">
        <v>25</v>
      </c>
      <c r="H338" t="s">
        <v>26</v>
      </c>
      <c r="I338" t="s">
        <v>26</v>
      </c>
      <c r="J338" t="s">
        <v>26</v>
      </c>
      <c r="K338" t="s">
        <v>26</v>
      </c>
      <c r="L338" t="s">
        <v>26</v>
      </c>
      <c r="M338" t="s">
        <v>26</v>
      </c>
      <c r="N338" t="s">
        <v>26</v>
      </c>
      <c r="O338" t="s">
        <v>26</v>
      </c>
      <c r="P338">
        <v>1</v>
      </c>
      <c r="Q338">
        <v>0</v>
      </c>
      <c r="R338">
        <v>0</v>
      </c>
      <c r="S338">
        <v>1</v>
      </c>
      <c r="T338">
        <v>41.666699999999999</v>
      </c>
      <c r="U338">
        <v>1</v>
      </c>
      <c r="V338">
        <v>0</v>
      </c>
      <c r="W338">
        <f>E338/100</f>
        <v>0.01</v>
      </c>
      <c r="X338">
        <f>F338/1000000</f>
        <v>2.4E-2</v>
      </c>
      <c r="Y338">
        <f>IF(D338="C",1,0)</f>
        <v>0</v>
      </c>
      <c r="Z338">
        <f>IF(G338="C",1,0)</f>
        <v>0</v>
      </c>
      <c r="AA338">
        <f>IF(G338="S",1,0)</f>
        <v>1</v>
      </c>
      <c r="AB338">
        <f>IF(G338="U",1,0)</f>
        <v>0</v>
      </c>
      <c r="AC338" s="5">
        <f>IF(AND(ISNUMBER(H338),NOT(ISNUMBER(P338))),1,0)</f>
        <v>0</v>
      </c>
      <c r="AD338" s="5">
        <f>IF(AND(ISNUMBER(H338),ISNUMBER(P338)),1,0)</f>
        <v>0</v>
      </c>
      <c r="AE338" s="5">
        <f>W338</f>
        <v>0.01</v>
      </c>
      <c r="AF338" s="5">
        <f>X338</f>
        <v>2.4E-2</v>
      </c>
      <c r="AG338" s="5">
        <f>Y338</f>
        <v>0</v>
      </c>
      <c r="AH338" s="5">
        <f>IF(OR(G338="C",G338="S",G338="U"),1,0)</f>
        <v>1</v>
      </c>
      <c r="AI338" s="5">
        <f>IF(ISNUMBER(H338),1,0)</f>
        <v>0</v>
      </c>
      <c r="AJ338" s="5">
        <f>IF(ISNUMBER(P338),1,0)</f>
        <v>1</v>
      </c>
      <c r="AK338" s="5" t="str">
        <f>IF(AI338=1,IF(J338&gt;0,1,0),"")</f>
        <v/>
      </c>
      <c r="AL338" s="5">
        <f>IF(AJ338=1,IF(OR(Q338&gt;0,R338&gt;0),1,0),"")</f>
        <v>0</v>
      </c>
    </row>
    <row r="339" spans="1:38">
      <c r="A339">
        <v>325442</v>
      </c>
      <c r="B339" t="s">
        <v>438</v>
      </c>
      <c r="C339" t="s">
        <v>37</v>
      </c>
      <c r="D339" t="s">
        <v>24</v>
      </c>
      <c r="E339">
        <v>71</v>
      </c>
      <c r="F339">
        <v>4950000</v>
      </c>
      <c r="G339" t="s">
        <v>25</v>
      </c>
      <c r="H339" t="s">
        <v>26</v>
      </c>
      <c r="I339" t="s">
        <v>26</v>
      </c>
      <c r="J339" t="s">
        <v>26</v>
      </c>
      <c r="K339" t="s">
        <v>26</v>
      </c>
      <c r="L339" t="s">
        <v>26</v>
      </c>
      <c r="M339" t="s">
        <v>26</v>
      </c>
      <c r="N339" t="s">
        <v>26</v>
      </c>
      <c r="O339" t="s">
        <v>26</v>
      </c>
      <c r="P339">
        <v>1</v>
      </c>
      <c r="Q339">
        <v>0</v>
      </c>
      <c r="R339">
        <v>0</v>
      </c>
      <c r="S339">
        <v>1</v>
      </c>
      <c r="T339">
        <v>0.20200000000000001</v>
      </c>
      <c r="U339">
        <v>1.41E-2</v>
      </c>
      <c r="V339">
        <v>0</v>
      </c>
      <c r="W339">
        <f>E339/100</f>
        <v>0.71</v>
      </c>
      <c r="X339">
        <f>F339/1000000</f>
        <v>4.95</v>
      </c>
      <c r="Y339">
        <f>IF(D339="C",1,0)</f>
        <v>0</v>
      </c>
      <c r="Z339">
        <f>IF(G339="C",1,0)</f>
        <v>0</v>
      </c>
      <c r="AA339">
        <f>IF(G339="S",1,0)</f>
        <v>1</v>
      </c>
      <c r="AB339">
        <f>IF(G339="U",1,0)</f>
        <v>0</v>
      </c>
      <c r="AC339" s="5">
        <f>IF(AND(ISNUMBER(H339),NOT(ISNUMBER(P339))),1,0)</f>
        <v>0</v>
      </c>
      <c r="AD339" s="5">
        <f>IF(AND(ISNUMBER(H339),ISNUMBER(P339)),1,0)</f>
        <v>0</v>
      </c>
      <c r="AE339" s="5">
        <f>W339</f>
        <v>0.71</v>
      </c>
      <c r="AF339" s="5">
        <f>X339</f>
        <v>4.95</v>
      </c>
      <c r="AG339" s="5">
        <f>Y339</f>
        <v>0</v>
      </c>
      <c r="AH339" s="5">
        <f>IF(OR(G339="C",G339="S",G339="U"),1,0)</f>
        <v>1</v>
      </c>
      <c r="AI339" s="5">
        <f>IF(ISNUMBER(H339),1,0)</f>
        <v>0</v>
      </c>
      <c r="AJ339" s="5">
        <f>IF(ISNUMBER(P339),1,0)</f>
        <v>1</v>
      </c>
      <c r="AK339" s="5" t="str">
        <f>IF(AI339=1,IF(J339&gt;0,1,0),"")</f>
        <v/>
      </c>
      <c r="AL339" s="5">
        <f>IF(AJ339=1,IF(OR(Q339&gt;0,R339&gt;0),1,0),"")</f>
        <v>0</v>
      </c>
    </row>
    <row r="340" spans="1:38">
      <c r="A340">
        <v>328526</v>
      </c>
      <c r="B340" t="s">
        <v>440</v>
      </c>
      <c r="C340" t="s">
        <v>84</v>
      </c>
      <c r="D340" t="s">
        <v>24</v>
      </c>
      <c r="E340">
        <v>83</v>
      </c>
      <c r="F340">
        <v>976071</v>
      </c>
      <c r="G340" t="s">
        <v>25</v>
      </c>
      <c r="H340" t="s">
        <v>26</v>
      </c>
      <c r="I340" t="s">
        <v>26</v>
      </c>
      <c r="J340" t="s">
        <v>26</v>
      </c>
      <c r="K340" t="s">
        <v>26</v>
      </c>
      <c r="L340" t="s">
        <v>26</v>
      </c>
      <c r="M340" t="s">
        <v>26</v>
      </c>
      <c r="N340" t="s">
        <v>26</v>
      </c>
      <c r="O340" t="s">
        <v>26</v>
      </c>
      <c r="P340">
        <v>1</v>
      </c>
      <c r="Q340">
        <v>0</v>
      </c>
      <c r="R340">
        <v>0</v>
      </c>
      <c r="S340">
        <v>1</v>
      </c>
      <c r="T340">
        <v>1.0245</v>
      </c>
      <c r="U340">
        <v>1.2E-2</v>
      </c>
      <c r="V340">
        <v>0</v>
      </c>
      <c r="W340">
        <f>E340/100</f>
        <v>0.83</v>
      </c>
      <c r="X340">
        <f>F340/1000000</f>
        <v>0.97607100000000002</v>
      </c>
      <c r="Y340">
        <f>IF(D340="C",1,0)</f>
        <v>0</v>
      </c>
      <c r="Z340">
        <f>IF(G340="C",1,0)</f>
        <v>0</v>
      </c>
      <c r="AA340">
        <f>IF(G340="S",1,0)</f>
        <v>1</v>
      </c>
      <c r="AB340">
        <f>IF(G340="U",1,0)</f>
        <v>0</v>
      </c>
      <c r="AC340" s="5">
        <f>IF(AND(ISNUMBER(H340),NOT(ISNUMBER(P340))),1,0)</f>
        <v>0</v>
      </c>
      <c r="AD340" s="5">
        <f>IF(AND(ISNUMBER(H340),ISNUMBER(P340)),1,0)</f>
        <v>0</v>
      </c>
      <c r="AE340" s="5">
        <f>W340</f>
        <v>0.83</v>
      </c>
      <c r="AF340" s="5">
        <f>X340</f>
        <v>0.97607100000000002</v>
      </c>
      <c r="AG340" s="5">
        <f>Y340</f>
        <v>0</v>
      </c>
      <c r="AH340" s="5">
        <f>IF(OR(G340="C",G340="S",G340="U"),1,0)</f>
        <v>1</v>
      </c>
      <c r="AI340" s="5">
        <f>IF(ISNUMBER(H340),1,0)</f>
        <v>0</v>
      </c>
      <c r="AJ340" s="5">
        <f>IF(ISNUMBER(P340),1,0)</f>
        <v>1</v>
      </c>
      <c r="AK340" s="5" t="str">
        <f>IF(AI340=1,IF(J340&gt;0,1,0),"")</f>
        <v/>
      </c>
      <c r="AL340" s="5">
        <f>IF(AJ340=1,IF(OR(Q340&gt;0,R340&gt;0),1,0),"")</f>
        <v>0</v>
      </c>
    </row>
    <row r="341" spans="1:38">
      <c r="A341">
        <v>329140</v>
      </c>
      <c r="B341" t="s">
        <v>441</v>
      </c>
      <c r="C341" t="s">
        <v>42</v>
      </c>
      <c r="D341" t="s">
        <v>24</v>
      </c>
      <c r="E341">
        <v>20</v>
      </c>
      <c r="F341">
        <v>1200039</v>
      </c>
      <c r="G341" t="s">
        <v>25</v>
      </c>
      <c r="H341" t="s">
        <v>26</v>
      </c>
      <c r="I341" t="s">
        <v>26</v>
      </c>
      <c r="J341" t="s">
        <v>26</v>
      </c>
      <c r="K341" t="s">
        <v>26</v>
      </c>
      <c r="L341" t="s">
        <v>26</v>
      </c>
      <c r="M341" t="s">
        <v>26</v>
      </c>
      <c r="N341" t="s">
        <v>26</v>
      </c>
      <c r="O341" t="s">
        <v>26</v>
      </c>
      <c r="P341">
        <v>1</v>
      </c>
      <c r="Q341">
        <v>0</v>
      </c>
      <c r="R341">
        <v>1</v>
      </c>
      <c r="S341">
        <v>1</v>
      </c>
      <c r="T341">
        <v>0.83330000000000004</v>
      </c>
      <c r="U341">
        <v>0.05</v>
      </c>
      <c r="V341">
        <v>1</v>
      </c>
      <c r="W341">
        <f>E341/100</f>
        <v>0.2</v>
      </c>
      <c r="X341">
        <f>F341/1000000</f>
        <v>1.2000390000000001</v>
      </c>
      <c r="Y341">
        <f>IF(D341="C",1,0)</f>
        <v>0</v>
      </c>
      <c r="Z341">
        <f>IF(G341="C",1,0)</f>
        <v>0</v>
      </c>
      <c r="AA341">
        <f>IF(G341="S",1,0)</f>
        <v>1</v>
      </c>
      <c r="AB341">
        <f>IF(G341="U",1,0)</f>
        <v>0</v>
      </c>
      <c r="AC341" s="5">
        <f>IF(AND(ISNUMBER(H341),NOT(ISNUMBER(P341))),1,0)</f>
        <v>0</v>
      </c>
      <c r="AD341" s="5">
        <f>IF(AND(ISNUMBER(H341),ISNUMBER(P341)),1,0)</f>
        <v>0</v>
      </c>
      <c r="AE341" s="5">
        <f>W341</f>
        <v>0.2</v>
      </c>
      <c r="AF341" s="5">
        <f>X341</f>
        <v>1.2000390000000001</v>
      </c>
      <c r="AG341" s="5">
        <f>Y341</f>
        <v>0</v>
      </c>
      <c r="AH341" s="5">
        <f>IF(OR(G341="C",G341="S",G341="U"),1,0)</f>
        <v>1</v>
      </c>
      <c r="AI341" s="5">
        <f>IF(ISNUMBER(H341),1,0)</f>
        <v>0</v>
      </c>
      <c r="AJ341" s="5">
        <f>IF(ISNUMBER(P341),1,0)</f>
        <v>1</v>
      </c>
      <c r="AK341" s="5" t="str">
        <f>IF(AI341=1,IF(J341&gt;0,1,0),"")</f>
        <v/>
      </c>
      <c r="AL341" s="5">
        <f>IF(AJ341=1,IF(OR(Q341&gt;0,R341&gt;0),1,0),"")</f>
        <v>1</v>
      </c>
    </row>
    <row r="342" spans="1:38">
      <c r="A342">
        <v>329629</v>
      </c>
      <c r="B342" t="s">
        <v>442</v>
      </c>
      <c r="C342" t="s">
        <v>23</v>
      </c>
      <c r="D342" t="s">
        <v>24</v>
      </c>
      <c r="E342">
        <v>3</v>
      </c>
      <c r="F342">
        <v>118536</v>
      </c>
      <c r="H342" t="s">
        <v>26</v>
      </c>
      <c r="I342" t="s">
        <v>26</v>
      </c>
      <c r="J342" t="s">
        <v>26</v>
      </c>
      <c r="K342" t="s">
        <v>26</v>
      </c>
      <c r="L342" t="s">
        <v>26</v>
      </c>
      <c r="M342" t="s">
        <v>26</v>
      </c>
      <c r="N342" t="s">
        <v>26</v>
      </c>
      <c r="O342" t="s">
        <v>26</v>
      </c>
      <c r="P342">
        <v>1</v>
      </c>
      <c r="Q342">
        <v>0</v>
      </c>
      <c r="R342">
        <v>1</v>
      </c>
      <c r="S342">
        <v>1</v>
      </c>
      <c r="T342">
        <v>8.4362999999999992</v>
      </c>
      <c r="U342">
        <v>0.33329999999999999</v>
      </c>
      <c r="V342">
        <v>1</v>
      </c>
      <c r="W342">
        <f>E342/100</f>
        <v>0.03</v>
      </c>
      <c r="X342">
        <f>F342/1000000</f>
        <v>0.118536</v>
      </c>
      <c r="Y342">
        <f>IF(D342="C",1,0)</f>
        <v>0</v>
      </c>
      <c r="Z342">
        <f>IF(G342="C",1,0)</f>
        <v>0</v>
      </c>
      <c r="AA342">
        <f>IF(G342="S",1,0)</f>
        <v>0</v>
      </c>
      <c r="AB342">
        <f>IF(G342="U",1,0)</f>
        <v>0</v>
      </c>
      <c r="AC342" s="5">
        <f>IF(AND(ISNUMBER(H342),NOT(ISNUMBER(P342))),1,0)</f>
        <v>0</v>
      </c>
      <c r="AD342" s="5">
        <f>IF(AND(ISNUMBER(H342),ISNUMBER(P342)),1,0)</f>
        <v>0</v>
      </c>
      <c r="AE342" s="5">
        <f>W342</f>
        <v>0.03</v>
      </c>
      <c r="AF342" s="5">
        <f>X342</f>
        <v>0.118536</v>
      </c>
      <c r="AG342" s="5">
        <f>Y342</f>
        <v>0</v>
      </c>
      <c r="AH342" s="5">
        <f>IF(OR(G342="C",G342="S",G342="U"),1,0)</f>
        <v>0</v>
      </c>
      <c r="AI342" s="5">
        <f>IF(ISNUMBER(H342),1,0)</f>
        <v>0</v>
      </c>
      <c r="AJ342" s="5">
        <f>IF(ISNUMBER(P342),1,0)</f>
        <v>1</v>
      </c>
      <c r="AK342" s="5" t="str">
        <f>IF(AI342=1,IF(J342&gt;0,1,0),"")</f>
        <v/>
      </c>
      <c r="AL342" s="5">
        <f>IF(AJ342=1,IF(OR(Q342&gt;0,R342&gt;0),1,0),"")</f>
        <v>1</v>
      </c>
    </row>
    <row r="343" spans="1:38">
      <c r="A343">
        <v>329744</v>
      </c>
      <c r="B343" t="s">
        <v>443</v>
      </c>
      <c r="C343" t="s">
        <v>93</v>
      </c>
      <c r="D343" t="s">
        <v>24</v>
      </c>
      <c r="E343">
        <v>1167</v>
      </c>
      <c r="F343">
        <v>249600</v>
      </c>
      <c r="G343" t="s">
        <v>25</v>
      </c>
      <c r="H343" t="s">
        <v>26</v>
      </c>
      <c r="I343" t="s">
        <v>26</v>
      </c>
      <c r="J343" t="s">
        <v>26</v>
      </c>
      <c r="K343" t="s">
        <v>26</v>
      </c>
      <c r="L343" t="s">
        <v>26</v>
      </c>
      <c r="M343" t="s">
        <v>26</v>
      </c>
      <c r="N343" t="s">
        <v>26</v>
      </c>
      <c r="O343" t="s">
        <v>26</v>
      </c>
      <c r="P343">
        <v>2</v>
      </c>
      <c r="Q343">
        <v>0</v>
      </c>
      <c r="R343">
        <v>1</v>
      </c>
      <c r="S343">
        <v>2</v>
      </c>
      <c r="T343">
        <v>8.0128000000000004</v>
      </c>
      <c r="U343">
        <v>1.6999999999999999E-3</v>
      </c>
      <c r="V343">
        <v>1</v>
      </c>
      <c r="W343">
        <f>E343/100</f>
        <v>11.67</v>
      </c>
      <c r="X343">
        <f>F343/1000000</f>
        <v>0.24959999999999999</v>
      </c>
      <c r="Y343">
        <f>IF(D343="C",1,0)</f>
        <v>0</v>
      </c>
      <c r="Z343">
        <f>IF(G343="C",1,0)</f>
        <v>0</v>
      </c>
      <c r="AA343">
        <f>IF(G343="S",1,0)</f>
        <v>1</v>
      </c>
      <c r="AB343">
        <f>IF(G343="U",1,0)</f>
        <v>0</v>
      </c>
      <c r="AC343" s="5">
        <f>IF(AND(ISNUMBER(H343),NOT(ISNUMBER(P343))),1,0)</f>
        <v>0</v>
      </c>
      <c r="AD343" s="5">
        <f>IF(AND(ISNUMBER(H343),ISNUMBER(P343)),1,0)</f>
        <v>0</v>
      </c>
      <c r="AE343" s="5">
        <f>W343</f>
        <v>11.67</v>
      </c>
      <c r="AF343" s="5">
        <f>X343</f>
        <v>0.24959999999999999</v>
      </c>
      <c r="AG343" s="5">
        <f>Y343</f>
        <v>0</v>
      </c>
      <c r="AH343" s="5">
        <f>IF(OR(G343="C",G343="S",G343="U"),1,0)</f>
        <v>1</v>
      </c>
      <c r="AI343" s="5">
        <f>IF(ISNUMBER(H343),1,0)</f>
        <v>0</v>
      </c>
      <c r="AJ343" s="5">
        <f>IF(ISNUMBER(P343),1,0)</f>
        <v>1</v>
      </c>
      <c r="AK343" s="5" t="str">
        <f>IF(AI343=1,IF(J343&gt;0,1,0),"")</f>
        <v/>
      </c>
      <c r="AL343" s="5">
        <f>IF(AJ343=1,IF(OR(Q343&gt;0,R343&gt;0),1,0),"")</f>
        <v>1</v>
      </c>
    </row>
    <row r="344" spans="1:38">
      <c r="A344">
        <v>330229</v>
      </c>
      <c r="B344" t="s">
        <v>444</v>
      </c>
      <c r="C344" t="s">
        <v>77</v>
      </c>
      <c r="D344" t="s">
        <v>24</v>
      </c>
      <c r="E344">
        <v>40</v>
      </c>
      <c r="F344">
        <v>80000</v>
      </c>
      <c r="H344" t="s">
        <v>26</v>
      </c>
      <c r="I344" t="s">
        <v>26</v>
      </c>
      <c r="J344" t="s">
        <v>26</v>
      </c>
      <c r="K344" t="s">
        <v>26</v>
      </c>
      <c r="L344" t="s">
        <v>26</v>
      </c>
      <c r="M344" t="s">
        <v>26</v>
      </c>
      <c r="N344" t="s">
        <v>26</v>
      </c>
      <c r="O344" t="s">
        <v>26</v>
      </c>
      <c r="P344">
        <v>1</v>
      </c>
      <c r="Q344">
        <v>0</v>
      </c>
      <c r="R344">
        <v>1</v>
      </c>
      <c r="S344">
        <v>1</v>
      </c>
      <c r="T344">
        <v>12.5</v>
      </c>
      <c r="U344">
        <v>2.5000000000000001E-2</v>
      </c>
      <c r="V344">
        <v>1</v>
      </c>
      <c r="W344">
        <f>E344/100</f>
        <v>0.4</v>
      </c>
      <c r="X344">
        <f>F344/1000000</f>
        <v>0.08</v>
      </c>
      <c r="Y344">
        <f>IF(D344="C",1,0)</f>
        <v>0</v>
      </c>
      <c r="Z344">
        <f>IF(G344="C",1,0)</f>
        <v>0</v>
      </c>
      <c r="AA344">
        <f>IF(G344="S",1,0)</f>
        <v>0</v>
      </c>
      <c r="AB344">
        <f>IF(G344="U",1,0)</f>
        <v>0</v>
      </c>
      <c r="AC344" s="5">
        <f>IF(AND(ISNUMBER(H344),NOT(ISNUMBER(P344))),1,0)</f>
        <v>0</v>
      </c>
      <c r="AD344" s="5">
        <f>IF(AND(ISNUMBER(H344),ISNUMBER(P344)),1,0)</f>
        <v>0</v>
      </c>
      <c r="AE344" s="5">
        <f>W344</f>
        <v>0.4</v>
      </c>
      <c r="AF344" s="5">
        <f>X344</f>
        <v>0.08</v>
      </c>
      <c r="AG344" s="5">
        <f>Y344</f>
        <v>0</v>
      </c>
      <c r="AH344" s="5">
        <f>IF(OR(G344="C",G344="S",G344="U"),1,0)</f>
        <v>0</v>
      </c>
      <c r="AI344" s="5">
        <f>IF(ISNUMBER(H344),1,0)</f>
        <v>0</v>
      </c>
      <c r="AJ344" s="5">
        <f>IF(ISNUMBER(P344),1,0)</f>
        <v>1</v>
      </c>
      <c r="AK344" s="5" t="str">
        <f>IF(AI344=1,IF(J344&gt;0,1,0),"")</f>
        <v/>
      </c>
      <c r="AL344" s="5">
        <f>IF(AJ344=1,IF(OR(Q344&gt;0,R344&gt;0),1,0),"")</f>
        <v>1</v>
      </c>
    </row>
    <row r="345" spans="1:38">
      <c r="A345">
        <v>330581</v>
      </c>
      <c r="B345" t="s">
        <v>445</v>
      </c>
      <c r="C345" t="s">
        <v>23</v>
      </c>
      <c r="D345" t="s">
        <v>33</v>
      </c>
      <c r="E345">
        <v>1</v>
      </c>
      <c r="F345">
        <v>20000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>
        <v>1</v>
      </c>
      <c r="Q345">
        <v>0</v>
      </c>
      <c r="R345">
        <v>1</v>
      </c>
      <c r="S345">
        <v>1</v>
      </c>
      <c r="T345">
        <v>50</v>
      </c>
      <c r="U345">
        <v>1</v>
      </c>
      <c r="V345">
        <v>1</v>
      </c>
      <c r="W345">
        <f>E345/100</f>
        <v>0.01</v>
      </c>
      <c r="X345">
        <f>F345/1000000</f>
        <v>0.02</v>
      </c>
      <c r="Y345">
        <f>IF(D345="C",1,0)</f>
        <v>1</v>
      </c>
      <c r="Z345">
        <f>IF(G345="C",1,0)</f>
        <v>0</v>
      </c>
      <c r="AA345">
        <f>IF(G345="S",1,0)</f>
        <v>0</v>
      </c>
      <c r="AB345">
        <f>IF(G345="U",1,0)</f>
        <v>0</v>
      </c>
      <c r="AC345" s="5">
        <f>IF(AND(ISNUMBER(H345),NOT(ISNUMBER(P345))),1,0)</f>
        <v>0</v>
      </c>
      <c r="AD345" s="5">
        <f>IF(AND(ISNUMBER(H345),ISNUMBER(P345)),1,0)</f>
        <v>0</v>
      </c>
      <c r="AE345" s="5">
        <f>W345</f>
        <v>0.01</v>
      </c>
      <c r="AF345" s="5">
        <f>X345</f>
        <v>0.02</v>
      </c>
      <c r="AG345" s="5">
        <f>Y345</f>
        <v>1</v>
      </c>
      <c r="AH345" s="5">
        <f>IF(OR(G345="C",G345="S",G345="U"),1,0)</f>
        <v>0</v>
      </c>
      <c r="AI345" s="5">
        <f>IF(ISNUMBER(H345),1,0)</f>
        <v>0</v>
      </c>
      <c r="AJ345" s="5">
        <f>IF(ISNUMBER(P345),1,0)</f>
        <v>1</v>
      </c>
      <c r="AK345" s="5" t="str">
        <f>IF(AI345=1,IF(J345&gt;0,1,0),"")</f>
        <v/>
      </c>
      <c r="AL345" s="5">
        <f>IF(AJ345=1,IF(OR(Q345&gt;0,R345&gt;0),1,0),"")</f>
        <v>1</v>
      </c>
    </row>
    <row r="346" spans="1:38">
      <c r="A346">
        <v>330753</v>
      </c>
      <c r="B346" t="s">
        <v>446</v>
      </c>
      <c r="C346" t="s">
        <v>37</v>
      </c>
      <c r="D346" t="s">
        <v>24</v>
      </c>
      <c r="E346">
        <v>161</v>
      </c>
      <c r="F346">
        <v>4826665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>
        <v>2</v>
      </c>
      <c r="Q346">
        <v>0</v>
      </c>
      <c r="R346">
        <v>1</v>
      </c>
      <c r="S346">
        <v>2</v>
      </c>
      <c r="T346">
        <v>0.41439999999999999</v>
      </c>
      <c r="U346">
        <v>1.24E-2</v>
      </c>
      <c r="V346">
        <v>1</v>
      </c>
      <c r="W346">
        <f>E346/100</f>
        <v>1.61</v>
      </c>
      <c r="X346">
        <f>F346/1000000</f>
        <v>4.8266650000000002</v>
      </c>
      <c r="Y346">
        <f>IF(D346="C",1,0)</f>
        <v>0</v>
      </c>
      <c r="Z346">
        <f>IF(G346="C",1,0)</f>
        <v>0</v>
      </c>
      <c r="AA346">
        <f>IF(G346="S",1,0)</f>
        <v>0</v>
      </c>
      <c r="AB346">
        <f>IF(G346="U",1,0)</f>
        <v>0</v>
      </c>
      <c r="AC346" s="5">
        <f>IF(AND(ISNUMBER(H346),NOT(ISNUMBER(P346))),1,0)</f>
        <v>0</v>
      </c>
      <c r="AD346" s="5">
        <f>IF(AND(ISNUMBER(H346),ISNUMBER(P346)),1,0)</f>
        <v>0</v>
      </c>
      <c r="AE346" s="5">
        <f>W346</f>
        <v>1.61</v>
      </c>
      <c r="AF346" s="5">
        <f>X346</f>
        <v>4.8266650000000002</v>
      </c>
      <c r="AG346" s="5">
        <f>Y346</f>
        <v>0</v>
      </c>
      <c r="AH346" s="5">
        <f>IF(OR(G346="C",G346="S",G346="U"),1,0)</f>
        <v>0</v>
      </c>
      <c r="AI346" s="5">
        <f>IF(ISNUMBER(H346),1,0)</f>
        <v>0</v>
      </c>
      <c r="AJ346" s="5">
        <f>IF(ISNUMBER(P346),1,0)</f>
        <v>1</v>
      </c>
      <c r="AK346" s="5" t="str">
        <f>IF(AI346=1,IF(J346&gt;0,1,0),"")</f>
        <v/>
      </c>
      <c r="AL346" s="5">
        <f>IF(AJ346=1,IF(OR(Q346&gt;0,R346&gt;0),1,0),"")</f>
        <v>1</v>
      </c>
    </row>
    <row r="347" spans="1:38">
      <c r="A347">
        <v>331014</v>
      </c>
      <c r="B347" t="s">
        <v>447</v>
      </c>
      <c r="C347" t="s">
        <v>159</v>
      </c>
      <c r="D347" t="s">
        <v>24</v>
      </c>
      <c r="E347">
        <v>5</v>
      </c>
      <c r="F347">
        <v>527630</v>
      </c>
      <c r="G347" t="s">
        <v>25</v>
      </c>
      <c r="H347" t="s">
        <v>26</v>
      </c>
      <c r="I347" t="s">
        <v>26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>
        <v>1</v>
      </c>
      <c r="Q347">
        <v>0</v>
      </c>
      <c r="R347">
        <v>1</v>
      </c>
      <c r="S347">
        <v>1</v>
      </c>
      <c r="T347">
        <v>1.8953</v>
      </c>
      <c r="U347">
        <v>0.2</v>
      </c>
      <c r="V347">
        <v>1</v>
      </c>
      <c r="W347">
        <f>E347/100</f>
        <v>0.05</v>
      </c>
      <c r="X347">
        <f>F347/1000000</f>
        <v>0.52763000000000004</v>
      </c>
      <c r="Y347">
        <f>IF(D347="C",1,0)</f>
        <v>0</v>
      </c>
      <c r="Z347">
        <f>IF(G347="C",1,0)</f>
        <v>0</v>
      </c>
      <c r="AA347">
        <f>IF(G347="S",1,0)</f>
        <v>1</v>
      </c>
      <c r="AB347">
        <f>IF(G347="U",1,0)</f>
        <v>0</v>
      </c>
      <c r="AC347" s="5">
        <f>IF(AND(ISNUMBER(H347),NOT(ISNUMBER(P347))),1,0)</f>
        <v>0</v>
      </c>
      <c r="AD347" s="5">
        <f>IF(AND(ISNUMBER(H347),ISNUMBER(P347)),1,0)</f>
        <v>0</v>
      </c>
      <c r="AE347" s="5">
        <f>W347</f>
        <v>0.05</v>
      </c>
      <c r="AF347" s="5">
        <f>X347</f>
        <v>0.52763000000000004</v>
      </c>
      <c r="AG347" s="5">
        <f>Y347</f>
        <v>0</v>
      </c>
      <c r="AH347" s="5">
        <f>IF(OR(G347="C",G347="S",G347="U"),1,0)</f>
        <v>1</v>
      </c>
      <c r="AI347" s="5">
        <f>IF(ISNUMBER(H347),1,0)</f>
        <v>0</v>
      </c>
      <c r="AJ347" s="5">
        <f>IF(ISNUMBER(P347),1,0)</f>
        <v>1</v>
      </c>
      <c r="AK347" s="5" t="str">
        <f>IF(AI347=1,IF(J347&gt;0,1,0),"")</f>
        <v/>
      </c>
      <c r="AL347" s="5">
        <f>IF(AJ347=1,IF(OR(Q347&gt;0,R347&gt;0),1,0),"")</f>
        <v>1</v>
      </c>
    </row>
    <row r="348" spans="1:38">
      <c r="A348">
        <v>331423</v>
      </c>
      <c r="B348" t="s">
        <v>448</v>
      </c>
      <c r="C348" t="s">
        <v>37</v>
      </c>
      <c r="D348" t="s">
        <v>24</v>
      </c>
      <c r="E348">
        <v>3</v>
      </c>
      <c r="F348">
        <v>1730386</v>
      </c>
      <c r="G348" t="s">
        <v>25</v>
      </c>
      <c r="H348" t="s">
        <v>26</v>
      </c>
      <c r="I348" t="s">
        <v>26</v>
      </c>
      <c r="J348" t="s">
        <v>26</v>
      </c>
      <c r="K348" t="s">
        <v>26</v>
      </c>
      <c r="L348" t="s">
        <v>26</v>
      </c>
      <c r="M348" t="s">
        <v>26</v>
      </c>
      <c r="N348" t="s">
        <v>26</v>
      </c>
      <c r="O348" t="s">
        <v>26</v>
      </c>
      <c r="P348">
        <v>2</v>
      </c>
      <c r="Q348">
        <v>0</v>
      </c>
      <c r="R348">
        <v>1</v>
      </c>
      <c r="S348">
        <v>2</v>
      </c>
      <c r="T348">
        <v>1.1557999999999999</v>
      </c>
      <c r="U348">
        <v>0.66669999999999996</v>
      </c>
      <c r="V348">
        <v>1</v>
      </c>
      <c r="W348">
        <f>E348/100</f>
        <v>0.03</v>
      </c>
      <c r="X348">
        <f>F348/1000000</f>
        <v>1.730386</v>
      </c>
      <c r="Y348">
        <f>IF(D348="C",1,0)</f>
        <v>0</v>
      </c>
      <c r="Z348">
        <f>IF(G348="C",1,0)</f>
        <v>0</v>
      </c>
      <c r="AA348">
        <f>IF(G348="S",1,0)</f>
        <v>1</v>
      </c>
      <c r="AB348">
        <f>IF(G348="U",1,0)</f>
        <v>0</v>
      </c>
      <c r="AC348" s="5">
        <f>IF(AND(ISNUMBER(H348),NOT(ISNUMBER(P348))),1,0)</f>
        <v>0</v>
      </c>
      <c r="AD348" s="5">
        <f>IF(AND(ISNUMBER(H348),ISNUMBER(P348)),1,0)</f>
        <v>0</v>
      </c>
      <c r="AE348" s="5">
        <f>W348</f>
        <v>0.03</v>
      </c>
      <c r="AF348" s="5">
        <f>X348</f>
        <v>1.730386</v>
      </c>
      <c r="AG348" s="5">
        <f>Y348</f>
        <v>0</v>
      </c>
      <c r="AH348" s="5">
        <f>IF(OR(G348="C",G348="S",G348="U"),1,0)</f>
        <v>1</v>
      </c>
      <c r="AI348" s="5">
        <f>IF(ISNUMBER(H348),1,0)</f>
        <v>0</v>
      </c>
      <c r="AJ348" s="5">
        <f>IF(ISNUMBER(P348),1,0)</f>
        <v>1</v>
      </c>
      <c r="AK348" s="5" t="str">
        <f>IF(AI348=1,IF(J348&gt;0,1,0),"")</f>
        <v/>
      </c>
      <c r="AL348" s="5">
        <f>IF(AJ348=1,IF(OR(Q348&gt;0,R348&gt;0),1,0),"")</f>
        <v>1</v>
      </c>
    </row>
    <row r="349" spans="1:38">
      <c r="A349">
        <v>332252</v>
      </c>
      <c r="B349" t="s">
        <v>449</v>
      </c>
      <c r="C349" t="s">
        <v>37</v>
      </c>
      <c r="D349" t="s">
        <v>24</v>
      </c>
      <c r="E349">
        <v>64</v>
      </c>
      <c r="F349">
        <v>500000</v>
      </c>
      <c r="G349" t="s">
        <v>25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>
        <v>1</v>
      </c>
      <c r="Q349">
        <v>0</v>
      </c>
      <c r="R349">
        <v>1</v>
      </c>
      <c r="S349">
        <v>1</v>
      </c>
      <c r="T349">
        <v>2</v>
      </c>
      <c r="U349">
        <v>1.5599999999999999E-2</v>
      </c>
      <c r="V349">
        <v>1</v>
      </c>
      <c r="W349">
        <f>E349/100</f>
        <v>0.64</v>
      </c>
      <c r="X349">
        <f>F349/1000000</f>
        <v>0.5</v>
      </c>
      <c r="Y349">
        <f>IF(D349="C",1,0)</f>
        <v>0</v>
      </c>
      <c r="Z349">
        <f>IF(G349="C",1,0)</f>
        <v>0</v>
      </c>
      <c r="AA349">
        <f>IF(G349="S",1,0)</f>
        <v>1</v>
      </c>
      <c r="AB349">
        <f>IF(G349="U",1,0)</f>
        <v>0</v>
      </c>
      <c r="AC349" s="5">
        <f>IF(AND(ISNUMBER(H349),NOT(ISNUMBER(P349))),1,0)</f>
        <v>0</v>
      </c>
      <c r="AD349" s="5">
        <f>IF(AND(ISNUMBER(H349),ISNUMBER(P349)),1,0)</f>
        <v>0</v>
      </c>
      <c r="AE349" s="5">
        <f>W349</f>
        <v>0.64</v>
      </c>
      <c r="AF349" s="5">
        <f>X349</f>
        <v>0.5</v>
      </c>
      <c r="AG349" s="5">
        <f>Y349</f>
        <v>0</v>
      </c>
      <c r="AH349" s="5">
        <f>IF(OR(G349="C",G349="S",G349="U"),1,0)</f>
        <v>1</v>
      </c>
      <c r="AI349" s="5">
        <f>IF(ISNUMBER(H349),1,0)</f>
        <v>0</v>
      </c>
      <c r="AJ349" s="5">
        <f>IF(ISNUMBER(P349),1,0)</f>
        <v>1</v>
      </c>
      <c r="AK349" s="5" t="str">
        <f>IF(AI349=1,IF(J349&gt;0,1,0),"")</f>
        <v/>
      </c>
      <c r="AL349" s="5">
        <f>IF(AJ349=1,IF(OR(Q349&gt;0,R349&gt;0),1,0),"")</f>
        <v>1</v>
      </c>
    </row>
    <row r="350" spans="1:38">
      <c r="A350">
        <v>333895</v>
      </c>
      <c r="B350" t="s">
        <v>450</v>
      </c>
      <c r="C350" t="s">
        <v>135</v>
      </c>
      <c r="D350" t="s">
        <v>24</v>
      </c>
      <c r="E350">
        <v>3</v>
      </c>
      <c r="F350">
        <v>50000</v>
      </c>
      <c r="G350" t="s">
        <v>25</v>
      </c>
      <c r="H350" t="s">
        <v>26</v>
      </c>
      <c r="I350" t="s">
        <v>26</v>
      </c>
      <c r="J350" t="s">
        <v>26</v>
      </c>
      <c r="K350" t="s">
        <v>26</v>
      </c>
      <c r="L350" t="s">
        <v>26</v>
      </c>
      <c r="M350" t="s">
        <v>26</v>
      </c>
      <c r="N350" t="s">
        <v>26</v>
      </c>
      <c r="O350" t="s">
        <v>26</v>
      </c>
      <c r="P350">
        <v>1</v>
      </c>
      <c r="Q350">
        <v>0</v>
      </c>
      <c r="R350">
        <v>0</v>
      </c>
      <c r="S350">
        <v>1</v>
      </c>
      <c r="T350">
        <v>20</v>
      </c>
      <c r="U350">
        <v>0.33329999999999999</v>
      </c>
      <c r="V350">
        <v>0</v>
      </c>
      <c r="W350">
        <f>E350/100</f>
        <v>0.03</v>
      </c>
      <c r="X350">
        <f>F350/1000000</f>
        <v>0.05</v>
      </c>
      <c r="Y350">
        <f>IF(D350="C",1,0)</f>
        <v>0</v>
      </c>
      <c r="Z350">
        <f>IF(G350="C",1,0)</f>
        <v>0</v>
      </c>
      <c r="AA350">
        <f>IF(G350="S",1,0)</f>
        <v>1</v>
      </c>
      <c r="AB350">
        <f>IF(G350="U",1,0)</f>
        <v>0</v>
      </c>
      <c r="AC350" s="5">
        <f>IF(AND(ISNUMBER(H350),NOT(ISNUMBER(P350))),1,0)</f>
        <v>0</v>
      </c>
      <c r="AD350" s="5">
        <f>IF(AND(ISNUMBER(H350),ISNUMBER(P350)),1,0)</f>
        <v>0</v>
      </c>
      <c r="AE350" s="5">
        <f>W350</f>
        <v>0.03</v>
      </c>
      <c r="AF350" s="5">
        <f>X350</f>
        <v>0.05</v>
      </c>
      <c r="AG350" s="5">
        <f>Y350</f>
        <v>0</v>
      </c>
      <c r="AH350" s="5">
        <f>IF(OR(G350="C",G350="S",G350="U"),1,0)</f>
        <v>1</v>
      </c>
      <c r="AI350" s="5">
        <f>IF(ISNUMBER(H350),1,0)</f>
        <v>0</v>
      </c>
      <c r="AJ350" s="5">
        <f>IF(ISNUMBER(P350),1,0)</f>
        <v>1</v>
      </c>
      <c r="AK350" s="5" t="str">
        <f>IF(AI350=1,IF(J350&gt;0,1,0),"")</f>
        <v/>
      </c>
      <c r="AL350" s="5">
        <f>IF(AJ350=1,IF(OR(Q350&gt;0,R350&gt;0),1,0),"")</f>
        <v>0</v>
      </c>
    </row>
    <row r="351" spans="1:38">
      <c r="A351">
        <v>333969</v>
      </c>
      <c r="B351" t="s">
        <v>451</v>
      </c>
      <c r="C351" t="s">
        <v>77</v>
      </c>
      <c r="D351" t="s">
        <v>24</v>
      </c>
      <c r="E351">
        <v>22</v>
      </c>
      <c r="F351">
        <v>295513</v>
      </c>
      <c r="G351" t="s">
        <v>25</v>
      </c>
      <c r="H351" t="s">
        <v>26</v>
      </c>
      <c r="I351" t="s">
        <v>26</v>
      </c>
      <c r="J351" t="s">
        <v>26</v>
      </c>
      <c r="K351" t="s">
        <v>26</v>
      </c>
      <c r="L351" t="s">
        <v>26</v>
      </c>
      <c r="M351" t="s">
        <v>26</v>
      </c>
      <c r="N351" t="s">
        <v>26</v>
      </c>
      <c r="O351" t="s">
        <v>26</v>
      </c>
      <c r="P351">
        <v>1</v>
      </c>
      <c r="Q351">
        <v>0</v>
      </c>
      <c r="R351">
        <v>0</v>
      </c>
      <c r="S351">
        <v>1</v>
      </c>
      <c r="T351">
        <v>3.3839000000000001</v>
      </c>
      <c r="U351">
        <v>4.5499999999999999E-2</v>
      </c>
      <c r="V351">
        <v>0</v>
      </c>
      <c r="W351">
        <f>E351/100</f>
        <v>0.22</v>
      </c>
      <c r="X351">
        <f>F351/1000000</f>
        <v>0.29551300000000003</v>
      </c>
      <c r="Y351">
        <f>IF(D351="C",1,0)</f>
        <v>0</v>
      </c>
      <c r="Z351">
        <f>IF(G351="C",1,0)</f>
        <v>0</v>
      </c>
      <c r="AA351">
        <f>IF(G351="S",1,0)</f>
        <v>1</v>
      </c>
      <c r="AB351">
        <f>IF(G351="U",1,0)</f>
        <v>0</v>
      </c>
      <c r="AC351" s="5">
        <f>IF(AND(ISNUMBER(H351),NOT(ISNUMBER(P351))),1,0)</f>
        <v>0</v>
      </c>
      <c r="AD351" s="5">
        <f>IF(AND(ISNUMBER(H351),ISNUMBER(P351)),1,0)</f>
        <v>0</v>
      </c>
      <c r="AE351" s="5">
        <f>W351</f>
        <v>0.22</v>
      </c>
      <c r="AF351" s="5">
        <f>X351</f>
        <v>0.29551300000000003</v>
      </c>
      <c r="AG351" s="5">
        <f>Y351</f>
        <v>0</v>
      </c>
      <c r="AH351" s="5">
        <f>IF(OR(G351="C",G351="S",G351="U"),1,0)</f>
        <v>1</v>
      </c>
      <c r="AI351" s="5">
        <f>IF(ISNUMBER(H351),1,0)</f>
        <v>0</v>
      </c>
      <c r="AJ351" s="5">
        <f>IF(ISNUMBER(P351),1,0)</f>
        <v>1</v>
      </c>
      <c r="AK351" s="5" t="str">
        <f>IF(AI351=1,IF(J351&gt;0,1,0),"")</f>
        <v/>
      </c>
      <c r="AL351" s="5">
        <f>IF(AJ351=1,IF(OR(Q351&gt;0,R351&gt;0),1,0),"")</f>
        <v>0</v>
      </c>
    </row>
    <row r="352" spans="1:38">
      <c r="A352">
        <v>336126</v>
      </c>
      <c r="B352" t="s">
        <v>453</v>
      </c>
      <c r="C352" t="s">
        <v>37</v>
      </c>
      <c r="D352" t="s">
        <v>24</v>
      </c>
      <c r="E352">
        <v>5</v>
      </c>
      <c r="F352">
        <v>233826</v>
      </c>
      <c r="G352" t="s">
        <v>25</v>
      </c>
      <c r="H352" t="s">
        <v>26</v>
      </c>
      <c r="I352" t="s">
        <v>26</v>
      </c>
      <c r="J352" t="s">
        <v>26</v>
      </c>
      <c r="K352" t="s">
        <v>26</v>
      </c>
      <c r="L352" t="s">
        <v>26</v>
      </c>
      <c r="M352" t="s">
        <v>26</v>
      </c>
      <c r="N352" t="s">
        <v>26</v>
      </c>
      <c r="O352" t="s">
        <v>26</v>
      </c>
      <c r="P352">
        <v>1</v>
      </c>
      <c r="Q352">
        <v>0</v>
      </c>
      <c r="R352">
        <v>0</v>
      </c>
      <c r="S352">
        <v>1</v>
      </c>
      <c r="T352">
        <v>4.2766999999999999</v>
      </c>
      <c r="U352">
        <v>0.2</v>
      </c>
      <c r="V352">
        <v>0</v>
      </c>
      <c r="W352">
        <f>E352/100</f>
        <v>0.05</v>
      </c>
      <c r="X352">
        <f>F352/1000000</f>
        <v>0.23382600000000001</v>
      </c>
      <c r="Y352">
        <f>IF(D352="C",1,0)</f>
        <v>0</v>
      </c>
      <c r="Z352">
        <f>IF(G352="C",1,0)</f>
        <v>0</v>
      </c>
      <c r="AA352">
        <f>IF(G352="S",1,0)</f>
        <v>1</v>
      </c>
      <c r="AB352">
        <f>IF(G352="U",1,0)</f>
        <v>0</v>
      </c>
      <c r="AC352" s="5">
        <f>IF(AND(ISNUMBER(H352),NOT(ISNUMBER(P352))),1,0)</f>
        <v>0</v>
      </c>
      <c r="AD352" s="5">
        <f>IF(AND(ISNUMBER(H352),ISNUMBER(P352)),1,0)</f>
        <v>0</v>
      </c>
      <c r="AE352" s="5">
        <f>W352</f>
        <v>0.05</v>
      </c>
      <c r="AF352" s="5">
        <f>X352</f>
        <v>0.23382600000000001</v>
      </c>
      <c r="AG352" s="5">
        <f>Y352</f>
        <v>0</v>
      </c>
      <c r="AH352" s="5">
        <f>IF(OR(G352="C",G352="S",G352="U"),1,0)</f>
        <v>1</v>
      </c>
      <c r="AI352" s="5">
        <f>IF(ISNUMBER(H352),1,0)</f>
        <v>0</v>
      </c>
      <c r="AJ352" s="5">
        <f>IF(ISNUMBER(P352),1,0)</f>
        <v>1</v>
      </c>
      <c r="AK352" s="5" t="str">
        <f>IF(AI352=1,IF(J352&gt;0,1,0),"")</f>
        <v/>
      </c>
      <c r="AL352" s="5">
        <f>IF(AJ352=1,IF(OR(Q352&gt;0,R352&gt;0),1,0),"")</f>
        <v>0</v>
      </c>
    </row>
    <row r="353" spans="1:38">
      <c r="A353">
        <v>336215</v>
      </c>
      <c r="B353" t="s">
        <v>454</v>
      </c>
      <c r="C353" t="s">
        <v>37</v>
      </c>
      <c r="D353" t="s">
        <v>24</v>
      </c>
      <c r="E353">
        <v>1</v>
      </c>
      <c r="F353">
        <v>24000</v>
      </c>
      <c r="G353" t="s">
        <v>25</v>
      </c>
      <c r="H353" t="s">
        <v>26</v>
      </c>
      <c r="I353" t="s">
        <v>26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>
        <v>1</v>
      </c>
      <c r="Q353">
        <v>0</v>
      </c>
      <c r="R353">
        <v>1</v>
      </c>
      <c r="S353">
        <v>1</v>
      </c>
      <c r="T353">
        <v>41.666699999999999</v>
      </c>
      <c r="U353">
        <v>1</v>
      </c>
      <c r="V353">
        <v>1</v>
      </c>
      <c r="W353">
        <f>E353/100</f>
        <v>0.01</v>
      </c>
      <c r="X353">
        <f>F353/1000000</f>
        <v>2.4E-2</v>
      </c>
      <c r="Y353">
        <f>IF(D353="C",1,0)</f>
        <v>0</v>
      </c>
      <c r="Z353">
        <f>IF(G353="C",1,0)</f>
        <v>0</v>
      </c>
      <c r="AA353">
        <f>IF(G353="S",1,0)</f>
        <v>1</v>
      </c>
      <c r="AB353">
        <f>IF(G353="U",1,0)</f>
        <v>0</v>
      </c>
      <c r="AC353" s="5">
        <f>IF(AND(ISNUMBER(H353),NOT(ISNUMBER(P353))),1,0)</f>
        <v>0</v>
      </c>
      <c r="AD353" s="5">
        <f>IF(AND(ISNUMBER(H353),ISNUMBER(P353)),1,0)</f>
        <v>0</v>
      </c>
      <c r="AE353" s="5">
        <f>W353</f>
        <v>0.01</v>
      </c>
      <c r="AF353" s="5">
        <f>X353</f>
        <v>2.4E-2</v>
      </c>
      <c r="AG353" s="5">
        <f>Y353</f>
        <v>0</v>
      </c>
      <c r="AH353" s="5">
        <f>IF(OR(G353="C",G353="S",G353="U"),1,0)</f>
        <v>1</v>
      </c>
      <c r="AI353" s="5">
        <f>IF(ISNUMBER(H353),1,0)</f>
        <v>0</v>
      </c>
      <c r="AJ353" s="5">
        <f>IF(ISNUMBER(P353),1,0)</f>
        <v>1</v>
      </c>
      <c r="AK353" s="5" t="str">
        <f>IF(AI353=1,IF(J353&gt;0,1,0),"")</f>
        <v/>
      </c>
      <c r="AL353" s="5">
        <f>IF(AJ353=1,IF(OR(Q353&gt;0,R353&gt;0),1,0),"")</f>
        <v>1</v>
      </c>
    </row>
    <row r="354" spans="1:38">
      <c r="A354">
        <v>336813</v>
      </c>
      <c r="B354" t="s">
        <v>455</v>
      </c>
      <c r="C354" t="s">
        <v>456</v>
      </c>
      <c r="D354" t="s">
        <v>24</v>
      </c>
      <c r="E354">
        <v>59</v>
      </c>
      <c r="F354">
        <v>7941812</v>
      </c>
      <c r="G354" t="s">
        <v>25</v>
      </c>
      <c r="H354" t="s">
        <v>26</v>
      </c>
      <c r="I354" t="s">
        <v>26</v>
      </c>
      <c r="J354" t="s">
        <v>26</v>
      </c>
      <c r="K354" t="s">
        <v>26</v>
      </c>
      <c r="L354" t="s">
        <v>26</v>
      </c>
      <c r="M354" t="s">
        <v>26</v>
      </c>
      <c r="N354" t="s">
        <v>26</v>
      </c>
      <c r="O354" t="s">
        <v>26</v>
      </c>
      <c r="P354">
        <v>1</v>
      </c>
      <c r="Q354">
        <v>0</v>
      </c>
      <c r="R354">
        <v>0</v>
      </c>
      <c r="S354">
        <v>1</v>
      </c>
      <c r="T354">
        <v>0.12590000000000001</v>
      </c>
      <c r="U354">
        <v>1.6899999999999998E-2</v>
      </c>
      <c r="V354">
        <v>0</v>
      </c>
      <c r="W354">
        <f>E354/100</f>
        <v>0.59</v>
      </c>
      <c r="X354">
        <f>F354/1000000</f>
        <v>7.9418119999999996</v>
      </c>
      <c r="Y354">
        <f>IF(D354="C",1,0)</f>
        <v>0</v>
      </c>
      <c r="Z354">
        <f>IF(G354="C",1,0)</f>
        <v>0</v>
      </c>
      <c r="AA354">
        <f>IF(G354="S",1,0)</f>
        <v>1</v>
      </c>
      <c r="AB354">
        <f>IF(G354="U",1,0)</f>
        <v>0</v>
      </c>
      <c r="AC354" s="5">
        <f>IF(AND(ISNUMBER(H354),NOT(ISNUMBER(P354))),1,0)</f>
        <v>0</v>
      </c>
      <c r="AD354" s="5">
        <f>IF(AND(ISNUMBER(H354),ISNUMBER(P354)),1,0)</f>
        <v>0</v>
      </c>
      <c r="AE354" s="5">
        <f>W354</f>
        <v>0.59</v>
      </c>
      <c r="AF354" s="5">
        <f>X354</f>
        <v>7.9418119999999996</v>
      </c>
      <c r="AG354" s="5">
        <f>Y354</f>
        <v>0</v>
      </c>
      <c r="AH354" s="5">
        <f>IF(OR(G354="C",G354="S",G354="U"),1,0)</f>
        <v>1</v>
      </c>
      <c r="AI354" s="5">
        <f>IF(ISNUMBER(H354),1,0)</f>
        <v>0</v>
      </c>
      <c r="AJ354" s="5">
        <f>IF(ISNUMBER(P354),1,0)</f>
        <v>1</v>
      </c>
      <c r="AK354" s="5" t="str">
        <f>IF(AI354=1,IF(J354&gt;0,1,0),"")</f>
        <v/>
      </c>
      <c r="AL354" s="5">
        <f>IF(AJ354=1,IF(OR(Q354&gt;0,R354&gt;0),1,0),"")</f>
        <v>0</v>
      </c>
    </row>
    <row r="355" spans="1:38">
      <c r="A355">
        <v>337524</v>
      </c>
      <c r="B355" t="s">
        <v>457</v>
      </c>
      <c r="C355" t="s">
        <v>181</v>
      </c>
      <c r="D355" t="s">
        <v>24</v>
      </c>
      <c r="E355">
        <v>2</v>
      </c>
      <c r="F355">
        <v>182234</v>
      </c>
      <c r="G355" t="s">
        <v>25</v>
      </c>
      <c r="H355" t="s">
        <v>26</v>
      </c>
      <c r="I355" t="s">
        <v>26</v>
      </c>
      <c r="J355" t="s">
        <v>26</v>
      </c>
      <c r="K355" t="s">
        <v>26</v>
      </c>
      <c r="L355" t="s">
        <v>26</v>
      </c>
      <c r="M355" t="s">
        <v>26</v>
      </c>
      <c r="N355" t="s">
        <v>26</v>
      </c>
      <c r="O355" t="s">
        <v>26</v>
      </c>
      <c r="P355">
        <v>1</v>
      </c>
      <c r="Q355">
        <v>0</v>
      </c>
      <c r="R355">
        <v>1</v>
      </c>
      <c r="S355">
        <v>1</v>
      </c>
      <c r="T355">
        <v>5.4874999999999998</v>
      </c>
      <c r="U355">
        <v>0.5</v>
      </c>
      <c r="V355">
        <v>1</v>
      </c>
      <c r="W355">
        <f>E355/100</f>
        <v>0.02</v>
      </c>
      <c r="X355">
        <f>F355/1000000</f>
        <v>0.18223400000000001</v>
      </c>
      <c r="Y355">
        <f>IF(D355="C",1,0)</f>
        <v>0</v>
      </c>
      <c r="Z355">
        <f>IF(G355="C",1,0)</f>
        <v>0</v>
      </c>
      <c r="AA355">
        <f>IF(G355="S",1,0)</f>
        <v>1</v>
      </c>
      <c r="AB355">
        <f>IF(G355="U",1,0)</f>
        <v>0</v>
      </c>
      <c r="AC355" s="5">
        <f>IF(AND(ISNUMBER(H355),NOT(ISNUMBER(P355))),1,0)</f>
        <v>0</v>
      </c>
      <c r="AD355" s="5">
        <f>IF(AND(ISNUMBER(H355),ISNUMBER(P355)),1,0)</f>
        <v>0</v>
      </c>
      <c r="AE355" s="5">
        <f>W355</f>
        <v>0.02</v>
      </c>
      <c r="AF355" s="5">
        <f>X355</f>
        <v>0.18223400000000001</v>
      </c>
      <c r="AG355" s="5">
        <f>Y355</f>
        <v>0</v>
      </c>
      <c r="AH355" s="5">
        <f>IF(OR(G355="C",G355="S",G355="U"),1,0)</f>
        <v>1</v>
      </c>
      <c r="AI355" s="5">
        <f>IF(ISNUMBER(H355),1,0)</f>
        <v>0</v>
      </c>
      <c r="AJ355" s="5">
        <f>IF(ISNUMBER(P355),1,0)</f>
        <v>1</v>
      </c>
      <c r="AK355" s="5" t="str">
        <f>IF(AI355=1,IF(J355&gt;0,1,0),"")</f>
        <v/>
      </c>
      <c r="AL355" s="5">
        <f>IF(AJ355=1,IF(OR(Q355&gt;0,R355&gt;0),1,0),"")</f>
        <v>1</v>
      </c>
    </row>
    <row r="356" spans="1:38">
      <c r="A356">
        <v>338027</v>
      </c>
      <c r="B356" t="s">
        <v>458</v>
      </c>
      <c r="C356" t="s">
        <v>84</v>
      </c>
      <c r="D356" t="s">
        <v>24</v>
      </c>
      <c r="E356">
        <v>39</v>
      </c>
      <c r="F356">
        <v>3947940</v>
      </c>
      <c r="G356" t="s">
        <v>25</v>
      </c>
      <c r="H356" t="s">
        <v>26</v>
      </c>
      <c r="I356" t="s">
        <v>26</v>
      </c>
      <c r="J356" t="s">
        <v>26</v>
      </c>
      <c r="K356" t="s">
        <v>26</v>
      </c>
      <c r="L356" t="s">
        <v>26</v>
      </c>
      <c r="M356" t="s">
        <v>26</v>
      </c>
      <c r="N356" t="s">
        <v>26</v>
      </c>
      <c r="O356" t="s">
        <v>26</v>
      </c>
      <c r="P356">
        <v>1</v>
      </c>
      <c r="Q356">
        <v>0</v>
      </c>
      <c r="R356">
        <v>0</v>
      </c>
      <c r="S356">
        <v>1</v>
      </c>
      <c r="T356">
        <v>0.25330000000000003</v>
      </c>
      <c r="U356">
        <v>2.5600000000000001E-2</v>
      </c>
      <c r="V356">
        <v>0</v>
      </c>
      <c r="W356">
        <f>E356/100</f>
        <v>0.39</v>
      </c>
      <c r="X356">
        <f>F356/1000000</f>
        <v>3.94794</v>
      </c>
      <c r="Y356">
        <f>IF(D356="C",1,0)</f>
        <v>0</v>
      </c>
      <c r="Z356">
        <f>IF(G356="C",1,0)</f>
        <v>0</v>
      </c>
      <c r="AA356">
        <f>IF(G356="S",1,0)</f>
        <v>1</v>
      </c>
      <c r="AB356">
        <f>IF(G356="U",1,0)</f>
        <v>0</v>
      </c>
      <c r="AC356" s="5">
        <f>IF(AND(ISNUMBER(H356),NOT(ISNUMBER(P356))),1,0)</f>
        <v>0</v>
      </c>
      <c r="AD356" s="5">
        <f>IF(AND(ISNUMBER(H356),ISNUMBER(P356)),1,0)</f>
        <v>0</v>
      </c>
      <c r="AE356" s="5">
        <f>W356</f>
        <v>0.39</v>
      </c>
      <c r="AF356" s="5">
        <f>X356</f>
        <v>3.94794</v>
      </c>
      <c r="AG356" s="5">
        <f>Y356</f>
        <v>0</v>
      </c>
      <c r="AH356" s="5">
        <f>IF(OR(G356="C",G356="S",G356="U"),1,0)</f>
        <v>1</v>
      </c>
      <c r="AI356" s="5">
        <f>IF(ISNUMBER(H356),1,0)</f>
        <v>0</v>
      </c>
      <c r="AJ356" s="5">
        <f>IF(ISNUMBER(P356),1,0)</f>
        <v>1</v>
      </c>
      <c r="AK356" s="5" t="str">
        <f>IF(AI356=1,IF(J356&gt;0,1,0),"")</f>
        <v/>
      </c>
      <c r="AL356" s="5">
        <f>IF(AJ356=1,IF(OR(Q356&gt;0,R356&gt;0),1,0),"")</f>
        <v>0</v>
      </c>
    </row>
    <row r="357" spans="1:38">
      <c r="A357">
        <v>342051</v>
      </c>
      <c r="B357" t="s">
        <v>459</v>
      </c>
      <c r="C357" t="s">
        <v>40</v>
      </c>
      <c r="D357" t="s">
        <v>24</v>
      </c>
      <c r="E357">
        <v>4</v>
      </c>
      <c r="F357">
        <v>10500</v>
      </c>
      <c r="G357" t="s">
        <v>25</v>
      </c>
      <c r="H357" t="s">
        <v>26</v>
      </c>
      <c r="I357" t="s">
        <v>26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26</v>
      </c>
      <c r="P357">
        <v>1</v>
      </c>
      <c r="Q357">
        <v>0</v>
      </c>
      <c r="R357">
        <v>0</v>
      </c>
      <c r="S357">
        <v>1</v>
      </c>
      <c r="T357">
        <v>95.238100000000003</v>
      </c>
      <c r="U357">
        <v>0.25</v>
      </c>
      <c r="V357">
        <v>0</v>
      </c>
      <c r="W357">
        <f>E357/100</f>
        <v>0.04</v>
      </c>
      <c r="X357">
        <f>F357/1000000</f>
        <v>1.0500000000000001E-2</v>
      </c>
      <c r="Y357">
        <f>IF(D357="C",1,0)</f>
        <v>0</v>
      </c>
      <c r="Z357">
        <f>IF(G357="C",1,0)</f>
        <v>0</v>
      </c>
      <c r="AA357">
        <f>IF(G357="S",1,0)</f>
        <v>1</v>
      </c>
      <c r="AB357">
        <f>IF(G357="U",1,0)</f>
        <v>0</v>
      </c>
      <c r="AC357" s="5">
        <f>IF(AND(ISNUMBER(H357),NOT(ISNUMBER(P357))),1,0)</f>
        <v>0</v>
      </c>
      <c r="AD357" s="5">
        <f>IF(AND(ISNUMBER(H357),ISNUMBER(P357)),1,0)</f>
        <v>0</v>
      </c>
      <c r="AE357" s="5">
        <f>W357</f>
        <v>0.04</v>
      </c>
      <c r="AF357" s="5">
        <f>X357</f>
        <v>1.0500000000000001E-2</v>
      </c>
      <c r="AG357" s="5">
        <f>Y357</f>
        <v>0</v>
      </c>
      <c r="AH357" s="5">
        <f>IF(OR(G357="C",G357="S",G357="U"),1,0)</f>
        <v>1</v>
      </c>
      <c r="AI357" s="5">
        <f>IF(ISNUMBER(H357),1,0)</f>
        <v>0</v>
      </c>
      <c r="AJ357" s="5">
        <f>IF(ISNUMBER(P357),1,0)</f>
        <v>1</v>
      </c>
      <c r="AK357" s="5" t="str">
        <f>IF(AI357=1,IF(J357&gt;0,1,0),"")</f>
        <v/>
      </c>
      <c r="AL357" s="5">
        <f>IF(AJ357=1,IF(OR(Q357&gt;0,R357&gt;0),1,0),"")</f>
        <v>0</v>
      </c>
    </row>
    <row r="358" spans="1:38">
      <c r="A358">
        <v>342422</v>
      </c>
      <c r="B358" t="s">
        <v>460</v>
      </c>
      <c r="C358" t="s">
        <v>84</v>
      </c>
      <c r="D358" t="s">
        <v>24</v>
      </c>
      <c r="E358">
        <v>11</v>
      </c>
      <c r="F358">
        <v>114963</v>
      </c>
      <c r="G358" t="s">
        <v>25</v>
      </c>
      <c r="H358" t="s">
        <v>26</v>
      </c>
      <c r="I358" t="s">
        <v>26</v>
      </c>
      <c r="J358" t="s">
        <v>26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>
        <v>1</v>
      </c>
      <c r="Q358">
        <v>0</v>
      </c>
      <c r="R358">
        <v>0</v>
      </c>
      <c r="S358">
        <v>1</v>
      </c>
      <c r="T358">
        <v>8.6984999999999992</v>
      </c>
      <c r="U358">
        <v>9.0899999999999995E-2</v>
      </c>
      <c r="V358">
        <v>0</v>
      </c>
      <c r="W358">
        <f>E358/100</f>
        <v>0.11</v>
      </c>
      <c r="X358">
        <f>F358/1000000</f>
        <v>0.114963</v>
      </c>
      <c r="Y358">
        <f>IF(D358="C",1,0)</f>
        <v>0</v>
      </c>
      <c r="Z358">
        <f>IF(G358="C",1,0)</f>
        <v>0</v>
      </c>
      <c r="AA358">
        <f>IF(G358="S",1,0)</f>
        <v>1</v>
      </c>
      <c r="AB358">
        <f>IF(G358="U",1,0)</f>
        <v>0</v>
      </c>
      <c r="AC358" s="5">
        <f>IF(AND(ISNUMBER(H358),NOT(ISNUMBER(P358))),1,0)</f>
        <v>0</v>
      </c>
      <c r="AD358" s="5">
        <f>IF(AND(ISNUMBER(H358),ISNUMBER(P358)),1,0)</f>
        <v>0</v>
      </c>
      <c r="AE358" s="5">
        <f>W358</f>
        <v>0.11</v>
      </c>
      <c r="AF358" s="5">
        <f>X358</f>
        <v>0.114963</v>
      </c>
      <c r="AG358" s="5">
        <f>Y358</f>
        <v>0</v>
      </c>
      <c r="AH358" s="5">
        <f>IF(OR(G358="C",G358="S",G358="U"),1,0)</f>
        <v>1</v>
      </c>
      <c r="AI358" s="5">
        <f>IF(ISNUMBER(H358),1,0)</f>
        <v>0</v>
      </c>
      <c r="AJ358" s="5">
        <f>IF(ISNUMBER(P358),1,0)</f>
        <v>1</v>
      </c>
      <c r="AK358" s="5" t="str">
        <f>IF(AI358=1,IF(J358&gt;0,1,0),"")</f>
        <v/>
      </c>
      <c r="AL358" s="5">
        <f>IF(AJ358=1,IF(OR(Q358&gt;0,R358&gt;0),1,0),"")</f>
        <v>0</v>
      </c>
    </row>
    <row r="359" spans="1:38">
      <c r="A359">
        <v>342436</v>
      </c>
      <c r="B359" t="s">
        <v>461</v>
      </c>
      <c r="C359" t="s">
        <v>23</v>
      </c>
      <c r="D359" t="s">
        <v>24</v>
      </c>
      <c r="E359">
        <v>8</v>
      </c>
      <c r="F359">
        <v>4500</v>
      </c>
      <c r="G359" t="s">
        <v>25</v>
      </c>
      <c r="H359" t="s">
        <v>26</v>
      </c>
      <c r="I359" t="s">
        <v>26</v>
      </c>
      <c r="J359" t="s">
        <v>26</v>
      </c>
      <c r="K359" t="s">
        <v>26</v>
      </c>
      <c r="L359" t="s">
        <v>26</v>
      </c>
      <c r="M359" t="s">
        <v>26</v>
      </c>
      <c r="N359" t="s">
        <v>26</v>
      </c>
      <c r="O359" t="s">
        <v>26</v>
      </c>
      <c r="P359">
        <v>1</v>
      </c>
      <c r="Q359">
        <v>0</v>
      </c>
      <c r="R359">
        <v>1</v>
      </c>
      <c r="S359">
        <v>0</v>
      </c>
      <c r="T359">
        <v>222.22219999999999</v>
      </c>
      <c r="U359">
        <v>0.125</v>
      </c>
      <c r="V359">
        <v>1</v>
      </c>
      <c r="W359">
        <f>E359/100</f>
        <v>0.08</v>
      </c>
      <c r="X359">
        <f>F359/1000000</f>
        <v>4.4999999999999997E-3</v>
      </c>
      <c r="Y359">
        <f>IF(D359="C",1,0)</f>
        <v>0</v>
      </c>
      <c r="Z359">
        <f>IF(G359="C",1,0)</f>
        <v>0</v>
      </c>
      <c r="AA359">
        <f>IF(G359="S",1,0)</f>
        <v>1</v>
      </c>
      <c r="AB359">
        <f>IF(G359="U",1,0)</f>
        <v>0</v>
      </c>
      <c r="AC359" s="5">
        <f>IF(AND(ISNUMBER(H359),NOT(ISNUMBER(P359))),1,0)</f>
        <v>0</v>
      </c>
      <c r="AD359" s="5">
        <f>IF(AND(ISNUMBER(H359),ISNUMBER(P359)),1,0)</f>
        <v>0</v>
      </c>
      <c r="AE359" s="5">
        <f>W359</f>
        <v>0.08</v>
      </c>
      <c r="AF359" s="5">
        <f>X359</f>
        <v>4.4999999999999997E-3</v>
      </c>
      <c r="AG359" s="5">
        <f>Y359</f>
        <v>0</v>
      </c>
      <c r="AH359" s="5">
        <f>IF(OR(G359="C",G359="S",G359="U"),1,0)</f>
        <v>1</v>
      </c>
      <c r="AI359" s="5">
        <f>IF(ISNUMBER(H359),1,0)</f>
        <v>0</v>
      </c>
      <c r="AJ359" s="5">
        <f>IF(ISNUMBER(P359),1,0)</f>
        <v>1</v>
      </c>
      <c r="AK359" s="5" t="str">
        <f>IF(AI359=1,IF(J359&gt;0,1,0),"")</f>
        <v/>
      </c>
      <c r="AL359" s="5">
        <f>IF(AJ359=1,IF(OR(Q359&gt;0,R359&gt;0),1,0),"")</f>
        <v>1</v>
      </c>
    </row>
    <row r="360" spans="1:38">
      <c r="A360">
        <v>342515</v>
      </c>
      <c r="B360" t="s">
        <v>462</v>
      </c>
      <c r="C360" t="s">
        <v>183</v>
      </c>
      <c r="D360" t="s">
        <v>24</v>
      </c>
      <c r="E360">
        <v>641</v>
      </c>
      <c r="F360">
        <v>8821000</v>
      </c>
      <c r="G360" t="s">
        <v>25</v>
      </c>
      <c r="H360" t="s">
        <v>26</v>
      </c>
      <c r="I360" t="s">
        <v>26</v>
      </c>
      <c r="J360" t="s">
        <v>26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>
        <v>2</v>
      </c>
      <c r="Q360">
        <v>0</v>
      </c>
      <c r="R360">
        <v>2</v>
      </c>
      <c r="S360">
        <v>2</v>
      </c>
      <c r="T360">
        <v>0.22670000000000001</v>
      </c>
      <c r="U360">
        <v>3.0999999999999999E-3</v>
      </c>
      <c r="V360">
        <v>1</v>
      </c>
      <c r="W360">
        <f>E360/100</f>
        <v>6.41</v>
      </c>
      <c r="X360">
        <f>F360/1000000</f>
        <v>8.8209999999999997</v>
      </c>
      <c r="Y360">
        <f>IF(D360="C",1,0)</f>
        <v>0</v>
      </c>
      <c r="Z360">
        <f>IF(G360="C",1,0)</f>
        <v>0</v>
      </c>
      <c r="AA360">
        <f>IF(G360="S",1,0)</f>
        <v>1</v>
      </c>
      <c r="AB360">
        <f>IF(G360="U",1,0)</f>
        <v>0</v>
      </c>
      <c r="AC360" s="5">
        <f>IF(AND(ISNUMBER(H360),NOT(ISNUMBER(P360))),1,0)</f>
        <v>0</v>
      </c>
      <c r="AD360" s="5">
        <f>IF(AND(ISNUMBER(H360),ISNUMBER(P360)),1,0)</f>
        <v>0</v>
      </c>
      <c r="AE360" s="5">
        <f>W360</f>
        <v>6.41</v>
      </c>
      <c r="AF360" s="5">
        <f>X360</f>
        <v>8.8209999999999997</v>
      </c>
      <c r="AG360" s="5">
        <f>Y360</f>
        <v>0</v>
      </c>
      <c r="AH360" s="5">
        <f>IF(OR(G360="C",G360="S",G360="U"),1,0)</f>
        <v>1</v>
      </c>
      <c r="AI360" s="5">
        <f>IF(ISNUMBER(H360),1,0)</f>
        <v>0</v>
      </c>
      <c r="AJ360" s="5">
        <f>IF(ISNUMBER(P360),1,0)</f>
        <v>1</v>
      </c>
      <c r="AK360" s="5" t="str">
        <f>IF(AI360=1,IF(J360&gt;0,1,0),"")</f>
        <v/>
      </c>
      <c r="AL360" s="5">
        <f>IF(AJ360=1,IF(OR(Q360&gt;0,R360&gt;0),1,0),"")</f>
        <v>1</v>
      </c>
    </row>
    <row r="361" spans="1:38">
      <c r="A361">
        <v>343123</v>
      </c>
      <c r="B361" t="s">
        <v>463</v>
      </c>
      <c r="C361" t="s">
        <v>23</v>
      </c>
      <c r="D361" t="s">
        <v>33</v>
      </c>
      <c r="E361">
        <v>9</v>
      </c>
      <c r="F361">
        <v>80000</v>
      </c>
      <c r="H361" t="s">
        <v>26</v>
      </c>
      <c r="I361" t="s">
        <v>26</v>
      </c>
      <c r="J361" t="s">
        <v>26</v>
      </c>
      <c r="K361" t="s">
        <v>26</v>
      </c>
      <c r="L361" t="s">
        <v>26</v>
      </c>
      <c r="M361" t="s">
        <v>26</v>
      </c>
      <c r="N361" t="s">
        <v>26</v>
      </c>
      <c r="O361" t="s">
        <v>26</v>
      </c>
      <c r="P361">
        <v>1</v>
      </c>
      <c r="Q361">
        <v>0</v>
      </c>
      <c r="R361">
        <v>1</v>
      </c>
      <c r="S361">
        <v>0</v>
      </c>
      <c r="T361">
        <v>12.5</v>
      </c>
      <c r="U361">
        <v>0.1111</v>
      </c>
      <c r="V361">
        <v>1</v>
      </c>
      <c r="W361">
        <f>E361/100</f>
        <v>0.09</v>
      </c>
      <c r="X361">
        <f>F361/1000000</f>
        <v>0.08</v>
      </c>
      <c r="Y361">
        <f>IF(D361="C",1,0)</f>
        <v>1</v>
      </c>
      <c r="Z361">
        <f>IF(G361="C",1,0)</f>
        <v>0</v>
      </c>
      <c r="AA361">
        <f>IF(G361="S",1,0)</f>
        <v>0</v>
      </c>
      <c r="AB361">
        <f>IF(G361="U",1,0)</f>
        <v>0</v>
      </c>
      <c r="AC361" s="5">
        <f>IF(AND(ISNUMBER(H361),NOT(ISNUMBER(P361))),1,0)</f>
        <v>0</v>
      </c>
      <c r="AD361" s="5">
        <f>IF(AND(ISNUMBER(H361),ISNUMBER(P361)),1,0)</f>
        <v>0</v>
      </c>
      <c r="AE361" s="5">
        <f>W361</f>
        <v>0.09</v>
      </c>
      <c r="AF361" s="5">
        <f>X361</f>
        <v>0.08</v>
      </c>
      <c r="AG361" s="5">
        <f>Y361</f>
        <v>1</v>
      </c>
      <c r="AH361" s="5">
        <f>IF(OR(G361="C",G361="S",G361="U"),1,0)</f>
        <v>0</v>
      </c>
      <c r="AI361" s="5">
        <f>IF(ISNUMBER(H361),1,0)</f>
        <v>0</v>
      </c>
      <c r="AJ361" s="5">
        <f>IF(ISNUMBER(P361),1,0)</f>
        <v>1</v>
      </c>
      <c r="AK361" s="5" t="str">
        <f>IF(AI361=1,IF(J361&gt;0,1,0),"")</f>
        <v/>
      </c>
      <c r="AL361" s="5">
        <f>IF(AJ361=1,IF(OR(Q361&gt;0,R361&gt;0),1,0),"")</f>
        <v>1</v>
      </c>
    </row>
    <row r="362" spans="1:38">
      <c r="A362">
        <v>343256</v>
      </c>
      <c r="B362" t="s">
        <v>464</v>
      </c>
      <c r="C362" t="s">
        <v>23</v>
      </c>
      <c r="D362" t="s">
        <v>24</v>
      </c>
      <c r="E362">
        <v>54</v>
      </c>
      <c r="F362">
        <v>6155906</v>
      </c>
      <c r="G362" t="s">
        <v>25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>
        <v>1</v>
      </c>
      <c r="Q362">
        <v>0</v>
      </c>
      <c r="R362">
        <v>1</v>
      </c>
      <c r="S362">
        <v>1</v>
      </c>
      <c r="T362">
        <v>0.16239999999999999</v>
      </c>
      <c r="U362">
        <v>1.8499999999999999E-2</v>
      </c>
      <c r="V362">
        <v>1</v>
      </c>
      <c r="W362">
        <f>E362/100</f>
        <v>0.54</v>
      </c>
      <c r="X362">
        <f>F362/1000000</f>
        <v>6.1559059999999999</v>
      </c>
      <c r="Y362">
        <f>IF(D362="C",1,0)</f>
        <v>0</v>
      </c>
      <c r="Z362">
        <f>IF(G362="C",1,0)</f>
        <v>0</v>
      </c>
      <c r="AA362">
        <f>IF(G362="S",1,0)</f>
        <v>1</v>
      </c>
      <c r="AB362">
        <f>IF(G362="U",1,0)</f>
        <v>0</v>
      </c>
      <c r="AC362" s="5">
        <f>IF(AND(ISNUMBER(H362),NOT(ISNUMBER(P362))),1,0)</f>
        <v>0</v>
      </c>
      <c r="AD362" s="5">
        <f>IF(AND(ISNUMBER(H362),ISNUMBER(P362)),1,0)</f>
        <v>0</v>
      </c>
      <c r="AE362" s="5">
        <f>W362</f>
        <v>0.54</v>
      </c>
      <c r="AF362" s="5">
        <f>X362</f>
        <v>6.1559059999999999</v>
      </c>
      <c r="AG362" s="5">
        <f>Y362</f>
        <v>0</v>
      </c>
      <c r="AH362" s="5">
        <f>IF(OR(G362="C",G362="S",G362="U"),1,0)</f>
        <v>1</v>
      </c>
      <c r="AI362" s="5">
        <f>IF(ISNUMBER(H362),1,0)</f>
        <v>0</v>
      </c>
      <c r="AJ362" s="5">
        <f>IF(ISNUMBER(P362),1,0)</f>
        <v>1</v>
      </c>
      <c r="AK362" s="5" t="str">
        <f>IF(AI362=1,IF(J362&gt;0,1,0),"")</f>
        <v/>
      </c>
      <c r="AL362" s="5">
        <f>IF(AJ362=1,IF(OR(Q362&gt;0,R362&gt;0),1,0),"")</f>
        <v>1</v>
      </c>
    </row>
    <row r="363" spans="1:38">
      <c r="A363">
        <v>345194</v>
      </c>
      <c r="B363" t="s">
        <v>465</v>
      </c>
      <c r="C363" t="s">
        <v>23</v>
      </c>
      <c r="D363" t="s">
        <v>24</v>
      </c>
      <c r="E363">
        <v>4</v>
      </c>
      <c r="F363">
        <v>166000</v>
      </c>
      <c r="G363" t="s">
        <v>25</v>
      </c>
      <c r="H363" t="s">
        <v>26</v>
      </c>
      <c r="I363" t="s">
        <v>26</v>
      </c>
      <c r="J363" t="s">
        <v>26</v>
      </c>
      <c r="K363" t="s">
        <v>26</v>
      </c>
      <c r="L363" t="s">
        <v>26</v>
      </c>
      <c r="M363" t="s">
        <v>26</v>
      </c>
      <c r="N363" t="s">
        <v>26</v>
      </c>
      <c r="O363" t="s">
        <v>26</v>
      </c>
      <c r="P363">
        <v>1</v>
      </c>
      <c r="Q363">
        <v>0</v>
      </c>
      <c r="R363">
        <v>0</v>
      </c>
      <c r="S363">
        <v>1</v>
      </c>
      <c r="T363">
        <v>6.0240999999999998</v>
      </c>
      <c r="U363">
        <v>0.25</v>
      </c>
      <c r="V363">
        <v>0</v>
      </c>
      <c r="W363">
        <f>E363/100</f>
        <v>0.04</v>
      </c>
      <c r="X363">
        <f>F363/1000000</f>
        <v>0.16600000000000001</v>
      </c>
      <c r="Y363">
        <f>IF(D363="C",1,0)</f>
        <v>0</v>
      </c>
      <c r="Z363">
        <f>IF(G363="C",1,0)</f>
        <v>0</v>
      </c>
      <c r="AA363">
        <f>IF(G363="S",1,0)</f>
        <v>1</v>
      </c>
      <c r="AB363">
        <f>IF(G363="U",1,0)</f>
        <v>0</v>
      </c>
      <c r="AC363" s="5">
        <f>IF(AND(ISNUMBER(H363),NOT(ISNUMBER(P363))),1,0)</f>
        <v>0</v>
      </c>
      <c r="AD363" s="5">
        <f>IF(AND(ISNUMBER(H363),ISNUMBER(P363)),1,0)</f>
        <v>0</v>
      </c>
      <c r="AE363" s="5">
        <f>W363</f>
        <v>0.04</v>
      </c>
      <c r="AF363" s="5">
        <f>X363</f>
        <v>0.16600000000000001</v>
      </c>
      <c r="AG363" s="5">
        <f>Y363</f>
        <v>0</v>
      </c>
      <c r="AH363" s="5">
        <f>IF(OR(G363="C",G363="S",G363="U"),1,0)</f>
        <v>1</v>
      </c>
      <c r="AI363" s="5">
        <f>IF(ISNUMBER(H363),1,0)</f>
        <v>0</v>
      </c>
      <c r="AJ363" s="5">
        <f>IF(ISNUMBER(P363),1,0)</f>
        <v>1</v>
      </c>
      <c r="AK363" s="5" t="str">
        <f>IF(AI363=1,IF(J363&gt;0,1,0),"")</f>
        <v/>
      </c>
      <c r="AL363" s="5">
        <f>IF(AJ363=1,IF(OR(Q363&gt;0,R363&gt;0),1,0),"")</f>
        <v>0</v>
      </c>
    </row>
    <row r="364" spans="1:38">
      <c r="A364">
        <v>345548</v>
      </c>
      <c r="B364" t="s">
        <v>466</v>
      </c>
      <c r="C364" t="s">
        <v>23</v>
      </c>
      <c r="D364" t="s">
        <v>24</v>
      </c>
      <c r="E364">
        <v>12</v>
      </c>
      <c r="F364">
        <v>3567392</v>
      </c>
      <c r="G364" t="s">
        <v>25</v>
      </c>
      <c r="H364" t="s">
        <v>26</v>
      </c>
      <c r="I364" t="s">
        <v>26</v>
      </c>
      <c r="J364" t="s">
        <v>26</v>
      </c>
      <c r="K364" t="s">
        <v>26</v>
      </c>
      <c r="L364" t="s">
        <v>26</v>
      </c>
      <c r="M364" t="s">
        <v>26</v>
      </c>
      <c r="N364" t="s">
        <v>26</v>
      </c>
      <c r="O364" t="s">
        <v>26</v>
      </c>
      <c r="P364">
        <v>1</v>
      </c>
      <c r="Q364">
        <v>0</v>
      </c>
      <c r="R364">
        <v>1</v>
      </c>
      <c r="S364">
        <v>1</v>
      </c>
      <c r="T364">
        <v>0.28029999999999999</v>
      </c>
      <c r="U364">
        <v>8.3299999999999999E-2</v>
      </c>
      <c r="V364">
        <v>1</v>
      </c>
      <c r="W364">
        <f>E364/100</f>
        <v>0.12</v>
      </c>
      <c r="X364">
        <f>F364/1000000</f>
        <v>3.5673919999999999</v>
      </c>
      <c r="Y364">
        <f>IF(D364="C",1,0)</f>
        <v>0</v>
      </c>
      <c r="Z364">
        <f>IF(G364="C",1,0)</f>
        <v>0</v>
      </c>
      <c r="AA364">
        <f>IF(G364="S",1,0)</f>
        <v>1</v>
      </c>
      <c r="AB364">
        <f>IF(G364="U",1,0)</f>
        <v>0</v>
      </c>
      <c r="AC364" s="5">
        <f>IF(AND(ISNUMBER(H364),NOT(ISNUMBER(P364))),1,0)</f>
        <v>0</v>
      </c>
      <c r="AD364" s="5">
        <f>IF(AND(ISNUMBER(H364),ISNUMBER(P364)),1,0)</f>
        <v>0</v>
      </c>
      <c r="AE364" s="5">
        <f>W364</f>
        <v>0.12</v>
      </c>
      <c r="AF364" s="5">
        <f>X364</f>
        <v>3.5673919999999999</v>
      </c>
      <c r="AG364" s="5">
        <f>Y364</f>
        <v>0</v>
      </c>
      <c r="AH364" s="5">
        <f>IF(OR(G364="C",G364="S",G364="U"),1,0)</f>
        <v>1</v>
      </c>
      <c r="AI364" s="5">
        <f>IF(ISNUMBER(H364),1,0)</f>
        <v>0</v>
      </c>
      <c r="AJ364" s="5">
        <f>IF(ISNUMBER(P364),1,0)</f>
        <v>1</v>
      </c>
      <c r="AK364" s="5" t="str">
        <f>IF(AI364=1,IF(J364&gt;0,1,0),"")</f>
        <v/>
      </c>
      <c r="AL364" s="5">
        <f>IF(AJ364=1,IF(OR(Q364&gt;0,R364&gt;0),1,0),"")</f>
        <v>1</v>
      </c>
    </row>
    <row r="365" spans="1:38">
      <c r="A365">
        <v>345644</v>
      </c>
      <c r="B365" t="s">
        <v>467</v>
      </c>
      <c r="C365" t="s">
        <v>84</v>
      </c>
      <c r="D365" t="s">
        <v>24</v>
      </c>
      <c r="E365">
        <v>1</v>
      </c>
      <c r="F365">
        <v>53543</v>
      </c>
      <c r="G365" t="s">
        <v>25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>
        <v>1</v>
      </c>
      <c r="Q365">
        <v>0</v>
      </c>
      <c r="R365">
        <v>1</v>
      </c>
      <c r="S365">
        <v>1</v>
      </c>
      <c r="T365">
        <v>18.676600000000001</v>
      </c>
      <c r="U365">
        <v>1</v>
      </c>
      <c r="V365">
        <v>1</v>
      </c>
      <c r="W365">
        <f>E365/100</f>
        <v>0.01</v>
      </c>
      <c r="X365">
        <f>F365/1000000</f>
        <v>5.3543E-2</v>
      </c>
      <c r="Y365">
        <f>IF(D365="C",1,0)</f>
        <v>0</v>
      </c>
      <c r="Z365">
        <f>IF(G365="C",1,0)</f>
        <v>0</v>
      </c>
      <c r="AA365">
        <f>IF(G365="S",1,0)</f>
        <v>1</v>
      </c>
      <c r="AB365">
        <f>IF(G365="U",1,0)</f>
        <v>0</v>
      </c>
      <c r="AC365" s="5">
        <f>IF(AND(ISNUMBER(H365),NOT(ISNUMBER(P365))),1,0)</f>
        <v>0</v>
      </c>
      <c r="AD365" s="5">
        <f>IF(AND(ISNUMBER(H365),ISNUMBER(P365)),1,0)</f>
        <v>0</v>
      </c>
      <c r="AE365" s="5">
        <f>W365</f>
        <v>0.01</v>
      </c>
      <c r="AF365" s="5">
        <f>X365</f>
        <v>5.3543E-2</v>
      </c>
      <c r="AG365" s="5">
        <f>Y365</f>
        <v>0</v>
      </c>
      <c r="AH365" s="5">
        <f>IF(OR(G365="C",G365="S",G365="U"),1,0)</f>
        <v>1</v>
      </c>
      <c r="AI365" s="5">
        <f>IF(ISNUMBER(H365),1,0)</f>
        <v>0</v>
      </c>
      <c r="AJ365" s="5">
        <f>IF(ISNUMBER(P365),1,0)</f>
        <v>1</v>
      </c>
      <c r="AK365" s="5" t="str">
        <f>IF(AI365=1,IF(J365&gt;0,1,0),"")</f>
        <v/>
      </c>
      <c r="AL365" s="5">
        <f>IF(AJ365=1,IF(OR(Q365&gt;0,R365&gt;0),1,0),"")</f>
        <v>1</v>
      </c>
    </row>
    <row r="366" spans="1:38">
      <c r="A366">
        <v>345921</v>
      </c>
      <c r="B366" t="s">
        <v>468</v>
      </c>
      <c r="C366" t="s">
        <v>82</v>
      </c>
      <c r="D366" t="s">
        <v>24</v>
      </c>
      <c r="E366">
        <v>702</v>
      </c>
      <c r="F366">
        <v>5805966</v>
      </c>
      <c r="G366" t="s">
        <v>25</v>
      </c>
      <c r="H366" t="s">
        <v>26</v>
      </c>
      <c r="I366" t="s">
        <v>26</v>
      </c>
      <c r="J366" t="s">
        <v>26</v>
      </c>
      <c r="K366" t="s">
        <v>26</v>
      </c>
      <c r="L366" t="s">
        <v>26</v>
      </c>
      <c r="M366" t="s">
        <v>26</v>
      </c>
      <c r="N366" t="s">
        <v>26</v>
      </c>
      <c r="O366" t="s">
        <v>26</v>
      </c>
      <c r="P366">
        <v>1</v>
      </c>
      <c r="Q366">
        <v>0</v>
      </c>
      <c r="R366">
        <v>1</v>
      </c>
      <c r="S366">
        <v>1</v>
      </c>
      <c r="T366">
        <v>0.17219999999999999</v>
      </c>
      <c r="U366">
        <v>1.4E-3</v>
      </c>
      <c r="V366">
        <v>1</v>
      </c>
      <c r="W366">
        <f>E366/100</f>
        <v>7.02</v>
      </c>
      <c r="X366">
        <f>F366/1000000</f>
        <v>5.8059659999999997</v>
      </c>
      <c r="Y366">
        <f>IF(D366="C",1,0)</f>
        <v>0</v>
      </c>
      <c r="Z366">
        <f>IF(G366="C",1,0)</f>
        <v>0</v>
      </c>
      <c r="AA366">
        <f>IF(G366="S",1,0)</f>
        <v>1</v>
      </c>
      <c r="AB366">
        <f>IF(G366="U",1,0)</f>
        <v>0</v>
      </c>
      <c r="AC366" s="5">
        <f>IF(AND(ISNUMBER(H366),NOT(ISNUMBER(P366))),1,0)</f>
        <v>0</v>
      </c>
      <c r="AD366" s="5">
        <f>IF(AND(ISNUMBER(H366),ISNUMBER(P366)),1,0)</f>
        <v>0</v>
      </c>
      <c r="AE366" s="5">
        <f>W366</f>
        <v>7.02</v>
      </c>
      <c r="AF366" s="5">
        <f>X366</f>
        <v>5.8059659999999997</v>
      </c>
      <c r="AG366" s="5">
        <f>Y366</f>
        <v>0</v>
      </c>
      <c r="AH366" s="5">
        <f>IF(OR(G366="C",G366="S",G366="U"),1,0)</f>
        <v>1</v>
      </c>
      <c r="AI366" s="5">
        <f>IF(ISNUMBER(H366),1,0)</f>
        <v>0</v>
      </c>
      <c r="AJ366" s="5">
        <f>IF(ISNUMBER(P366),1,0)</f>
        <v>1</v>
      </c>
      <c r="AK366" s="5" t="str">
        <f>IF(AI366=1,IF(J366&gt;0,1,0),"")</f>
        <v/>
      </c>
      <c r="AL366" s="5">
        <f>IF(AJ366=1,IF(OR(Q366&gt;0,R366&gt;0),1,0),"")</f>
        <v>1</v>
      </c>
    </row>
    <row r="367" spans="1:38">
      <c r="A367">
        <v>346928</v>
      </c>
      <c r="B367" t="s">
        <v>469</v>
      </c>
      <c r="C367" t="s">
        <v>23</v>
      </c>
      <c r="D367" t="s">
        <v>24</v>
      </c>
      <c r="E367">
        <v>8</v>
      </c>
      <c r="F367">
        <v>23000</v>
      </c>
      <c r="G367" t="s">
        <v>25</v>
      </c>
      <c r="H367" t="s">
        <v>26</v>
      </c>
      <c r="I367" t="s">
        <v>26</v>
      </c>
      <c r="J367" t="s">
        <v>26</v>
      </c>
      <c r="K367" t="s">
        <v>26</v>
      </c>
      <c r="L367" t="s">
        <v>26</v>
      </c>
      <c r="M367" t="s">
        <v>26</v>
      </c>
      <c r="N367" t="s">
        <v>26</v>
      </c>
      <c r="O367" t="s">
        <v>26</v>
      </c>
      <c r="P367">
        <v>2</v>
      </c>
      <c r="Q367">
        <v>0</v>
      </c>
      <c r="R367">
        <v>2</v>
      </c>
      <c r="S367">
        <v>2</v>
      </c>
      <c r="T367">
        <v>86.956500000000005</v>
      </c>
      <c r="U367">
        <v>0.25</v>
      </c>
      <c r="V367">
        <v>1</v>
      </c>
      <c r="W367">
        <f>E367/100</f>
        <v>0.08</v>
      </c>
      <c r="X367">
        <f>F367/1000000</f>
        <v>2.3E-2</v>
      </c>
      <c r="Y367">
        <f>IF(D367="C",1,0)</f>
        <v>0</v>
      </c>
      <c r="Z367">
        <f>IF(G367="C",1,0)</f>
        <v>0</v>
      </c>
      <c r="AA367">
        <f>IF(G367="S",1,0)</f>
        <v>1</v>
      </c>
      <c r="AB367">
        <f>IF(G367="U",1,0)</f>
        <v>0</v>
      </c>
      <c r="AC367" s="5">
        <f>IF(AND(ISNUMBER(H367),NOT(ISNUMBER(P367))),1,0)</f>
        <v>0</v>
      </c>
      <c r="AD367" s="5">
        <f>IF(AND(ISNUMBER(H367),ISNUMBER(P367)),1,0)</f>
        <v>0</v>
      </c>
      <c r="AE367" s="5">
        <f>W367</f>
        <v>0.08</v>
      </c>
      <c r="AF367" s="5">
        <f>X367</f>
        <v>2.3E-2</v>
      </c>
      <c r="AG367" s="5">
        <f>Y367</f>
        <v>0</v>
      </c>
      <c r="AH367" s="5">
        <f>IF(OR(G367="C",G367="S",G367="U"),1,0)</f>
        <v>1</v>
      </c>
      <c r="AI367" s="5">
        <f>IF(ISNUMBER(H367),1,0)</f>
        <v>0</v>
      </c>
      <c r="AJ367" s="5">
        <f>IF(ISNUMBER(P367),1,0)</f>
        <v>1</v>
      </c>
      <c r="AK367" s="5" t="str">
        <f>IF(AI367=1,IF(J367&gt;0,1,0),"")</f>
        <v/>
      </c>
      <c r="AL367" s="5">
        <f>IF(AJ367=1,IF(OR(Q367&gt;0,R367&gt;0),1,0),"")</f>
        <v>1</v>
      </c>
    </row>
    <row r="368" spans="1:38">
      <c r="A368">
        <v>348381</v>
      </c>
      <c r="B368" t="s">
        <v>470</v>
      </c>
      <c r="C368" t="s">
        <v>23</v>
      </c>
      <c r="D368" t="s">
        <v>24</v>
      </c>
      <c r="E368">
        <v>44</v>
      </c>
      <c r="F368">
        <v>72000</v>
      </c>
      <c r="G368" t="s">
        <v>25</v>
      </c>
      <c r="H368" t="s">
        <v>26</v>
      </c>
      <c r="I368" t="s">
        <v>26</v>
      </c>
      <c r="J368" t="s">
        <v>26</v>
      </c>
      <c r="K368" t="s">
        <v>26</v>
      </c>
      <c r="L368" t="s">
        <v>26</v>
      </c>
      <c r="M368" t="s">
        <v>26</v>
      </c>
      <c r="N368" t="s">
        <v>26</v>
      </c>
      <c r="O368" t="s">
        <v>26</v>
      </c>
      <c r="P368">
        <v>1</v>
      </c>
      <c r="Q368">
        <v>0</v>
      </c>
      <c r="R368">
        <v>1</v>
      </c>
      <c r="S368">
        <v>1</v>
      </c>
      <c r="T368">
        <v>13.8889</v>
      </c>
      <c r="U368">
        <v>2.2700000000000001E-2</v>
      </c>
      <c r="V368">
        <v>1</v>
      </c>
      <c r="W368">
        <f>E368/100</f>
        <v>0.44</v>
      </c>
      <c r="X368">
        <f>F368/1000000</f>
        <v>7.1999999999999995E-2</v>
      </c>
      <c r="Y368">
        <f>IF(D368="C",1,0)</f>
        <v>0</v>
      </c>
      <c r="Z368">
        <f>IF(G368="C",1,0)</f>
        <v>0</v>
      </c>
      <c r="AA368">
        <f>IF(G368="S",1,0)</f>
        <v>1</v>
      </c>
      <c r="AB368">
        <f>IF(G368="U",1,0)</f>
        <v>0</v>
      </c>
      <c r="AC368" s="5">
        <f>IF(AND(ISNUMBER(H368),NOT(ISNUMBER(P368))),1,0)</f>
        <v>0</v>
      </c>
      <c r="AD368" s="5">
        <f>IF(AND(ISNUMBER(H368),ISNUMBER(P368)),1,0)</f>
        <v>0</v>
      </c>
      <c r="AE368" s="5">
        <f>W368</f>
        <v>0.44</v>
      </c>
      <c r="AF368" s="5">
        <f>X368</f>
        <v>7.1999999999999995E-2</v>
      </c>
      <c r="AG368" s="5">
        <f>Y368</f>
        <v>0</v>
      </c>
      <c r="AH368" s="5">
        <f>IF(OR(G368="C",G368="S",G368="U"),1,0)</f>
        <v>1</v>
      </c>
      <c r="AI368" s="5">
        <f>IF(ISNUMBER(H368),1,0)</f>
        <v>0</v>
      </c>
      <c r="AJ368" s="5">
        <f>IF(ISNUMBER(P368),1,0)</f>
        <v>1</v>
      </c>
      <c r="AK368" s="5" t="str">
        <f>IF(AI368=1,IF(J368&gt;0,1,0),"")</f>
        <v/>
      </c>
      <c r="AL368" s="5">
        <f>IF(AJ368=1,IF(OR(Q368&gt;0,R368&gt;0),1,0),"")</f>
        <v>1</v>
      </c>
    </row>
    <row r="369" spans="1:38">
      <c r="A369">
        <v>348598</v>
      </c>
      <c r="B369" t="s">
        <v>472</v>
      </c>
      <c r="C369" t="s">
        <v>82</v>
      </c>
      <c r="D369" t="s">
        <v>24</v>
      </c>
      <c r="E369">
        <v>11</v>
      </c>
      <c r="F369">
        <v>436062</v>
      </c>
      <c r="G369" t="s">
        <v>25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>
        <v>1</v>
      </c>
      <c r="Q369">
        <v>0</v>
      </c>
      <c r="R369">
        <v>1</v>
      </c>
      <c r="S369">
        <v>1</v>
      </c>
      <c r="T369">
        <v>2.2932999999999999</v>
      </c>
      <c r="U369">
        <v>9.0899999999999995E-2</v>
      </c>
      <c r="V369">
        <v>1</v>
      </c>
      <c r="W369">
        <f>E369/100</f>
        <v>0.11</v>
      </c>
      <c r="X369">
        <f>F369/1000000</f>
        <v>0.43606200000000001</v>
      </c>
      <c r="Y369">
        <f>IF(D369="C",1,0)</f>
        <v>0</v>
      </c>
      <c r="Z369">
        <f>IF(G369="C",1,0)</f>
        <v>0</v>
      </c>
      <c r="AA369">
        <f>IF(G369="S",1,0)</f>
        <v>1</v>
      </c>
      <c r="AB369">
        <f>IF(G369="U",1,0)</f>
        <v>0</v>
      </c>
      <c r="AC369" s="5">
        <f>IF(AND(ISNUMBER(H369),NOT(ISNUMBER(P369))),1,0)</f>
        <v>0</v>
      </c>
      <c r="AD369" s="5">
        <f>IF(AND(ISNUMBER(H369),ISNUMBER(P369)),1,0)</f>
        <v>0</v>
      </c>
      <c r="AE369" s="5">
        <f>W369</f>
        <v>0.11</v>
      </c>
      <c r="AF369" s="5">
        <f>X369</f>
        <v>0.43606200000000001</v>
      </c>
      <c r="AG369" s="5">
        <f>Y369</f>
        <v>0</v>
      </c>
      <c r="AH369" s="5">
        <f>IF(OR(G369="C",G369="S",G369="U"),1,0)</f>
        <v>1</v>
      </c>
      <c r="AI369" s="5">
        <f>IF(ISNUMBER(H369),1,0)</f>
        <v>0</v>
      </c>
      <c r="AJ369" s="5">
        <f>IF(ISNUMBER(P369),1,0)</f>
        <v>1</v>
      </c>
      <c r="AK369" s="5" t="str">
        <f>IF(AI369=1,IF(J369&gt;0,1,0),"")</f>
        <v/>
      </c>
      <c r="AL369" s="5">
        <f>IF(AJ369=1,IF(OR(Q369&gt;0,R369&gt;0),1,0),"")</f>
        <v>1</v>
      </c>
    </row>
    <row r="370" spans="1:38">
      <c r="A370">
        <v>350160</v>
      </c>
      <c r="B370" t="s">
        <v>473</v>
      </c>
      <c r="C370" t="s">
        <v>23</v>
      </c>
      <c r="D370" t="s">
        <v>24</v>
      </c>
      <c r="E370">
        <v>62</v>
      </c>
      <c r="F370">
        <v>5606320</v>
      </c>
      <c r="G370" t="s">
        <v>25</v>
      </c>
      <c r="H370" t="s">
        <v>26</v>
      </c>
      <c r="I370" t="s">
        <v>26</v>
      </c>
      <c r="J370" t="s">
        <v>26</v>
      </c>
      <c r="K370" t="s">
        <v>26</v>
      </c>
      <c r="L370" t="s">
        <v>26</v>
      </c>
      <c r="M370" t="s">
        <v>26</v>
      </c>
      <c r="N370" t="s">
        <v>26</v>
      </c>
      <c r="O370" t="s">
        <v>26</v>
      </c>
      <c r="P370">
        <v>2</v>
      </c>
      <c r="Q370">
        <v>0</v>
      </c>
      <c r="R370">
        <v>2</v>
      </c>
      <c r="S370">
        <v>0</v>
      </c>
      <c r="T370">
        <v>0.35670000000000002</v>
      </c>
      <c r="U370">
        <v>3.2300000000000002E-2</v>
      </c>
      <c r="V370">
        <v>1</v>
      </c>
      <c r="W370">
        <f>E370/100</f>
        <v>0.62</v>
      </c>
      <c r="X370">
        <f>F370/1000000</f>
        <v>5.6063200000000002</v>
      </c>
      <c r="Y370">
        <f>IF(D370="C",1,0)</f>
        <v>0</v>
      </c>
      <c r="Z370">
        <f>IF(G370="C",1,0)</f>
        <v>0</v>
      </c>
      <c r="AA370">
        <f>IF(G370="S",1,0)</f>
        <v>1</v>
      </c>
      <c r="AB370">
        <f>IF(G370="U",1,0)</f>
        <v>0</v>
      </c>
      <c r="AC370" s="5">
        <f>IF(AND(ISNUMBER(H370),NOT(ISNUMBER(P370))),1,0)</f>
        <v>0</v>
      </c>
      <c r="AD370" s="5">
        <f>IF(AND(ISNUMBER(H370),ISNUMBER(P370)),1,0)</f>
        <v>0</v>
      </c>
      <c r="AE370" s="5">
        <f>W370</f>
        <v>0.62</v>
      </c>
      <c r="AF370" s="5">
        <f>X370</f>
        <v>5.6063200000000002</v>
      </c>
      <c r="AG370" s="5">
        <f>Y370</f>
        <v>0</v>
      </c>
      <c r="AH370" s="5">
        <f>IF(OR(G370="C",G370="S",G370="U"),1,0)</f>
        <v>1</v>
      </c>
      <c r="AI370" s="5">
        <f>IF(ISNUMBER(H370),1,0)</f>
        <v>0</v>
      </c>
      <c r="AJ370" s="5">
        <f>IF(ISNUMBER(P370),1,0)</f>
        <v>1</v>
      </c>
      <c r="AK370" s="5" t="str">
        <f>IF(AI370=1,IF(J370&gt;0,1,0),"")</f>
        <v/>
      </c>
      <c r="AL370" s="5">
        <f>IF(AJ370=1,IF(OR(Q370&gt;0,R370&gt;0),1,0),"")</f>
        <v>1</v>
      </c>
    </row>
    <row r="371" spans="1:38">
      <c r="A371">
        <v>350715</v>
      </c>
      <c r="B371" t="s">
        <v>474</v>
      </c>
      <c r="C371" t="s">
        <v>23</v>
      </c>
      <c r="D371" t="s">
        <v>24</v>
      </c>
      <c r="E371">
        <v>80</v>
      </c>
      <c r="F371">
        <v>984650</v>
      </c>
      <c r="G371" t="s">
        <v>25</v>
      </c>
      <c r="H371" t="s">
        <v>26</v>
      </c>
      <c r="I371" t="s">
        <v>26</v>
      </c>
      <c r="J371" t="s">
        <v>26</v>
      </c>
      <c r="K371" t="s">
        <v>26</v>
      </c>
      <c r="L371" t="s">
        <v>26</v>
      </c>
      <c r="M371" t="s">
        <v>26</v>
      </c>
      <c r="N371" t="s">
        <v>26</v>
      </c>
      <c r="O371" t="s">
        <v>26</v>
      </c>
      <c r="P371">
        <v>1</v>
      </c>
      <c r="Q371">
        <v>0</v>
      </c>
      <c r="R371">
        <v>0</v>
      </c>
      <c r="S371">
        <v>1</v>
      </c>
      <c r="T371">
        <v>1.0156000000000001</v>
      </c>
      <c r="U371">
        <v>1.2500000000000001E-2</v>
      </c>
      <c r="V371">
        <v>0</v>
      </c>
      <c r="W371">
        <f>E371/100</f>
        <v>0.8</v>
      </c>
      <c r="X371">
        <f>F371/1000000</f>
        <v>0.98465000000000003</v>
      </c>
      <c r="Y371">
        <f>IF(D371="C",1,0)</f>
        <v>0</v>
      </c>
      <c r="Z371">
        <f>IF(G371="C",1,0)</f>
        <v>0</v>
      </c>
      <c r="AA371">
        <f>IF(G371="S",1,0)</f>
        <v>1</v>
      </c>
      <c r="AB371">
        <f>IF(G371="U",1,0)</f>
        <v>0</v>
      </c>
      <c r="AC371" s="5">
        <f>IF(AND(ISNUMBER(H371),NOT(ISNUMBER(P371))),1,0)</f>
        <v>0</v>
      </c>
      <c r="AD371" s="5">
        <f>IF(AND(ISNUMBER(H371),ISNUMBER(P371)),1,0)</f>
        <v>0</v>
      </c>
      <c r="AE371" s="5">
        <f>W371</f>
        <v>0.8</v>
      </c>
      <c r="AF371" s="5">
        <f>X371</f>
        <v>0.98465000000000003</v>
      </c>
      <c r="AG371" s="5">
        <f>Y371</f>
        <v>0</v>
      </c>
      <c r="AH371" s="5">
        <f>IF(OR(G371="C",G371="S",G371="U"),1,0)</f>
        <v>1</v>
      </c>
      <c r="AI371" s="5">
        <f>IF(ISNUMBER(H371),1,0)</f>
        <v>0</v>
      </c>
      <c r="AJ371" s="5">
        <f>IF(ISNUMBER(P371),1,0)</f>
        <v>1</v>
      </c>
      <c r="AK371" s="5" t="str">
        <f>IF(AI371=1,IF(J371&gt;0,1,0),"")</f>
        <v/>
      </c>
      <c r="AL371" s="5">
        <f>IF(AJ371=1,IF(OR(Q371&gt;0,R371&gt;0),1,0),"")</f>
        <v>0</v>
      </c>
    </row>
    <row r="372" spans="1:38">
      <c r="A372">
        <v>350761</v>
      </c>
      <c r="B372" t="s">
        <v>475</v>
      </c>
      <c r="C372" t="s">
        <v>23</v>
      </c>
      <c r="D372" t="s">
        <v>24</v>
      </c>
      <c r="E372">
        <v>14</v>
      </c>
      <c r="F372">
        <v>97120</v>
      </c>
      <c r="G372" t="s">
        <v>25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>
        <v>1</v>
      </c>
      <c r="Q372">
        <v>0</v>
      </c>
      <c r="R372">
        <v>1</v>
      </c>
      <c r="S372">
        <v>0</v>
      </c>
      <c r="T372">
        <v>10.2965</v>
      </c>
      <c r="U372">
        <v>7.1400000000000005E-2</v>
      </c>
      <c r="V372">
        <v>1</v>
      </c>
      <c r="W372">
        <f>E372/100</f>
        <v>0.14000000000000001</v>
      </c>
      <c r="X372">
        <f>F372/1000000</f>
        <v>9.7119999999999998E-2</v>
      </c>
      <c r="Y372">
        <f>IF(D372="C",1,0)</f>
        <v>0</v>
      </c>
      <c r="Z372">
        <f>IF(G372="C",1,0)</f>
        <v>0</v>
      </c>
      <c r="AA372">
        <f>IF(G372="S",1,0)</f>
        <v>1</v>
      </c>
      <c r="AB372">
        <f>IF(G372="U",1,0)</f>
        <v>0</v>
      </c>
      <c r="AC372" s="5">
        <f>IF(AND(ISNUMBER(H372),NOT(ISNUMBER(P372))),1,0)</f>
        <v>0</v>
      </c>
      <c r="AD372" s="5">
        <f>IF(AND(ISNUMBER(H372),ISNUMBER(P372)),1,0)</f>
        <v>0</v>
      </c>
      <c r="AE372" s="5">
        <f>W372</f>
        <v>0.14000000000000001</v>
      </c>
      <c r="AF372" s="5">
        <f>X372</f>
        <v>9.7119999999999998E-2</v>
      </c>
      <c r="AG372" s="5">
        <f>Y372</f>
        <v>0</v>
      </c>
      <c r="AH372" s="5">
        <f>IF(OR(G372="C",G372="S",G372="U"),1,0)</f>
        <v>1</v>
      </c>
      <c r="AI372" s="5">
        <f>IF(ISNUMBER(H372),1,0)</f>
        <v>0</v>
      </c>
      <c r="AJ372" s="5">
        <f>IF(ISNUMBER(P372),1,0)</f>
        <v>1</v>
      </c>
      <c r="AK372" s="5" t="str">
        <f>IF(AI372=1,IF(J372&gt;0,1,0),"")</f>
        <v/>
      </c>
      <c r="AL372" s="5">
        <f>IF(AJ372=1,IF(OR(Q372&gt;0,R372&gt;0),1,0),"")</f>
        <v>1</v>
      </c>
    </row>
    <row r="373" spans="1:38">
      <c r="A373">
        <v>351019</v>
      </c>
      <c r="B373" t="s">
        <v>476</v>
      </c>
      <c r="C373" t="s">
        <v>84</v>
      </c>
      <c r="D373" t="s">
        <v>33</v>
      </c>
      <c r="E373">
        <v>43</v>
      </c>
      <c r="F373">
        <v>390000</v>
      </c>
      <c r="H373" t="s">
        <v>26</v>
      </c>
      <c r="I373" t="s">
        <v>26</v>
      </c>
      <c r="J373" t="s">
        <v>26</v>
      </c>
      <c r="K373" t="s">
        <v>26</v>
      </c>
      <c r="L373" t="s">
        <v>26</v>
      </c>
      <c r="M373" t="s">
        <v>26</v>
      </c>
      <c r="N373" t="s">
        <v>26</v>
      </c>
      <c r="O373" t="s">
        <v>26</v>
      </c>
      <c r="P373">
        <v>1</v>
      </c>
      <c r="Q373">
        <v>0</v>
      </c>
      <c r="R373">
        <v>0</v>
      </c>
      <c r="S373">
        <v>1</v>
      </c>
      <c r="T373">
        <v>2.5640999999999998</v>
      </c>
      <c r="U373">
        <v>2.3300000000000001E-2</v>
      </c>
      <c r="V373">
        <v>0</v>
      </c>
      <c r="W373">
        <f>E373/100</f>
        <v>0.43</v>
      </c>
      <c r="X373">
        <f>F373/1000000</f>
        <v>0.39</v>
      </c>
      <c r="Y373">
        <f>IF(D373="C",1,0)</f>
        <v>1</v>
      </c>
      <c r="Z373">
        <f>IF(G373="C",1,0)</f>
        <v>0</v>
      </c>
      <c r="AA373">
        <f>IF(G373="S",1,0)</f>
        <v>0</v>
      </c>
      <c r="AB373">
        <f>IF(G373="U",1,0)</f>
        <v>0</v>
      </c>
      <c r="AC373" s="5">
        <f>IF(AND(ISNUMBER(H373),NOT(ISNUMBER(P373))),1,0)</f>
        <v>0</v>
      </c>
      <c r="AD373" s="5">
        <f>IF(AND(ISNUMBER(H373),ISNUMBER(P373)),1,0)</f>
        <v>0</v>
      </c>
      <c r="AE373" s="5">
        <f>W373</f>
        <v>0.43</v>
      </c>
      <c r="AF373" s="5">
        <f>X373</f>
        <v>0.39</v>
      </c>
      <c r="AG373" s="5">
        <f>Y373</f>
        <v>1</v>
      </c>
      <c r="AH373" s="5">
        <f>IF(OR(G373="C",G373="S",G373="U"),1,0)</f>
        <v>0</v>
      </c>
      <c r="AI373" s="5">
        <f>IF(ISNUMBER(H373),1,0)</f>
        <v>0</v>
      </c>
      <c r="AJ373" s="5">
        <f>IF(ISNUMBER(P373),1,0)</f>
        <v>1</v>
      </c>
      <c r="AK373" s="5" t="str">
        <f>IF(AI373=1,IF(J373&gt;0,1,0),"")</f>
        <v/>
      </c>
      <c r="AL373" s="5">
        <f>IF(AJ373=1,IF(OR(Q373&gt;0,R373&gt;0),1,0),"")</f>
        <v>0</v>
      </c>
    </row>
    <row r="374" spans="1:38">
      <c r="A374">
        <v>351287</v>
      </c>
      <c r="B374" t="s">
        <v>477</v>
      </c>
      <c r="C374" t="s">
        <v>84</v>
      </c>
      <c r="D374" t="s">
        <v>24</v>
      </c>
      <c r="E374">
        <v>6</v>
      </c>
      <c r="F374">
        <v>79000</v>
      </c>
      <c r="G374" t="s">
        <v>33</v>
      </c>
      <c r="H374" t="s">
        <v>26</v>
      </c>
      <c r="I374" t="s">
        <v>26</v>
      </c>
      <c r="J374" t="s">
        <v>26</v>
      </c>
      <c r="K374" t="s">
        <v>26</v>
      </c>
      <c r="L374" t="s">
        <v>26</v>
      </c>
      <c r="M374" t="s">
        <v>26</v>
      </c>
      <c r="N374" t="s">
        <v>26</v>
      </c>
      <c r="O374" t="s">
        <v>26</v>
      </c>
      <c r="P374">
        <v>1</v>
      </c>
      <c r="Q374">
        <v>0</v>
      </c>
      <c r="R374">
        <v>0</v>
      </c>
      <c r="S374">
        <v>1</v>
      </c>
      <c r="T374">
        <v>12.658200000000001</v>
      </c>
      <c r="U374">
        <v>0.16669999999999999</v>
      </c>
      <c r="V374">
        <v>0</v>
      </c>
      <c r="W374">
        <f>E374/100</f>
        <v>0.06</v>
      </c>
      <c r="X374">
        <f>F374/1000000</f>
        <v>7.9000000000000001E-2</v>
      </c>
      <c r="Y374">
        <f>IF(D374="C",1,0)</f>
        <v>0</v>
      </c>
      <c r="Z374">
        <f>IF(G374="C",1,0)</f>
        <v>1</v>
      </c>
      <c r="AA374">
        <f>IF(G374="S",1,0)</f>
        <v>0</v>
      </c>
      <c r="AB374">
        <f>IF(G374="U",1,0)</f>
        <v>0</v>
      </c>
      <c r="AC374" s="5">
        <f>IF(AND(ISNUMBER(H374),NOT(ISNUMBER(P374))),1,0)</f>
        <v>0</v>
      </c>
      <c r="AD374" s="5">
        <f>IF(AND(ISNUMBER(H374),ISNUMBER(P374)),1,0)</f>
        <v>0</v>
      </c>
      <c r="AE374" s="5">
        <f>W374</f>
        <v>0.06</v>
      </c>
      <c r="AF374" s="5">
        <f>X374</f>
        <v>7.9000000000000001E-2</v>
      </c>
      <c r="AG374" s="5">
        <f>Y374</f>
        <v>0</v>
      </c>
      <c r="AH374" s="5">
        <f>IF(OR(G374="C",G374="S",G374="U"),1,0)</f>
        <v>1</v>
      </c>
      <c r="AI374" s="5">
        <f>IF(ISNUMBER(H374),1,0)</f>
        <v>0</v>
      </c>
      <c r="AJ374" s="5">
        <f>IF(ISNUMBER(P374),1,0)</f>
        <v>1</v>
      </c>
      <c r="AK374" s="5" t="str">
        <f>IF(AI374=1,IF(J374&gt;0,1,0),"")</f>
        <v/>
      </c>
      <c r="AL374" s="5">
        <f>IF(AJ374=1,IF(OR(Q374&gt;0,R374&gt;0),1,0),"")</f>
        <v>0</v>
      </c>
    </row>
    <row r="375" spans="1:38">
      <c r="A375">
        <v>351500</v>
      </c>
      <c r="B375" t="s">
        <v>478</v>
      </c>
      <c r="C375" t="s">
        <v>37</v>
      </c>
      <c r="D375" t="s">
        <v>24</v>
      </c>
      <c r="E375">
        <v>20</v>
      </c>
      <c r="F375">
        <v>1410563</v>
      </c>
      <c r="G375" t="s">
        <v>25</v>
      </c>
      <c r="H375" t="s">
        <v>26</v>
      </c>
      <c r="I375" t="s">
        <v>26</v>
      </c>
      <c r="J375" t="s">
        <v>26</v>
      </c>
      <c r="K375" t="s">
        <v>26</v>
      </c>
      <c r="L375" t="s">
        <v>26</v>
      </c>
      <c r="M375" t="s">
        <v>26</v>
      </c>
      <c r="N375" t="s">
        <v>26</v>
      </c>
      <c r="O375" t="s">
        <v>26</v>
      </c>
      <c r="P375">
        <v>1</v>
      </c>
      <c r="Q375">
        <v>0</v>
      </c>
      <c r="R375">
        <v>0</v>
      </c>
      <c r="S375">
        <v>1</v>
      </c>
      <c r="T375">
        <v>0.70889999999999997</v>
      </c>
      <c r="U375">
        <v>0.05</v>
      </c>
      <c r="V375">
        <v>0</v>
      </c>
      <c r="W375">
        <f>E375/100</f>
        <v>0.2</v>
      </c>
      <c r="X375">
        <f>F375/1000000</f>
        <v>1.410563</v>
      </c>
      <c r="Y375">
        <f>IF(D375="C",1,0)</f>
        <v>0</v>
      </c>
      <c r="Z375">
        <f>IF(G375="C",1,0)</f>
        <v>0</v>
      </c>
      <c r="AA375">
        <f>IF(G375="S",1,0)</f>
        <v>1</v>
      </c>
      <c r="AB375">
        <f>IF(G375="U",1,0)</f>
        <v>0</v>
      </c>
      <c r="AC375" s="5">
        <f>IF(AND(ISNUMBER(H375),NOT(ISNUMBER(P375))),1,0)</f>
        <v>0</v>
      </c>
      <c r="AD375" s="5">
        <f>IF(AND(ISNUMBER(H375),ISNUMBER(P375)),1,0)</f>
        <v>0</v>
      </c>
      <c r="AE375" s="5">
        <f>W375</f>
        <v>0.2</v>
      </c>
      <c r="AF375" s="5">
        <f>X375</f>
        <v>1.410563</v>
      </c>
      <c r="AG375" s="5">
        <f>Y375</f>
        <v>0</v>
      </c>
      <c r="AH375" s="5">
        <f>IF(OR(G375="C",G375="S",G375="U"),1,0)</f>
        <v>1</v>
      </c>
      <c r="AI375" s="5">
        <f>IF(ISNUMBER(H375),1,0)</f>
        <v>0</v>
      </c>
      <c r="AJ375" s="5">
        <f>IF(ISNUMBER(P375),1,0)</f>
        <v>1</v>
      </c>
      <c r="AK375" s="5" t="str">
        <f>IF(AI375=1,IF(J375&gt;0,1,0),"")</f>
        <v/>
      </c>
      <c r="AL375" s="5">
        <f>IF(AJ375=1,IF(OR(Q375&gt;0,R375&gt;0),1,0),"")</f>
        <v>0</v>
      </c>
    </row>
    <row r="376" spans="1:38">
      <c r="A376">
        <v>352187</v>
      </c>
      <c r="B376" t="s">
        <v>479</v>
      </c>
      <c r="C376" t="s">
        <v>82</v>
      </c>
      <c r="D376" t="s">
        <v>24</v>
      </c>
      <c r="E376">
        <v>66</v>
      </c>
      <c r="F376">
        <v>858000</v>
      </c>
      <c r="H376" t="s">
        <v>26</v>
      </c>
      <c r="I376" t="s">
        <v>26</v>
      </c>
      <c r="J376" t="s">
        <v>26</v>
      </c>
      <c r="K376" t="s">
        <v>26</v>
      </c>
      <c r="L376" t="s">
        <v>26</v>
      </c>
      <c r="M376" t="s">
        <v>26</v>
      </c>
      <c r="N376" t="s">
        <v>26</v>
      </c>
      <c r="O376" t="s">
        <v>26</v>
      </c>
      <c r="P376">
        <v>1</v>
      </c>
      <c r="Q376">
        <v>0</v>
      </c>
      <c r="R376">
        <v>0</v>
      </c>
      <c r="S376">
        <v>1</v>
      </c>
      <c r="T376">
        <v>1.1655</v>
      </c>
      <c r="U376">
        <v>1.52E-2</v>
      </c>
      <c r="V376">
        <v>0</v>
      </c>
      <c r="W376">
        <f>E376/100</f>
        <v>0.66</v>
      </c>
      <c r="X376">
        <f>F376/1000000</f>
        <v>0.85799999999999998</v>
      </c>
      <c r="Y376">
        <f>IF(D376="C",1,0)</f>
        <v>0</v>
      </c>
      <c r="Z376">
        <f>IF(G376="C",1,0)</f>
        <v>0</v>
      </c>
      <c r="AA376">
        <f>IF(G376="S",1,0)</f>
        <v>0</v>
      </c>
      <c r="AB376">
        <f>IF(G376="U",1,0)</f>
        <v>0</v>
      </c>
      <c r="AC376" s="5">
        <f>IF(AND(ISNUMBER(H376),NOT(ISNUMBER(P376))),1,0)</f>
        <v>0</v>
      </c>
      <c r="AD376" s="5">
        <f>IF(AND(ISNUMBER(H376),ISNUMBER(P376)),1,0)</f>
        <v>0</v>
      </c>
      <c r="AE376" s="5">
        <f>W376</f>
        <v>0.66</v>
      </c>
      <c r="AF376" s="5">
        <f>X376</f>
        <v>0.85799999999999998</v>
      </c>
      <c r="AG376" s="5">
        <f>Y376</f>
        <v>0</v>
      </c>
      <c r="AH376" s="5">
        <f>IF(OR(G376="C",G376="S",G376="U"),1,0)</f>
        <v>0</v>
      </c>
      <c r="AI376" s="5">
        <f>IF(ISNUMBER(H376),1,0)</f>
        <v>0</v>
      </c>
      <c r="AJ376" s="5">
        <f>IF(ISNUMBER(P376),1,0)</f>
        <v>1</v>
      </c>
      <c r="AK376" s="5" t="str">
        <f>IF(AI376=1,IF(J376&gt;0,1,0),"")</f>
        <v/>
      </c>
      <c r="AL376" s="5">
        <f>IF(AJ376=1,IF(OR(Q376&gt;0,R376&gt;0),1,0),"")</f>
        <v>0</v>
      </c>
    </row>
    <row r="377" spans="1:38">
      <c r="A377">
        <v>352807</v>
      </c>
      <c r="B377" t="s">
        <v>480</v>
      </c>
      <c r="C377" t="s">
        <v>40</v>
      </c>
      <c r="D377" t="s">
        <v>24</v>
      </c>
      <c r="E377">
        <v>25</v>
      </c>
      <c r="F377">
        <v>1428000</v>
      </c>
      <c r="G377" t="s">
        <v>25</v>
      </c>
      <c r="H377" t="s">
        <v>26</v>
      </c>
      <c r="I377" t="s">
        <v>26</v>
      </c>
      <c r="J377" t="s">
        <v>26</v>
      </c>
      <c r="K377" t="s">
        <v>26</v>
      </c>
      <c r="L377" t="s">
        <v>26</v>
      </c>
      <c r="M377" t="s">
        <v>26</v>
      </c>
      <c r="N377" t="s">
        <v>26</v>
      </c>
      <c r="O377" t="s">
        <v>26</v>
      </c>
      <c r="P377">
        <v>1</v>
      </c>
      <c r="Q377">
        <v>0</v>
      </c>
      <c r="R377">
        <v>1</v>
      </c>
      <c r="S377">
        <v>1</v>
      </c>
      <c r="T377">
        <v>0.70030000000000003</v>
      </c>
      <c r="U377">
        <v>0.04</v>
      </c>
      <c r="V377">
        <v>1</v>
      </c>
      <c r="W377">
        <f>E377/100</f>
        <v>0.25</v>
      </c>
      <c r="X377">
        <f>F377/1000000</f>
        <v>1.4279999999999999</v>
      </c>
      <c r="Y377">
        <f>IF(D377="C",1,0)</f>
        <v>0</v>
      </c>
      <c r="Z377">
        <f>IF(G377="C",1,0)</f>
        <v>0</v>
      </c>
      <c r="AA377">
        <f>IF(G377="S",1,0)</f>
        <v>1</v>
      </c>
      <c r="AB377">
        <f>IF(G377="U",1,0)</f>
        <v>0</v>
      </c>
      <c r="AC377" s="5">
        <f>IF(AND(ISNUMBER(H377),NOT(ISNUMBER(P377))),1,0)</f>
        <v>0</v>
      </c>
      <c r="AD377" s="5">
        <f>IF(AND(ISNUMBER(H377),ISNUMBER(P377)),1,0)</f>
        <v>0</v>
      </c>
      <c r="AE377" s="5">
        <f>W377</f>
        <v>0.25</v>
      </c>
      <c r="AF377" s="5">
        <f>X377</f>
        <v>1.4279999999999999</v>
      </c>
      <c r="AG377" s="5">
        <f>Y377</f>
        <v>0</v>
      </c>
      <c r="AH377" s="5">
        <f>IF(OR(G377="C",G377="S",G377="U"),1,0)</f>
        <v>1</v>
      </c>
      <c r="AI377" s="5">
        <f>IF(ISNUMBER(H377),1,0)</f>
        <v>0</v>
      </c>
      <c r="AJ377" s="5">
        <f>IF(ISNUMBER(P377),1,0)</f>
        <v>1</v>
      </c>
      <c r="AK377" s="5" t="str">
        <f>IF(AI377=1,IF(J377&gt;0,1,0),"")</f>
        <v/>
      </c>
      <c r="AL377" s="5">
        <f>IF(AJ377=1,IF(OR(Q377&gt;0,R377&gt;0),1,0),"")</f>
        <v>1</v>
      </c>
    </row>
    <row r="378" spans="1:38">
      <c r="A378">
        <v>356775</v>
      </c>
      <c r="B378" t="s">
        <v>484</v>
      </c>
      <c r="C378" t="s">
        <v>23</v>
      </c>
      <c r="D378" t="s">
        <v>24</v>
      </c>
      <c r="E378">
        <v>50</v>
      </c>
      <c r="F378">
        <v>2489354</v>
      </c>
      <c r="H378" t="s">
        <v>26</v>
      </c>
      <c r="I378" t="s">
        <v>26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>
        <v>1</v>
      </c>
      <c r="Q378">
        <v>0</v>
      </c>
      <c r="R378">
        <v>1</v>
      </c>
      <c r="S378">
        <v>0</v>
      </c>
      <c r="T378">
        <v>0.4017</v>
      </c>
      <c r="U378">
        <v>0.02</v>
      </c>
      <c r="V378">
        <v>1</v>
      </c>
      <c r="W378">
        <f>E378/100</f>
        <v>0.5</v>
      </c>
      <c r="X378">
        <f>F378/1000000</f>
        <v>2.4893540000000001</v>
      </c>
      <c r="Y378">
        <f>IF(D378="C",1,0)</f>
        <v>0</v>
      </c>
      <c r="Z378">
        <f>IF(G378="C",1,0)</f>
        <v>0</v>
      </c>
      <c r="AA378">
        <f>IF(G378="S",1,0)</f>
        <v>0</v>
      </c>
      <c r="AB378">
        <f>IF(G378="U",1,0)</f>
        <v>0</v>
      </c>
      <c r="AC378" s="5">
        <f>IF(AND(ISNUMBER(H378),NOT(ISNUMBER(P378))),1,0)</f>
        <v>0</v>
      </c>
      <c r="AD378" s="5">
        <f>IF(AND(ISNUMBER(H378),ISNUMBER(P378)),1,0)</f>
        <v>0</v>
      </c>
      <c r="AE378" s="5">
        <f>W378</f>
        <v>0.5</v>
      </c>
      <c r="AF378" s="5">
        <f>X378</f>
        <v>2.4893540000000001</v>
      </c>
      <c r="AG378" s="5">
        <f>Y378</f>
        <v>0</v>
      </c>
      <c r="AH378" s="5">
        <f>IF(OR(G378="C",G378="S",G378="U"),1,0)</f>
        <v>0</v>
      </c>
      <c r="AI378" s="5">
        <f>IF(ISNUMBER(H378),1,0)</f>
        <v>0</v>
      </c>
      <c r="AJ378" s="5">
        <f>IF(ISNUMBER(P378),1,0)</f>
        <v>1</v>
      </c>
      <c r="AK378" s="5" t="str">
        <f>IF(AI378=1,IF(J378&gt;0,1,0),"")</f>
        <v/>
      </c>
      <c r="AL378" s="5">
        <f>IF(AJ378=1,IF(OR(Q378&gt;0,R378&gt;0),1,0),"")</f>
        <v>1</v>
      </c>
    </row>
    <row r="379" spans="1:38">
      <c r="A379">
        <v>356903</v>
      </c>
      <c r="B379" t="s">
        <v>485</v>
      </c>
      <c r="C379" t="s">
        <v>162</v>
      </c>
      <c r="D379" t="s">
        <v>24</v>
      </c>
      <c r="E379">
        <v>71</v>
      </c>
      <c r="F379">
        <v>8567488</v>
      </c>
      <c r="G379" t="s">
        <v>25</v>
      </c>
      <c r="H379" t="s">
        <v>26</v>
      </c>
      <c r="I379" t="s">
        <v>26</v>
      </c>
      <c r="J379" t="s">
        <v>26</v>
      </c>
      <c r="K379" t="s">
        <v>26</v>
      </c>
      <c r="L379" t="s">
        <v>26</v>
      </c>
      <c r="M379" t="s">
        <v>26</v>
      </c>
      <c r="N379" t="s">
        <v>26</v>
      </c>
      <c r="O379" t="s">
        <v>26</v>
      </c>
      <c r="P379">
        <v>1</v>
      </c>
      <c r="Q379">
        <v>0</v>
      </c>
      <c r="R379">
        <v>0</v>
      </c>
      <c r="S379">
        <v>1</v>
      </c>
      <c r="T379">
        <v>0.1167</v>
      </c>
      <c r="U379">
        <v>1.41E-2</v>
      </c>
      <c r="V379">
        <v>0</v>
      </c>
      <c r="W379">
        <f>E379/100</f>
        <v>0.71</v>
      </c>
      <c r="X379">
        <f>F379/1000000</f>
        <v>8.5674880000000009</v>
      </c>
      <c r="Y379">
        <f>IF(D379="C",1,0)</f>
        <v>0</v>
      </c>
      <c r="Z379">
        <f>IF(G379="C",1,0)</f>
        <v>0</v>
      </c>
      <c r="AA379">
        <f>IF(G379="S",1,0)</f>
        <v>1</v>
      </c>
      <c r="AB379">
        <f>IF(G379="U",1,0)</f>
        <v>0</v>
      </c>
      <c r="AC379" s="5">
        <f>IF(AND(ISNUMBER(H379),NOT(ISNUMBER(P379))),1,0)</f>
        <v>0</v>
      </c>
      <c r="AD379" s="5">
        <f>IF(AND(ISNUMBER(H379),ISNUMBER(P379)),1,0)</f>
        <v>0</v>
      </c>
      <c r="AE379" s="5">
        <f>W379</f>
        <v>0.71</v>
      </c>
      <c r="AF379" s="5">
        <f>X379</f>
        <v>8.5674880000000009</v>
      </c>
      <c r="AG379" s="5">
        <f>Y379</f>
        <v>0</v>
      </c>
      <c r="AH379" s="5">
        <f>IF(OR(G379="C",G379="S",G379="U"),1,0)</f>
        <v>1</v>
      </c>
      <c r="AI379" s="5">
        <f>IF(ISNUMBER(H379),1,0)</f>
        <v>0</v>
      </c>
      <c r="AJ379" s="5">
        <f>IF(ISNUMBER(P379),1,0)</f>
        <v>1</v>
      </c>
      <c r="AK379" s="5" t="str">
        <f>IF(AI379=1,IF(J379&gt;0,1,0),"")</f>
        <v/>
      </c>
      <c r="AL379" s="5">
        <f>IF(AJ379=1,IF(OR(Q379&gt;0,R379&gt;0),1,0),"")</f>
        <v>0</v>
      </c>
    </row>
    <row r="380" spans="1:38">
      <c r="A380">
        <v>357913</v>
      </c>
      <c r="B380" t="s">
        <v>486</v>
      </c>
      <c r="C380" t="s">
        <v>37</v>
      </c>
      <c r="D380" t="s">
        <v>24</v>
      </c>
      <c r="E380">
        <v>10</v>
      </c>
      <c r="F380">
        <v>197271</v>
      </c>
      <c r="G380" t="s">
        <v>25</v>
      </c>
      <c r="H380" t="s">
        <v>26</v>
      </c>
      <c r="I380" t="s">
        <v>26</v>
      </c>
      <c r="J380" t="s">
        <v>26</v>
      </c>
      <c r="K380" t="s">
        <v>26</v>
      </c>
      <c r="L380" t="s">
        <v>26</v>
      </c>
      <c r="M380" t="s">
        <v>26</v>
      </c>
      <c r="N380" t="s">
        <v>26</v>
      </c>
      <c r="O380" t="s">
        <v>26</v>
      </c>
      <c r="P380">
        <v>1</v>
      </c>
      <c r="Q380">
        <v>0</v>
      </c>
      <c r="R380">
        <v>1</v>
      </c>
      <c r="S380">
        <v>1</v>
      </c>
      <c r="T380">
        <v>5.0692000000000004</v>
      </c>
      <c r="U380">
        <v>0.1</v>
      </c>
      <c r="V380">
        <v>1</v>
      </c>
      <c r="W380">
        <f>E380/100</f>
        <v>0.1</v>
      </c>
      <c r="X380">
        <f>F380/1000000</f>
        <v>0.197271</v>
      </c>
      <c r="Y380">
        <f>IF(D380="C",1,0)</f>
        <v>0</v>
      </c>
      <c r="Z380">
        <f>IF(G380="C",1,0)</f>
        <v>0</v>
      </c>
      <c r="AA380">
        <f>IF(G380="S",1,0)</f>
        <v>1</v>
      </c>
      <c r="AB380">
        <f>IF(G380="U",1,0)</f>
        <v>0</v>
      </c>
      <c r="AC380" s="5">
        <f>IF(AND(ISNUMBER(H380),NOT(ISNUMBER(P380))),1,0)</f>
        <v>0</v>
      </c>
      <c r="AD380" s="5">
        <f>IF(AND(ISNUMBER(H380),ISNUMBER(P380)),1,0)</f>
        <v>0</v>
      </c>
      <c r="AE380" s="5">
        <f>W380</f>
        <v>0.1</v>
      </c>
      <c r="AF380" s="5">
        <f>X380</f>
        <v>0.197271</v>
      </c>
      <c r="AG380" s="5">
        <f>Y380</f>
        <v>0</v>
      </c>
      <c r="AH380" s="5">
        <f>IF(OR(G380="C",G380="S",G380="U"),1,0)</f>
        <v>1</v>
      </c>
      <c r="AI380" s="5">
        <f>IF(ISNUMBER(H380),1,0)</f>
        <v>0</v>
      </c>
      <c r="AJ380" s="5">
        <f>IF(ISNUMBER(P380),1,0)</f>
        <v>1</v>
      </c>
      <c r="AK380" s="5" t="str">
        <f>IF(AI380=1,IF(J380&gt;0,1,0),"")</f>
        <v/>
      </c>
      <c r="AL380" s="5">
        <f>IF(AJ380=1,IF(OR(Q380&gt;0,R380&gt;0),1,0),"")</f>
        <v>1</v>
      </c>
    </row>
    <row r="381" spans="1:38">
      <c r="A381">
        <v>359782</v>
      </c>
      <c r="B381" t="s">
        <v>487</v>
      </c>
      <c r="C381" t="s">
        <v>212</v>
      </c>
      <c r="D381" t="s">
        <v>24</v>
      </c>
      <c r="E381">
        <v>15</v>
      </c>
      <c r="F381">
        <v>1276289</v>
      </c>
      <c r="G381" t="s">
        <v>25</v>
      </c>
      <c r="H381" t="s">
        <v>26</v>
      </c>
      <c r="I381" t="s">
        <v>26</v>
      </c>
      <c r="J381" t="s">
        <v>26</v>
      </c>
      <c r="K381" t="s">
        <v>26</v>
      </c>
      <c r="L381" t="s">
        <v>26</v>
      </c>
      <c r="M381" t="s">
        <v>26</v>
      </c>
      <c r="N381" t="s">
        <v>26</v>
      </c>
      <c r="O381" t="s">
        <v>26</v>
      </c>
      <c r="P381">
        <v>1</v>
      </c>
      <c r="Q381">
        <v>0</v>
      </c>
      <c r="R381">
        <v>0</v>
      </c>
      <c r="S381">
        <v>1</v>
      </c>
      <c r="T381">
        <v>0.78349999999999997</v>
      </c>
      <c r="U381">
        <v>6.6699999999999995E-2</v>
      </c>
      <c r="V381">
        <v>0</v>
      </c>
      <c r="W381">
        <f>E381/100</f>
        <v>0.15</v>
      </c>
      <c r="X381">
        <f>F381/1000000</f>
        <v>1.276289</v>
      </c>
      <c r="Y381">
        <f>IF(D381="C",1,0)</f>
        <v>0</v>
      </c>
      <c r="Z381">
        <f>IF(G381="C",1,0)</f>
        <v>0</v>
      </c>
      <c r="AA381">
        <f>IF(G381="S",1,0)</f>
        <v>1</v>
      </c>
      <c r="AB381">
        <f>IF(G381="U",1,0)</f>
        <v>0</v>
      </c>
      <c r="AC381" s="5">
        <f>IF(AND(ISNUMBER(H381),NOT(ISNUMBER(P381))),1,0)</f>
        <v>0</v>
      </c>
      <c r="AD381" s="5">
        <f>IF(AND(ISNUMBER(H381),ISNUMBER(P381)),1,0)</f>
        <v>0</v>
      </c>
      <c r="AE381" s="5">
        <f>W381</f>
        <v>0.15</v>
      </c>
      <c r="AF381" s="5">
        <f>X381</f>
        <v>1.276289</v>
      </c>
      <c r="AG381" s="5">
        <f>Y381</f>
        <v>0</v>
      </c>
      <c r="AH381" s="5">
        <f>IF(OR(G381="C",G381="S",G381="U"),1,0)</f>
        <v>1</v>
      </c>
      <c r="AI381" s="5">
        <f>IF(ISNUMBER(H381),1,0)</f>
        <v>0</v>
      </c>
      <c r="AJ381" s="5">
        <f>IF(ISNUMBER(P381),1,0)</f>
        <v>1</v>
      </c>
      <c r="AK381" s="5" t="str">
        <f>IF(AI381=1,IF(J381&gt;0,1,0),"")</f>
        <v/>
      </c>
      <c r="AL381" s="5">
        <f>IF(AJ381=1,IF(OR(Q381&gt;0,R381&gt;0),1,0),"")</f>
        <v>0</v>
      </c>
    </row>
    <row r="382" spans="1:38">
      <c r="A382">
        <v>364000</v>
      </c>
      <c r="B382" t="s">
        <v>488</v>
      </c>
      <c r="C382" t="s">
        <v>23</v>
      </c>
      <c r="D382" t="s">
        <v>33</v>
      </c>
      <c r="E382">
        <v>276</v>
      </c>
      <c r="F382">
        <v>2525500</v>
      </c>
      <c r="H382" t="s">
        <v>26</v>
      </c>
      <c r="I382" t="s">
        <v>26</v>
      </c>
      <c r="J382" t="s">
        <v>26</v>
      </c>
      <c r="K382" t="s">
        <v>26</v>
      </c>
      <c r="L382" t="s">
        <v>26</v>
      </c>
      <c r="M382" t="s">
        <v>26</v>
      </c>
      <c r="N382" t="s">
        <v>26</v>
      </c>
      <c r="O382" t="s">
        <v>26</v>
      </c>
      <c r="P382">
        <v>1</v>
      </c>
      <c r="Q382">
        <v>0</v>
      </c>
      <c r="R382">
        <v>0</v>
      </c>
      <c r="S382">
        <v>1</v>
      </c>
      <c r="T382">
        <v>0.39600000000000002</v>
      </c>
      <c r="U382">
        <v>3.5999999999999999E-3</v>
      </c>
      <c r="V382">
        <v>0</v>
      </c>
      <c r="W382">
        <f>E382/100</f>
        <v>2.76</v>
      </c>
      <c r="X382">
        <f>F382/1000000</f>
        <v>2.5255000000000001</v>
      </c>
      <c r="Y382">
        <f>IF(D382="C",1,0)</f>
        <v>1</v>
      </c>
      <c r="Z382">
        <f>IF(G382="C",1,0)</f>
        <v>0</v>
      </c>
      <c r="AA382">
        <f>IF(G382="S",1,0)</f>
        <v>0</v>
      </c>
      <c r="AB382">
        <f>IF(G382="U",1,0)</f>
        <v>0</v>
      </c>
      <c r="AC382" s="5">
        <f>IF(AND(ISNUMBER(H382),NOT(ISNUMBER(P382))),1,0)</f>
        <v>0</v>
      </c>
      <c r="AD382" s="5">
        <f>IF(AND(ISNUMBER(H382),ISNUMBER(P382)),1,0)</f>
        <v>0</v>
      </c>
      <c r="AE382" s="5">
        <f>W382</f>
        <v>2.76</v>
      </c>
      <c r="AF382" s="5">
        <f>X382</f>
        <v>2.5255000000000001</v>
      </c>
      <c r="AG382" s="5">
        <f>Y382</f>
        <v>1</v>
      </c>
      <c r="AH382" s="5">
        <f>IF(OR(G382="C",G382="S",G382="U"),1,0)</f>
        <v>0</v>
      </c>
      <c r="AI382" s="5">
        <f>IF(ISNUMBER(H382),1,0)</f>
        <v>0</v>
      </c>
      <c r="AJ382" s="5">
        <f>IF(ISNUMBER(P382),1,0)</f>
        <v>1</v>
      </c>
      <c r="AK382" s="5" t="str">
        <f>IF(AI382=1,IF(J382&gt;0,1,0),"")</f>
        <v/>
      </c>
      <c r="AL382" s="5">
        <f>IF(AJ382=1,IF(OR(Q382&gt;0,R382&gt;0),1,0),"")</f>
        <v>0</v>
      </c>
    </row>
    <row r="383" spans="1:38">
      <c r="A383">
        <v>364179</v>
      </c>
      <c r="B383" t="s">
        <v>489</v>
      </c>
      <c r="C383" t="s">
        <v>23</v>
      </c>
      <c r="D383" t="s">
        <v>24</v>
      </c>
      <c r="E383">
        <v>7</v>
      </c>
      <c r="F383">
        <v>206605</v>
      </c>
      <c r="G383" t="s">
        <v>25</v>
      </c>
      <c r="H383" t="s">
        <v>26</v>
      </c>
      <c r="I383" t="s">
        <v>26</v>
      </c>
      <c r="J383" t="s">
        <v>26</v>
      </c>
      <c r="K383" t="s">
        <v>26</v>
      </c>
      <c r="L383" t="s">
        <v>26</v>
      </c>
      <c r="M383" t="s">
        <v>26</v>
      </c>
      <c r="N383" t="s">
        <v>26</v>
      </c>
      <c r="O383" t="s">
        <v>26</v>
      </c>
      <c r="P383">
        <v>1</v>
      </c>
      <c r="Q383">
        <v>0</v>
      </c>
      <c r="R383">
        <v>0</v>
      </c>
      <c r="S383">
        <v>1</v>
      </c>
      <c r="T383">
        <v>4.8402000000000003</v>
      </c>
      <c r="U383">
        <v>0.1429</v>
      </c>
      <c r="V383">
        <v>0</v>
      </c>
      <c r="W383">
        <f>E383/100</f>
        <v>7.0000000000000007E-2</v>
      </c>
      <c r="X383">
        <f>F383/1000000</f>
        <v>0.20660500000000001</v>
      </c>
      <c r="Y383">
        <f>IF(D383="C",1,0)</f>
        <v>0</v>
      </c>
      <c r="Z383">
        <f>IF(G383="C",1,0)</f>
        <v>0</v>
      </c>
      <c r="AA383">
        <f>IF(G383="S",1,0)</f>
        <v>1</v>
      </c>
      <c r="AB383">
        <f>IF(G383="U",1,0)</f>
        <v>0</v>
      </c>
      <c r="AC383" s="5">
        <f>IF(AND(ISNUMBER(H383),NOT(ISNUMBER(P383))),1,0)</f>
        <v>0</v>
      </c>
      <c r="AD383" s="5">
        <f>IF(AND(ISNUMBER(H383),ISNUMBER(P383)),1,0)</f>
        <v>0</v>
      </c>
      <c r="AE383" s="5">
        <f>W383</f>
        <v>7.0000000000000007E-2</v>
      </c>
      <c r="AF383" s="5">
        <f>X383</f>
        <v>0.20660500000000001</v>
      </c>
      <c r="AG383" s="5">
        <f>Y383</f>
        <v>0</v>
      </c>
      <c r="AH383" s="5">
        <f>IF(OR(G383="C",G383="S",G383="U"),1,0)</f>
        <v>1</v>
      </c>
      <c r="AI383" s="5">
        <f>IF(ISNUMBER(H383),1,0)</f>
        <v>0</v>
      </c>
      <c r="AJ383" s="5">
        <f>IF(ISNUMBER(P383),1,0)</f>
        <v>1</v>
      </c>
      <c r="AK383" s="5" t="str">
        <f>IF(AI383=1,IF(J383&gt;0,1,0),"")</f>
        <v/>
      </c>
      <c r="AL383" s="5">
        <f>IF(AJ383=1,IF(OR(Q383&gt;0,R383&gt;0),1,0),"")</f>
        <v>0</v>
      </c>
    </row>
    <row r="384" spans="1:38">
      <c r="A384">
        <v>365127</v>
      </c>
      <c r="B384" t="s">
        <v>490</v>
      </c>
      <c r="C384" t="s">
        <v>23</v>
      </c>
      <c r="D384" t="s">
        <v>33</v>
      </c>
      <c r="E384">
        <v>7</v>
      </c>
      <c r="F384">
        <v>468000</v>
      </c>
      <c r="H384" t="s">
        <v>26</v>
      </c>
      <c r="I384" t="s">
        <v>26</v>
      </c>
      <c r="J384" t="s">
        <v>26</v>
      </c>
      <c r="K384" t="s">
        <v>26</v>
      </c>
      <c r="L384" t="s">
        <v>26</v>
      </c>
      <c r="M384" t="s">
        <v>26</v>
      </c>
      <c r="N384" t="s">
        <v>26</v>
      </c>
      <c r="O384" t="s">
        <v>26</v>
      </c>
      <c r="P384">
        <v>1</v>
      </c>
      <c r="Q384">
        <v>0</v>
      </c>
      <c r="R384">
        <v>1</v>
      </c>
      <c r="S384">
        <v>1</v>
      </c>
      <c r="T384">
        <v>2.1368</v>
      </c>
      <c r="U384">
        <v>0.1429</v>
      </c>
      <c r="V384">
        <v>1</v>
      </c>
      <c r="W384">
        <f>E384/100</f>
        <v>7.0000000000000007E-2</v>
      </c>
      <c r="X384">
        <f>F384/1000000</f>
        <v>0.46800000000000003</v>
      </c>
      <c r="Y384">
        <f>IF(D384="C",1,0)</f>
        <v>1</v>
      </c>
      <c r="Z384">
        <f>IF(G384="C",1,0)</f>
        <v>0</v>
      </c>
      <c r="AA384">
        <f>IF(G384="S",1,0)</f>
        <v>0</v>
      </c>
      <c r="AB384">
        <f>IF(G384="U",1,0)</f>
        <v>0</v>
      </c>
      <c r="AC384" s="5">
        <f>IF(AND(ISNUMBER(H384),NOT(ISNUMBER(P384))),1,0)</f>
        <v>0</v>
      </c>
      <c r="AD384" s="5">
        <f>IF(AND(ISNUMBER(H384),ISNUMBER(P384)),1,0)</f>
        <v>0</v>
      </c>
      <c r="AE384" s="5">
        <f>W384</f>
        <v>7.0000000000000007E-2</v>
      </c>
      <c r="AF384" s="5">
        <f>X384</f>
        <v>0.46800000000000003</v>
      </c>
      <c r="AG384" s="5">
        <f>Y384</f>
        <v>1</v>
      </c>
      <c r="AH384" s="5">
        <f>IF(OR(G384="C",G384="S",G384="U"),1,0)</f>
        <v>0</v>
      </c>
      <c r="AI384" s="5">
        <f>IF(ISNUMBER(H384),1,0)</f>
        <v>0</v>
      </c>
      <c r="AJ384" s="5">
        <f>IF(ISNUMBER(P384),1,0)</f>
        <v>1</v>
      </c>
      <c r="AK384" s="5" t="str">
        <f>IF(AI384=1,IF(J384&gt;0,1,0),"")</f>
        <v/>
      </c>
      <c r="AL384" s="5">
        <f>IF(AJ384=1,IF(OR(Q384&gt;0,R384&gt;0),1,0),"")</f>
        <v>1</v>
      </c>
    </row>
    <row r="385" spans="1:38">
      <c r="A385">
        <v>365209</v>
      </c>
      <c r="B385" t="s">
        <v>491</v>
      </c>
      <c r="C385" t="s">
        <v>37</v>
      </c>
      <c r="D385" t="s">
        <v>33</v>
      </c>
      <c r="E385">
        <v>1</v>
      </c>
      <c r="F385">
        <v>76003</v>
      </c>
      <c r="H385" t="s">
        <v>26</v>
      </c>
      <c r="I385" t="s">
        <v>26</v>
      </c>
      <c r="J385" t="s">
        <v>26</v>
      </c>
      <c r="K385" t="s">
        <v>26</v>
      </c>
      <c r="L385" t="s">
        <v>26</v>
      </c>
      <c r="M385" t="s">
        <v>26</v>
      </c>
      <c r="N385" t="s">
        <v>26</v>
      </c>
      <c r="O385" t="s">
        <v>26</v>
      </c>
      <c r="P385">
        <v>1</v>
      </c>
      <c r="Q385">
        <v>0</v>
      </c>
      <c r="R385">
        <v>0</v>
      </c>
      <c r="S385">
        <v>1</v>
      </c>
      <c r="T385">
        <v>13.157400000000001</v>
      </c>
      <c r="U385">
        <v>1</v>
      </c>
      <c r="V385">
        <v>0</v>
      </c>
      <c r="W385">
        <f>E385/100</f>
        <v>0.01</v>
      </c>
      <c r="X385">
        <f>F385/1000000</f>
        <v>7.6003000000000001E-2</v>
      </c>
      <c r="Y385">
        <f>IF(D385="C",1,0)</f>
        <v>1</v>
      </c>
      <c r="Z385">
        <f>IF(G385="C",1,0)</f>
        <v>0</v>
      </c>
      <c r="AA385">
        <f>IF(G385="S",1,0)</f>
        <v>0</v>
      </c>
      <c r="AB385">
        <f>IF(G385="U",1,0)</f>
        <v>0</v>
      </c>
      <c r="AC385" s="5">
        <f>IF(AND(ISNUMBER(H385),NOT(ISNUMBER(P385))),1,0)</f>
        <v>0</v>
      </c>
      <c r="AD385" s="5">
        <f>IF(AND(ISNUMBER(H385),ISNUMBER(P385)),1,0)</f>
        <v>0</v>
      </c>
      <c r="AE385" s="5">
        <f>W385</f>
        <v>0.01</v>
      </c>
      <c r="AF385" s="5">
        <f>X385</f>
        <v>7.6003000000000001E-2</v>
      </c>
      <c r="AG385" s="5">
        <f>Y385</f>
        <v>1</v>
      </c>
      <c r="AH385" s="5">
        <f>IF(OR(G385="C",G385="S",G385="U"),1,0)</f>
        <v>0</v>
      </c>
      <c r="AI385" s="5">
        <f>IF(ISNUMBER(H385),1,0)</f>
        <v>0</v>
      </c>
      <c r="AJ385" s="5">
        <f>IF(ISNUMBER(P385),1,0)</f>
        <v>1</v>
      </c>
      <c r="AK385" s="5" t="str">
        <f>IF(AI385=1,IF(J385&gt;0,1,0),"")</f>
        <v/>
      </c>
      <c r="AL385" s="5">
        <f>IF(AJ385=1,IF(OR(Q385&gt;0,R385&gt;0),1,0),"")</f>
        <v>0</v>
      </c>
    </row>
    <row r="386" spans="1:38">
      <c r="A386">
        <v>366575</v>
      </c>
      <c r="B386" t="s">
        <v>492</v>
      </c>
      <c r="C386" t="s">
        <v>93</v>
      </c>
      <c r="D386" t="s">
        <v>24</v>
      </c>
      <c r="E386">
        <v>6</v>
      </c>
      <c r="F386">
        <v>100000</v>
      </c>
      <c r="G386" t="s">
        <v>25</v>
      </c>
      <c r="H386" t="s">
        <v>26</v>
      </c>
      <c r="I386" t="s">
        <v>26</v>
      </c>
      <c r="J386" t="s">
        <v>26</v>
      </c>
      <c r="K386" t="s">
        <v>26</v>
      </c>
      <c r="L386" t="s">
        <v>26</v>
      </c>
      <c r="M386" t="s">
        <v>26</v>
      </c>
      <c r="N386" t="s">
        <v>26</v>
      </c>
      <c r="O386" t="s">
        <v>26</v>
      </c>
      <c r="P386">
        <v>1</v>
      </c>
      <c r="Q386">
        <v>0</v>
      </c>
      <c r="R386">
        <v>1</v>
      </c>
      <c r="S386">
        <v>0</v>
      </c>
      <c r="T386">
        <v>10</v>
      </c>
      <c r="U386">
        <v>0.16669999999999999</v>
      </c>
      <c r="V386">
        <v>1</v>
      </c>
      <c r="W386">
        <f>E386/100</f>
        <v>0.06</v>
      </c>
      <c r="X386">
        <f>F386/1000000</f>
        <v>0.1</v>
      </c>
      <c r="Y386">
        <f>IF(D386="C",1,0)</f>
        <v>0</v>
      </c>
      <c r="Z386">
        <f>IF(G386="C",1,0)</f>
        <v>0</v>
      </c>
      <c r="AA386">
        <f>IF(G386="S",1,0)</f>
        <v>1</v>
      </c>
      <c r="AB386">
        <f>IF(G386="U",1,0)</f>
        <v>0</v>
      </c>
      <c r="AC386" s="5">
        <f>IF(AND(ISNUMBER(H386),NOT(ISNUMBER(P386))),1,0)</f>
        <v>0</v>
      </c>
      <c r="AD386" s="5">
        <f>IF(AND(ISNUMBER(H386),ISNUMBER(P386)),1,0)</f>
        <v>0</v>
      </c>
      <c r="AE386" s="5">
        <f>W386</f>
        <v>0.06</v>
      </c>
      <c r="AF386" s="5">
        <f>X386</f>
        <v>0.1</v>
      </c>
      <c r="AG386" s="5">
        <f>Y386</f>
        <v>0</v>
      </c>
      <c r="AH386" s="5">
        <f>IF(OR(G386="C",G386="S",G386="U"),1,0)</f>
        <v>1</v>
      </c>
      <c r="AI386" s="5">
        <f>IF(ISNUMBER(H386),1,0)</f>
        <v>0</v>
      </c>
      <c r="AJ386" s="5">
        <f>IF(ISNUMBER(P386),1,0)</f>
        <v>1</v>
      </c>
      <c r="AK386" s="5" t="str">
        <f>IF(AI386=1,IF(J386&gt;0,1,0),"")</f>
        <v/>
      </c>
      <c r="AL386" s="5">
        <f>IF(AJ386=1,IF(OR(Q386&gt;0,R386&gt;0),1,0),"")</f>
        <v>1</v>
      </c>
    </row>
    <row r="387" spans="1:38">
      <c r="A387">
        <v>367304</v>
      </c>
      <c r="B387" t="s">
        <v>493</v>
      </c>
      <c r="C387" t="s">
        <v>40</v>
      </c>
      <c r="D387" t="s">
        <v>24</v>
      </c>
      <c r="E387">
        <v>3</v>
      </c>
      <c r="F387">
        <v>200000</v>
      </c>
      <c r="G387" t="s">
        <v>25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>
        <v>1</v>
      </c>
      <c r="Q387">
        <v>0</v>
      </c>
      <c r="R387">
        <v>1</v>
      </c>
      <c r="S387">
        <v>0</v>
      </c>
      <c r="T387">
        <v>5</v>
      </c>
      <c r="U387">
        <v>0.33329999999999999</v>
      </c>
      <c r="V387">
        <v>1</v>
      </c>
      <c r="W387">
        <f>E387/100</f>
        <v>0.03</v>
      </c>
      <c r="X387">
        <f>F387/1000000</f>
        <v>0.2</v>
      </c>
      <c r="Y387">
        <f>IF(D387="C",1,0)</f>
        <v>0</v>
      </c>
      <c r="Z387">
        <f>IF(G387="C",1,0)</f>
        <v>0</v>
      </c>
      <c r="AA387">
        <f>IF(G387="S",1,0)</f>
        <v>1</v>
      </c>
      <c r="AB387">
        <f>IF(G387="U",1,0)</f>
        <v>0</v>
      </c>
      <c r="AC387" s="5">
        <f>IF(AND(ISNUMBER(H387),NOT(ISNUMBER(P387))),1,0)</f>
        <v>0</v>
      </c>
      <c r="AD387" s="5">
        <f>IF(AND(ISNUMBER(H387),ISNUMBER(P387)),1,0)</f>
        <v>0</v>
      </c>
      <c r="AE387" s="5">
        <f>W387</f>
        <v>0.03</v>
      </c>
      <c r="AF387" s="5">
        <f>X387</f>
        <v>0.2</v>
      </c>
      <c r="AG387" s="5">
        <f>Y387</f>
        <v>0</v>
      </c>
      <c r="AH387" s="5">
        <f>IF(OR(G387="C",G387="S",G387="U"),1,0)</f>
        <v>1</v>
      </c>
      <c r="AI387" s="5">
        <f>IF(ISNUMBER(H387),1,0)</f>
        <v>0</v>
      </c>
      <c r="AJ387" s="5">
        <f>IF(ISNUMBER(P387),1,0)</f>
        <v>1</v>
      </c>
      <c r="AK387" s="5" t="str">
        <f>IF(AI387=1,IF(J387&gt;0,1,0),"")</f>
        <v/>
      </c>
      <c r="AL387" s="5">
        <f>IF(AJ387=1,IF(OR(Q387&gt;0,R387&gt;0),1,0),"")</f>
        <v>1</v>
      </c>
    </row>
    <row r="388" spans="1:38">
      <c r="A388">
        <v>368053</v>
      </c>
      <c r="B388" t="s">
        <v>494</v>
      </c>
      <c r="C388" t="s">
        <v>82</v>
      </c>
      <c r="D388" t="s">
        <v>33</v>
      </c>
      <c r="E388">
        <v>2</v>
      </c>
      <c r="F388">
        <v>10000</v>
      </c>
      <c r="H388" t="s">
        <v>26</v>
      </c>
      <c r="I388" t="s">
        <v>26</v>
      </c>
      <c r="J388" t="s">
        <v>26</v>
      </c>
      <c r="K388" t="s">
        <v>26</v>
      </c>
      <c r="L388" t="s">
        <v>26</v>
      </c>
      <c r="M388" t="s">
        <v>26</v>
      </c>
      <c r="N388" t="s">
        <v>26</v>
      </c>
      <c r="O388" t="s">
        <v>26</v>
      </c>
      <c r="P388">
        <v>1</v>
      </c>
      <c r="Q388">
        <v>0</v>
      </c>
      <c r="R388">
        <v>1</v>
      </c>
      <c r="S388">
        <v>1</v>
      </c>
      <c r="T388">
        <v>100</v>
      </c>
      <c r="U388">
        <v>0.5</v>
      </c>
      <c r="V388">
        <v>1</v>
      </c>
      <c r="W388">
        <f>E388/100</f>
        <v>0.02</v>
      </c>
      <c r="X388">
        <f>F388/1000000</f>
        <v>0.01</v>
      </c>
      <c r="Y388">
        <f>IF(D388="C",1,0)</f>
        <v>1</v>
      </c>
      <c r="Z388">
        <f>IF(G388="C",1,0)</f>
        <v>0</v>
      </c>
      <c r="AA388">
        <f>IF(G388="S",1,0)</f>
        <v>0</v>
      </c>
      <c r="AB388">
        <f>IF(G388="U",1,0)</f>
        <v>0</v>
      </c>
      <c r="AC388" s="5">
        <f>IF(AND(ISNUMBER(H388),NOT(ISNUMBER(P388))),1,0)</f>
        <v>0</v>
      </c>
      <c r="AD388" s="5">
        <f>IF(AND(ISNUMBER(H388),ISNUMBER(P388)),1,0)</f>
        <v>0</v>
      </c>
      <c r="AE388" s="5">
        <f>W388</f>
        <v>0.02</v>
      </c>
      <c r="AF388" s="5">
        <f>X388</f>
        <v>0.01</v>
      </c>
      <c r="AG388" s="5">
        <f>Y388</f>
        <v>1</v>
      </c>
      <c r="AH388" s="5">
        <f>IF(OR(G388="C",G388="S",G388="U"),1,0)</f>
        <v>0</v>
      </c>
      <c r="AI388" s="5">
        <f>IF(ISNUMBER(H388),1,0)</f>
        <v>0</v>
      </c>
      <c r="AJ388" s="5">
        <f>IF(ISNUMBER(P388),1,0)</f>
        <v>1</v>
      </c>
      <c r="AK388" s="5" t="str">
        <f>IF(AI388=1,IF(J388&gt;0,1,0),"")</f>
        <v/>
      </c>
      <c r="AL388" s="5">
        <f>IF(AJ388=1,IF(OR(Q388&gt;0,R388&gt;0),1,0),"")</f>
        <v>1</v>
      </c>
    </row>
    <row r="389" spans="1:38">
      <c r="A389">
        <v>369366</v>
      </c>
      <c r="B389" t="s">
        <v>498</v>
      </c>
      <c r="C389" t="s">
        <v>23</v>
      </c>
      <c r="D389" t="s">
        <v>24</v>
      </c>
      <c r="E389">
        <v>1</v>
      </c>
      <c r="F389">
        <v>7000</v>
      </c>
      <c r="G389" t="s">
        <v>25</v>
      </c>
      <c r="H389" t="s">
        <v>26</v>
      </c>
      <c r="I389" t="s">
        <v>26</v>
      </c>
      <c r="J389" t="s">
        <v>26</v>
      </c>
      <c r="K389" t="s">
        <v>26</v>
      </c>
      <c r="L389" t="s">
        <v>26</v>
      </c>
      <c r="M389" t="s">
        <v>26</v>
      </c>
      <c r="N389" t="s">
        <v>26</v>
      </c>
      <c r="O389" t="s">
        <v>26</v>
      </c>
      <c r="P389">
        <v>1</v>
      </c>
      <c r="Q389">
        <v>0</v>
      </c>
      <c r="R389">
        <v>1</v>
      </c>
      <c r="S389">
        <v>1</v>
      </c>
      <c r="T389">
        <v>142.8571</v>
      </c>
      <c r="U389">
        <v>1</v>
      </c>
      <c r="V389">
        <v>1</v>
      </c>
      <c r="W389">
        <f>E389/100</f>
        <v>0.01</v>
      </c>
      <c r="X389">
        <f>F389/1000000</f>
        <v>7.0000000000000001E-3</v>
      </c>
      <c r="Y389">
        <f>IF(D389="C",1,0)</f>
        <v>0</v>
      </c>
      <c r="Z389">
        <f>IF(G389="C",1,0)</f>
        <v>0</v>
      </c>
      <c r="AA389">
        <f>IF(G389="S",1,0)</f>
        <v>1</v>
      </c>
      <c r="AB389">
        <f>IF(G389="U",1,0)</f>
        <v>0</v>
      </c>
      <c r="AC389" s="5">
        <f>IF(AND(ISNUMBER(H389),NOT(ISNUMBER(P389))),1,0)</f>
        <v>0</v>
      </c>
      <c r="AD389" s="5">
        <f>IF(AND(ISNUMBER(H389),ISNUMBER(P389)),1,0)</f>
        <v>0</v>
      </c>
      <c r="AE389" s="5">
        <f>W389</f>
        <v>0.01</v>
      </c>
      <c r="AF389" s="5">
        <f>X389</f>
        <v>7.0000000000000001E-3</v>
      </c>
      <c r="AG389" s="5">
        <f>Y389</f>
        <v>0</v>
      </c>
      <c r="AH389" s="5">
        <f>IF(OR(G389="C",G389="S",G389="U"),1,0)</f>
        <v>1</v>
      </c>
      <c r="AI389" s="5">
        <f>IF(ISNUMBER(H389),1,0)</f>
        <v>0</v>
      </c>
      <c r="AJ389" s="5">
        <f>IF(ISNUMBER(P389),1,0)</f>
        <v>1</v>
      </c>
      <c r="AK389" s="5" t="str">
        <f>IF(AI389=1,IF(J389&gt;0,1,0),"")</f>
        <v/>
      </c>
      <c r="AL389" s="5">
        <f>IF(AJ389=1,IF(OR(Q389&gt;0,R389&gt;0),1,0),"")</f>
        <v>1</v>
      </c>
    </row>
    <row r="390" spans="1:38">
      <c r="A390">
        <v>369369</v>
      </c>
      <c r="B390" t="s">
        <v>499</v>
      </c>
      <c r="C390" t="s">
        <v>23</v>
      </c>
      <c r="D390" t="s">
        <v>24</v>
      </c>
      <c r="E390">
        <v>8</v>
      </c>
      <c r="F390">
        <v>1084067</v>
      </c>
      <c r="H390" t="s">
        <v>26</v>
      </c>
      <c r="I390" t="s">
        <v>26</v>
      </c>
      <c r="J390" t="s">
        <v>26</v>
      </c>
      <c r="K390" t="s">
        <v>26</v>
      </c>
      <c r="L390" t="s">
        <v>26</v>
      </c>
      <c r="M390" t="s">
        <v>26</v>
      </c>
      <c r="N390" t="s">
        <v>26</v>
      </c>
      <c r="O390" t="s">
        <v>26</v>
      </c>
      <c r="P390">
        <v>1</v>
      </c>
      <c r="Q390">
        <v>0</v>
      </c>
      <c r="R390">
        <v>0</v>
      </c>
      <c r="S390">
        <v>1</v>
      </c>
      <c r="T390">
        <v>0.92249999999999999</v>
      </c>
      <c r="U390">
        <v>0.125</v>
      </c>
      <c r="V390">
        <v>0</v>
      </c>
      <c r="W390">
        <f>E390/100</f>
        <v>0.08</v>
      </c>
      <c r="X390">
        <f>F390/1000000</f>
        <v>1.0840669999999999</v>
      </c>
      <c r="Y390">
        <f>IF(D390="C",1,0)</f>
        <v>0</v>
      </c>
      <c r="Z390">
        <f>IF(G390="C",1,0)</f>
        <v>0</v>
      </c>
      <c r="AA390">
        <f>IF(G390="S",1,0)</f>
        <v>0</v>
      </c>
      <c r="AB390">
        <f>IF(G390="U",1,0)</f>
        <v>0</v>
      </c>
      <c r="AC390" s="5">
        <f>IF(AND(ISNUMBER(H390),NOT(ISNUMBER(P390))),1,0)</f>
        <v>0</v>
      </c>
      <c r="AD390" s="5">
        <f>IF(AND(ISNUMBER(H390),ISNUMBER(P390)),1,0)</f>
        <v>0</v>
      </c>
      <c r="AE390" s="5">
        <f>W390</f>
        <v>0.08</v>
      </c>
      <c r="AF390" s="5">
        <f>X390</f>
        <v>1.0840669999999999</v>
      </c>
      <c r="AG390" s="5">
        <f>Y390</f>
        <v>0</v>
      </c>
      <c r="AH390" s="5">
        <f>IF(OR(G390="C",G390="S",G390="U"),1,0)</f>
        <v>0</v>
      </c>
      <c r="AI390" s="5">
        <f>IF(ISNUMBER(H390),1,0)</f>
        <v>0</v>
      </c>
      <c r="AJ390" s="5">
        <f>IF(ISNUMBER(P390),1,0)</f>
        <v>1</v>
      </c>
      <c r="AK390" s="5" t="str">
        <f>IF(AI390=1,IF(J390&gt;0,1,0),"")</f>
        <v/>
      </c>
      <c r="AL390" s="5">
        <f>IF(AJ390=1,IF(OR(Q390&gt;0,R390&gt;0),1,0),"")</f>
        <v>0</v>
      </c>
    </row>
    <row r="391" spans="1:38">
      <c r="A391">
        <v>370625</v>
      </c>
      <c r="B391" t="s">
        <v>500</v>
      </c>
      <c r="C391" t="s">
        <v>23</v>
      </c>
      <c r="D391" t="s">
        <v>33</v>
      </c>
      <c r="E391">
        <v>1</v>
      </c>
      <c r="F391">
        <v>4276</v>
      </c>
      <c r="H391" t="s">
        <v>26</v>
      </c>
      <c r="I391" t="s">
        <v>26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>
        <v>2</v>
      </c>
      <c r="Q391">
        <v>0</v>
      </c>
      <c r="R391">
        <v>1</v>
      </c>
      <c r="S391">
        <v>2</v>
      </c>
      <c r="T391">
        <v>467.72680000000003</v>
      </c>
      <c r="U391">
        <v>2</v>
      </c>
      <c r="V391">
        <v>1</v>
      </c>
      <c r="W391">
        <f>E391/100</f>
        <v>0.01</v>
      </c>
      <c r="X391">
        <f>F391/1000000</f>
        <v>4.2760000000000003E-3</v>
      </c>
      <c r="Y391">
        <f>IF(D391="C",1,0)</f>
        <v>1</v>
      </c>
      <c r="Z391">
        <f>IF(G391="C",1,0)</f>
        <v>0</v>
      </c>
      <c r="AA391">
        <f>IF(G391="S",1,0)</f>
        <v>0</v>
      </c>
      <c r="AB391">
        <f>IF(G391="U",1,0)</f>
        <v>0</v>
      </c>
      <c r="AC391" s="5">
        <f>IF(AND(ISNUMBER(H391),NOT(ISNUMBER(P391))),1,0)</f>
        <v>0</v>
      </c>
      <c r="AD391" s="5">
        <f>IF(AND(ISNUMBER(H391),ISNUMBER(P391)),1,0)</f>
        <v>0</v>
      </c>
      <c r="AE391" s="5">
        <f>W391</f>
        <v>0.01</v>
      </c>
      <c r="AF391" s="5">
        <f>X391</f>
        <v>4.2760000000000003E-3</v>
      </c>
      <c r="AG391" s="5">
        <f>Y391</f>
        <v>1</v>
      </c>
      <c r="AH391" s="5">
        <f>IF(OR(G391="C",G391="S",G391="U"),1,0)</f>
        <v>0</v>
      </c>
      <c r="AI391" s="5">
        <f>IF(ISNUMBER(H391),1,0)</f>
        <v>0</v>
      </c>
      <c r="AJ391" s="5">
        <f>IF(ISNUMBER(P391),1,0)</f>
        <v>1</v>
      </c>
      <c r="AK391" s="5" t="str">
        <f>IF(AI391=1,IF(J391&gt;0,1,0),"")</f>
        <v/>
      </c>
      <c r="AL391" s="5">
        <f>IF(AJ391=1,IF(OR(Q391&gt;0,R391&gt;0),1,0),"")</f>
        <v>1</v>
      </c>
    </row>
    <row r="392" spans="1:38">
      <c r="A392">
        <v>370785</v>
      </c>
      <c r="B392" t="s">
        <v>501</v>
      </c>
      <c r="C392" t="s">
        <v>23</v>
      </c>
      <c r="D392" t="s">
        <v>24</v>
      </c>
      <c r="E392">
        <v>9</v>
      </c>
      <c r="F392">
        <v>642000</v>
      </c>
      <c r="H392" t="s">
        <v>26</v>
      </c>
      <c r="I392" t="s">
        <v>26</v>
      </c>
      <c r="J392" t="s">
        <v>26</v>
      </c>
      <c r="K392" t="s">
        <v>26</v>
      </c>
      <c r="L392" t="s">
        <v>26</v>
      </c>
      <c r="M392" t="s">
        <v>26</v>
      </c>
      <c r="N392" t="s">
        <v>26</v>
      </c>
      <c r="O392" t="s">
        <v>26</v>
      </c>
      <c r="P392">
        <v>1</v>
      </c>
      <c r="Q392">
        <v>0</v>
      </c>
      <c r="R392">
        <v>0</v>
      </c>
      <c r="S392">
        <v>1</v>
      </c>
      <c r="T392">
        <v>1.5576000000000001</v>
      </c>
      <c r="U392">
        <v>0.1111</v>
      </c>
      <c r="V392">
        <v>0</v>
      </c>
      <c r="W392">
        <f>E392/100</f>
        <v>0.09</v>
      </c>
      <c r="X392">
        <f>F392/1000000</f>
        <v>0.64200000000000002</v>
      </c>
      <c r="Y392">
        <f>IF(D392="C",1,0)</f>
        <v>0</v>
      </c>
      <c r="Z392">
        <f>IF(G392="C",1,0)</f>
        <v>0</v>
      </c>
      <c r="AA392">
        <f>IF(G392="S",1,0)</f>
        <v>0</v>
      </c>
      <c r="AB392">
        <f>IF(G392="U",1,0)</f>
        <v>0</v>
      </c>
      <c r="AC392" s="5">
        <f>IF(AND(ISNUMBER(H392),NOT(ISNUMBER(P392))),1,0)</f>
        <v>0</v>
      </c>
      <c r="AD392" s="5">
        <f>IF(AND(ISNUMBER(H392),ISNUMBER(P392)),1,0)</f>
        <v>0</v>
      </c>
      <c r="AE392" s="5">
        <f>W392</f>
        <v>0.09</v>
      </c>
      <c r="AF392" s="5">
        <f>X392</f>
        <v>0.64200000000000002</v>
      </c>
      <c r="AG392" s="5">
        <f>Y392</f>
        <v>0</v>
      </c>
      <c r="AH392" s="5">
        <f>IF(OR(G392="C",G392="S",G392="U"),1,0)</f>
        <v>0</v>
      </c>
      <c r="AI392" s="5">
        <f>IF(ISNUMBER(H392),1,0)</f>
        <v>0</v>
      </c>
      <c r="AJ392" s="5">
        <f>IF(ISNUMBER(P392),1,0)</f>
        <v>1</v>
      </c>
      <c r="AK392" s="5" t="str">
        <f>IF(AI392=1,IF(J392&gt;0,1,0),"")</f>
        <v/>
      </c>
      <c r="AL392" s="5">
        <f>IF(AJ392=1,IF(OR(Q392&gt;0,R392&gt;0),1,0),"")</f>
        <v>0</v>
      </c>
    </row>
    <row r="393" spans="1:38">
      <c r="A393">
        <v>371886</v>
      </c>
      <c r="B393" t="s">
        <v>502</v>
      </c>
      <c r="C393" t="s">
        <v>82</v>
      </c>
      <c r="D393" t="s">
        <v>24</v>
      </c>
      <c r="E393">
        <v>85</v>
      </c>
      <c r="F393">
        <v>1590134</v>
      </c>
      <c r="G393" t="s">
        <v>25</v>
      </c>
      <c r="H393" t="s">
        <v>26</v>
      </c>
      <c r="I393" t="s">
        <v>26</v>
      </c>
      <c r="J393" t="s">
        <v>26</v>
      </c>
      <c r="K393" t="s">
        <v>26</v>
      </c>
      <c r="L393" t="s">
        <v>26</v>
      </c>
      <c r="M393" t="s">
        <v>26</v>
      </c>
      <c r="N393" t="s">
        <v>26</v>
      </c>
      <c r="O393" t="s">
        <v>26</v>
      </c>
      <c r="P393">
        <v>1</v>
      </c>
      <c r="Q393">
        <v>0</v>
      </c>
      <c r="R393">
        <v>1</v>
      </c>
      <c r="S393">
        <v>1</v>
      </c>
      <c r="T393">
        <v>0.62890000000000001</v>
      </c>
      <c r="U393">
        <v>1.18E-2</v>
      </c>
      <c r="V393">
        <v>1</v>
      </c>
      <c r="W393">
        <f>E393/100</f>
        <v>0.85</v>
      </c>
      <c r="X393">
        <f>F393/1000000</f>
        <v>1.5901339999999999</v>
      </c>
      <c r="Y393">
        <f>IF(D393="C",1,0)</f>
        <v>0</v>
      </c>
      <c r="Z393">
        <f>IF(G393="C",1,0)</f>
        <v>0</v>
      </c>
      <c r="AA393">
        <f>IF(G393="S",1,0)</f>
        <v>1</v>
      </c>
      <c r="AB393">
        <f>IF(G393="U",1,0)</f>
        <v>0</v>
      </c>
      <c r="AC393" s="5">
        <f>IF(AND(ISNUMBER(H393),NOT(ISNUMBER(P393))),1,0)</f>
        <v>0</v>
      </c>
      <c r="AD393" s="5">
        <f>IF(AND(ISNUMBER(H393),ISNUMBER(P393)),1,0)</f>
        <v>0</v>
      </c>
      <c r="AE393" s="5">
        <f>W393</f>
        <v>0.85</v>
      </c>
      <c r="AF393" s="5">
        <f>X393</f>
        <v>1.5901339999999999</v>
      </c>
      <c r="AG393" s="5">
        <f>Y393</f>
        <v>0</v>
      </c>
      <c r="AH393" s="5">
        <f>IF(OR(G393="C",G393="S",G393="U"),1,0)</f>
        <v>1</v>
      </c>
      <c r="AI393" s="5">
        <f>IF(ISNUMBER(H393),1,0)</f>
        <v>0</v>
      </c>
      <c r="AJ393" s="5">
        <f>IF(ISNUMBER(P393),1,0)</f>
        <v>1</v>
      </c>
      <c r="AK393" s="5" t="str">
        <f>IF(AI393=1,IF(J393&gt;0,1,0),"")</f>
        <v/>
      </c>
      <c r="AL393" s="5">
        <f>IF(AJ393=1,IF(OR(Q393&gt;0,R393&gt;0),1,0),"")</f>
        <v>1</v>
      </c>
    </row>
    <row r="394" spans="1:38">
      <c r="A394">
        <v>372475</v>
      </c>
      <c r="B394" t="s">
        <v>503</v>
      </c>
      <c r="C394" t="s">
        <v>23</v>
      </c>
      <c r="D394" t="s">
        <v>24</v>
      </c>
      <c r="E394">
        <v>54</v>
      </c>
      <c r="F394">
        <v>5709619</v>
      </c>
      <c r="G394" t="s">
        <v>25</v>
      </c>
      <c r="H394" t="s">
        <v>26</v>
      </c>
      <c r="I394" t="s">
        <v>26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>
        <v>1</v>
      </c>
      <c r="Q394">
        <v>0</v>
      </c>
      <c r="R394">
        <v>1</v>
      </c>
      <c r="S394">
        <v>1</v>
      </c>
      <c r="T394">
        <v>0.17510000000000001</v>
      </c>
      <c r="U394">
        <v>1.8499999999999999E-2</v>
      </c>
      <c r="V394">
        <v>1</v>
      </c>
      <c r="W394">
        <f>E394/100</f>
        <v>0.54</v>
      </c>
      <c r="X394">
        <f>F394/1000000</f>
        <v>5.709619</v>
      </c>
      <c r="Y394">
        <f>IF(D394="C",1,0)</f>
        <v>0</v>
      </c>
      <c r="Z394">
        <f>IF(G394="C",1,0)</f>
        <v>0</v>
      </c>
      <c r="AA394">
        <f>IF(G394="S",1,0)</f>
        <v>1</v>
      </c>
      <c r="AB394">
        <f>IF(G394="U",1,0)</f>
        <v>0</v>
      </c>
      <c r="AC394" s="5">
        <f>IF(AND(ISNUMBER(H394),NOT(ISNUMBER(P394))),1,0)</f>
        <v>0</v>
      </c>
      <c r="AD394" s="5">
        <f>IF(AND(ISNUMBER(H394),ISNUMBER(P394)),1,0)</f>
        <v>0</v>
      </c>
      <c r="AE394" s="5">
        <f>W394</f>
        <v>0.54</v>
      </c>
      <c r="AF394" s="5">
        <f>X394</f>
        <v>5.709619</v>
      </c>
      <c r="AG394" s="5">
        <f>Y394</f>
        <v>0</v>
      </c>
      <c r="AH394" s="5">
        <f>IF(OR(G394="C",G394="S",G394="U"),1,0)</f>
        <v>1</v>
      </c>
      <c r="AI394" s="5">
        <f>IF(ISNUMBER(H394),1,0)</f>
        <v>0</v>
      </c>
      <c r="AJ394" s="5">
        <f>IF(ISNUMBER(P394),1,0)</f>
        <v>1</v>
      </c>
      <c r="AK394" s="5" t="str">
        <f>IF(AI394=1,IF(J394&gt;0,1,0),"")</f>
        <v/>
      </c>
      <c r="AL394" s="5">
        <f>IF(AJ394=1,IF(OR(Q394&gt;0,R394&gt;0),1,0),"")</f>
        <v>1</v>
      </c>
    </row>
    <row r="395" spans="1:38">
      <c r="A395">
        <v>373511</v>
      </c>
      <c r="B395" t="s">
        <v>505</v>
      </c>
      <c r="C395" t="s">
        <v>23</v>
      </c>
      <c r="D395" t="s">
        <v>24</v>
      </c>
      <c r="E395">
        <v>31</v>
      </c>
      <c r="F395">
        <v>1570000</v>
      </c>
      <c r="G395" t="s">
        <v>33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>
        <v>1</v>
      </c>
      <c r="Q395">
        <v>0</v>
      </c>
      <c r="R395">
        <v>1</v>
      </c>
      <c r="S395">
        <v>1</v>
      </c>
      <c r="T395">
        <v>0.63690000000000002</v>
      </c>
      <c r="U395">
        <v>3.2300000000000002E-2</v>
      </c>
      <c r="V395">
        <v>1</v>
      </c>
      <c r="W395">
        <f>E395/100</f>
        <v>0.31</v>
      </c>
      <c r="X395">
        <f>F395/1000000</f>
        <v>1.57</v>
      </c>
      <c r="Y395">
        <f>IF(D395="C",1,0)</f>
        <v>0</v>
      </c>
      <c r="Z395">
        <f>IF(G395="C",1,0)</f>
        <v>1</v>
      </c>
      <c r="AA395">
        <f>IF(G395="S",1,0)</f>
        <v>0</v>
      </c>
      <c r="AB395">
        <f>IF(G395="U",1,0)</f>
        <v>0</v>
      </c>
      <c r="AC395" s="5">
        <f>IF(AND(ISNUMBER(H395),NOT(ISNUMBER(P395))),1,0)</f>
        <v>0</v>
      </c>
      <c r="AD395" s="5">
        <f>IF(AND(ISNUMBER(H395),ISNUMBER(P395)),1,0)</f>
        <v>0</v>
      </c>
      <c r="AE395" s="5">
        <f>W395</f>
        <v>0.31</v>
      </c>
      <c r="AF395" s="5">
        <f>X395</f>
        <v>1.57</v>
      </c>
      <c r="AG395" s="5">
        <f>Y395</f>
        <v>0</v>
      </c>
      <c r="AH395" s="5">
        <f>IF(OR(G395="C",G395="S",G395="U"),1,0)</f>
        <v>1</v>
      </c>
      <c r="AI395" s="5">
        <f>IF(ISNUMBER(H395),1,0)</f>
        <v>0</v>
      </c>
      <c r="AJ395" s="5">
        <f>IF(ISNUMBER(P395),1,0)</f>
        <v>1</v>
      </c>
      <c r="AK395" s="5" t="str">
        <f>IF(AI395=1,IF(J395&gt;0,1,0),"")</f>
        <v/>
      </c>
      <c r="AL395" s="5">
        <f>IF(AJ395=1,IF(OR(Q395&gt;0,R395&gt;0),1,0),"")</f>
        <v>1</v>
      </c>
    </row>
    <row r="396" spans="1:38">
      <c r="A396">
        <v>373936</v>
      </c>
      <c r="B396" t="s">
        <v>506</v>
      </c>
      <c r="C396" t="s">
        <v>82</v>
      </c>
      <c r="D396" t="s">
        <v>24</v>
      </c>
      <c r="E396">
        <v>5</v>
      </c>
      <c r="F396">
        <v>125000</v>
      </c>
      <c r="G396" t="s">
        <v>25</v>
      </c>
      <c r="H396" t="s">
        <v>26</v>
      </c>
      <c r="I396" t="s">
        <v>26</v>
      </c>
      <c r="J396" t="s">
        <v>26</v>
      </c>
      <c r="K396" t="s">
        <v>26</v>
      </c>
      <c r="L396" t="s">
        <v>26</v>
      </c>
      <c r="M396" t="s">
        <v>26</v>
      </c>
      <c r="N396" t="s">
        <v>26</v>
      </c>
      <c r="O396" t="s">
        <v>26</v>
      </c>
      <c r="P396">
        <v>1</v>
      </c>
      <c r="Q396">
        <v>0</v>
      </c>
      <c r="R396">
        <v>0</v>
      </c>
      <c r="S396">
        <v>1</v>
      </c>
      <c r="T396">
        <v>8</v>
      </c>
      <c r="U396">
        <v>0.2</v>
      </c>
      <c r="V396">
        <v>0</v>
      </c>
      <c r="W396">
        <f>E396/100</f>
        <v>0.05</v>
      </c>
      <c r="X396">
        <f>F396/1000000</f>
        <v>0.125</v>
      </c>
      <c r="Y396">
        <f>IF(D396="C",1,0)</f>
        <v>0</v>
      </c>
      <c r="Z396">
        <f>IF(G396="C",1,0)</f>
        <v>0</v>
      </c>
      <c r="AA396">
        <f>IF(G396="S",1,0)</f>
        <v>1</v>
      </c>
      <c r="AB396">
        <f>IF(G396="U",1,0)</f>
        <v>0</v>
      </c>
      <c r="AC396" s="5">
        <f>IF(AND(ISNUMBER(H396),NOT(ISNUMBER(P396))),1,0)</f>
        <v>0</v>
      </c>
      <c r="AD396" s="5">
        <f>IF(AND(ISNUMBER(H396),ISNUMBER(P396)),1,0)</f>
        <v>0</v>
      </c>
      <c r="AE396" s="5">
        <f>W396</f>
        <v>0.05</v>
      </c>
      <c r="AF396" s="5">
        <f>X396</f>
        <v>0.125</v>
      </c>
      <c r="AG396" s="5">
        <f>Y396</f>
        <v>0</v>
      </c>
      <c r="AH396" s="5">
        <f>IF(OR(G396="C",G396="S",G396="U"),1,0)</f>
        <v>1</v>
      </c>
      <c r="AI396" s="5">
        <f>IF(ISNUMBER(H396),1,0)</f>
        <v>0</v>
      </c>
      <c r="AJ396" s="5">
        <f>IF(ISNUMBER(P396),1,0)</f>
        <v>1</v>
      </c>
      <c r="AK396" s="5" t="str">
        <f>IF(AI396=1,IF(J396&gt;0,1,0),"")</f>
        <v/>
      </c>
      <c r="AL396" s="5">
        <f>IF(AJ396=1,IF(OR(Q396&gt;0,R396&gt;0),1,0),"")</f>
        <v>0</v>
      </c>
    </row>
    <row r="397" spans="1:38">
      <c r="A397">
        <v>374997</v>
      </c>
      <c r="B397" t="s">
        <v>507</v>
      </c>
      <c r="C397" t="s">
        <v>23</v>
      </c>
      <c r="D397" t="s">
        <v>24</v>
      </c>
      <c r="E397">
        <v>17</v>
      </c>
      <c r="F397">
        <v>331571</v>
      </c>
      <c r="H397" t="s">
        <v>26</v>
      </c>
      <c r="I397" t="s">
        <v>26</v>
      </c>
      <c r="J397" t="s">
        <v>26</v>
      </c>
      <c r="K397" t="s">
        <v>26</v>
      </c>
      <c r="L397" t="s">
        <v>26</v>
      </c>
      <c r="M397" t="s">
        <v>26</v>
      </c>
      <c r="N397" t="s">
        <v>26</v>
      </c>
      <c r="O397" t="s">
        <v>26</v>
      </c>
      <c r="P397">
        <v>1</v>
      </c>
      <c r="Q397">
        <v>0</v>
      </c>
      <c r="R397">
        <v>1</v>
      </c>
      <c r="S397">
        <v>0</v>
      </c>
      <c r="T397">
        <v>3.0158999999999998</v>
      </c>
      <c r="U397">
        <v>5.8799999999999998E-2</v>
      </c>
      <c r="V397">
        <v>1</v>
      </c>
      <c r="W397">
        <f>E397/100</f>
        <v>0.17</v>
      </c>
      <c r="X397">
        <f>F397/1000000</f>
        <v>0.331571</v>
      </c>
      <c r="Y397">
        <f>IF(D397="C",1,0)</f>
        <v>0</v>
      </c>
      <c r="Z397">
        <f>IF(G397="C",1,0)</f>
        <v>0</v>
      </c>
      <c r="AA397">
        <f>IF(G397="S",1,0)</f>
        <v>0</v>
      </c>
      <c r="AB397">
        <f>IF(G397="U",1,0)</f>
        <v>0</v>
      </c>
      <c r="AC397" s="5">
        <f>IF(AND(ISNUMBER(H397),NOT(ISNUMBER(P397))),1,0)</f>
        <v>0</v>
      </c>
      <c r="AD397" s="5">
        <f>IF(AND(ISNUMBER(H397),ISNUMBER(P397)),1,0)</f>
        <v>0</v>
      </c>
      <c r="AE397" s="5">
        <f>W397</f>
        <v>0.17</v>
      </c>
      <c r="AF397" s="5">
        <f>X397</f>
        <v>0.331571</v>
      </c>
      <c r="AG397" s="5">
        <f>Y397</f>
        <v>0</v>
      </c>
      <c r="AH397" s="5">
        <f>IF(OR(G397="C",G397="S",G397="U"),1,0)</f>
        <v>0</v>
      </c>
      <c r="AI397" s="5">
        <f>IF(ISNUMBER(H397),1,0)</f>
        <v>0</v>
      </c>
      <c r="AJ397" s="5">
        <f>IF(ISNUMBER(P397),1,0)</f>
        <v>1</v>
      </c>
      <c r="AK397" s="5" t="str">
        <f>IF(AI397=1,IF(J397&gt;0,1,0),"")</f>
        <v/>
      </c>
      <c r="AL397" s="5">
        <f>IF(AJ397=1,IF(OR(Q397&gt;0,R397&gt;0),1,0),"")</f>
        <v>1</v>
      </c>
    </row>
    <row r="398" spans="1:38">
      <c r="A398">
        <v>377495</v>
      </c>
      <c r="B398" t="s">
        <v>508</v>
      </c>
      <c r="C398" t="s">
        <v>37</v>
      </c>
      <c r="D398" t="s">
        <v>24</v>
      </c>
      <c r="E398">
        <v>8</v>
      </c>
      <c r="F398">
        <v>356000</v>
      </c>
      <c r="H398" t="s">
        <v>26</v>
      </c>
      <c r="I398" t="s">
        <v>26</v>
      </c>
      <c r="J398" t="s">
        <v>26</v>
      </c>
      <c r="K398" t="s">
        <v>26</v>
      </c>
      <c r="L398" t="s">
        <v>26</v>
      </c>
      <c r="M398" t="s">
        <v>26</v>
      </c>
      <c r="N398" t="s">
        <v>26</v>
      </c>
      <c r="O398" t="s">
        <v>26</v>
      </c>
      <c r="P398">
        <v>1</v>
      </c>
      <c r="Q398">
        <v>0</v>
      </c>
      <c r="R398">
        <v>0</v>
      </c>
      <c r="S398">
        <v>1</v>
      </c>
      <c r="T398">
        <v>2.8090000000000002</v>
      </c>
      <c r="U398">
        <v>0.125</v>
      </c>
      <c r="V398">
        <v>0</v>
      </c>
      <c r="W398">
        <f>E398/100</f>
        <v>0.08</v>
      </c>
      <c r="X398">
        <f>F398/1000000</f>
        <v>0.35599999999999998</v>
      </c>
      <c r="Y398">
        <f>IF(D398="C",1,0)</f>
        <v>0</v>
      </c>
      <c r="Z398">
        <f>IF(G398="C",1,0)</f>
        <v>0</v>
      </c>
      <c r="AA398">
        <f>IF(G398="S",1,0)</f>
        <v>0</v>
      </c>
      <c r="AB398">
        <f>IF(G398="U",1,0)</f>
        <v>0</v>
      </c>
      <c r="AC398" s="5">
        <f>IF(AND(ISNUMBER(H398),NOT(ISNUMBER(P398))),1,0)</f>
        <v>0</v>
      </c>
      <c r="AD398" s="5">
        <f>IF(AND(ISNUMBER(H398),ISNUMBER(P398)),1,0)</f>
        <v>0</v>
      </c>
      <c r="AE398" s="5">
        <f>W398</f>
        <v>0.08</v>
      </c>
      <c r="AF398" s="5">
        <f>X398</f>
        <v>0.35599999999999998</v>
      </c>
      <c r="AG398" s="5">
        <f>Y398</f>
        <v>0</v>
      </c>
      <c r="AH398" s="5">
        <f>IF(OR(G398="C",G398="S",G398="U"),1,0)</f>
        <v>0</v>
      </c>
      <c r="AI398" s="5">
        <f>IF(ISNUMBER(H398),1,0)</f>
        <v>0</v>
      </c>
      <c r="AJ398" s="5">
        <f>IF(ISNUMBER(P398),1,0)</f>
        <v>1</v>
      </c>
      <c r="AK398" s="5" t="str">
        <f>IF(AI398=1,IF(J398&gt;0,1,0),"")</f>
        <v/>
      </c>
      <c r="AL398" s="5">
        <f>IF(AJ398=1,IF(OR(Q398&gt;0,R398&gt;0),1,0),"")</f>
        <v>0</v>
      </c>
    </row>
    <row r="399" spans="1:38">
      <c r="A399">
        <v>378466</v>
      </c>
      <c r="B399" t="s">
        <v>509</v>
      </c>
      <c r="C399" t="s">
        <v>82</v>
      </c>
      <c r="D399" t="s">
        <v>24</v>
      </c>
      <c r="E399">
        <v>7</v>
      </c>
      <c r="F399">
        <v>23004</v>
      </c>
      <c r="H399" t="s">
        <v>26</v>
      </c>
      <c r="I399" t="s">
        <v>26</v>
      </c>
      <c r="J399" t="s">
        <v>26</v>
      </c>
      <c r="K399" t="s">
        <v>26</v>
      </c>
      <c r="L399" t="s">
        <v>26</v>
      </c>
      <c r="M399" t="s">
        <v>26</v>
      </c>
      <c r="N399" t="s">
        <v>26</v>
      </c>
      <c r="O399" t="s">
        <v>26</v>
      </c>
      <c r="P399">
        <v>1</v>
      </c>
      <c r="Q399">
        <v>0</v>
      </c>
      <c r="R399">
        <v>1</v>
      </c>
      <c r="S399">
        <v>1</v>
      </c>
      <c r="T399">
        <v>43.470700000000001</v>
      </c>
      <c r="U399">
        <v>0.1429</v>
      </c>
      <c r="V399">
        <v>1</v>
      </c>
      <c r="W399">
        <f>E399/100</f>
        <v>7.0000000000000007E-2</v>
      </c>
      <c r="X399">
        <f>F399/1000000</f>
        <v>2.3004E-2</v>
      </c>
      <c r="Y399">
        <f>IF(D399="C",1,0)</f>
        <v>0</v>
      </c>
      <c r="Z399">
        <f>IF(G399="C",1,0)</f>
        <v>0</v>
      </c>
      <c r="AA399">
        <f>IF(G399="S",1,0)</f>
        <v>0</v>
      </c>
      <c r="AB399">
        <f>IF(G399="U",1,0)</f>
        <v>0</v>
      </c>
      <c r="AC399" s="5">
        <f>IF(AND(ISNUMBER(H399),NOT(ISNUMBER(P399))),1,0)</f>
        <v>0</v>
      </c>
      <c r="AD399" s="5">
        <f>IF(AND(ISNUMBER(H399),ISNUMBER(P399)),1,0)</f>
        <v>0</v>
      </c>
      <c r="AE399" s="5">
        <f>W399</f>
        <v>7.0000000000000007E-2</v>
      </c>
      <c r="AF399" s="5">
        <f>X399</f>
        <v>2.3004E-2</v>
      </c>
      <c r="AG399" s="5">
        <f>Y399</f>
        <v>0</v>
      </c>
      <c r="AH399" s="5">
        <f>IF(OR(G399="C",G399="S",G399="U"),1,0)</f>
        <v>0</v>
      </c>
      <c r="AI399" s="5">
        <f>IF(ISNUMBER(H399),1,0)</f>
        <v>0</v>
      </c>
      <c r="AJ399" s="5">
        <f>IF(ISNUMBER(P399),1,0)</f>
        <v>1</v>
      </c>
      <c r="AK399" s="5" t="str">
        <f>IF(AI399=1,IF(J399&gt;0,1,0),"")</f>
        <v/>
      </c>
      <c r="AL399" s="5">
        <f>IF(AJ399=1,IF(OR(Q399&gt;0,R399&gt;0),1,0),"")</f>
        <v>1</v>
      </c>
    </row>
    <row r="400" spans="1:38">
      <c r="A400">
        <v>379078</v>
      </c>
      <c r="B400" t="s">
        <v>511</v>
      </c>
      <c r="C400" t="s">
        <v>82</v>
      </c>
      <c r="D400" t="s">
        <v>24</v>
      </c>
      <c r="E400">
        <v>3</v>
      </c>
      <c r="F400">
        <v>77639</v>
      </c>
      <c r="H400" t="s">
        <v>26</v>
      </c>
      <c r="I400" t="s">
        <v>26</v>
      </c>
      <c r="J400" t="s">
        <v>26</v>
      </c>
      <c r="K400" t="s">
        <v>26</v>
      </c>
      <c r="L400" t="s">
        <v>26</v>
      </c>
      <c r="M400" t="s">
        <v>26</v>
      </c>
      <c r="N400" t="s">
        <v>26</v>
      </c>
      <c r="O400" t="s">
        <v>26</v>
      </c>
      <c r="P400">
        <v>1</v>
      </c>
      <c r="Q400">
        <v>0</v>
      </c>
      <c r="R400">
        <v>1</v>
      </c>
      <c r="S400">
        <v>1</v>
      </c>
      <c r="T400">
        <v>12.880100000000001</v>
      </c>
      <c r="U400">
        <v>0.33329999999999999</v>
      </c>
      <c r="V400">
        <v>1</v>
      </c>
      <c r="W400">
        <f>E400/100</f>
        <v>0.03</v>
      </c>
      <c r="X400">
        <f>F400/1000000</f>
        <v>7.7639E-2</v>
      </c>
      <c r="Y400">
        <f>IF(D400="C",1,0)</f>
        <v>0</v>
      </c>
      <c r="Z400">
        <f>IF(G400="C",1,0)</f>
        <v>0</v>
      </c>
      <c r="AA400">
        <f>IF(G400="S",1,0)</f>
        <v>0</v>
      </c>
      <c r="AB400">
        <f>IF(G400="U",1,0)</f>
        <v>0</v>
      </c>
      <c r="AC400" s="5">
        <f>IF(AND(ISNUMBER(H400),NOT(ISNUMBER(P400))),1,0)</f>
        <v>0</v>
      </c>
      <c r="AD400" s="5">
        <f>IF(AND(ISNUMBER(H400),ISNUMBER(P400)),1,0)</f>
        <v>0</v>
      </c>
      <c r="AE400" s="5">
        <f>W400</f>
        <v>0.03</v>
      </c>
      <c r="AF400" s="5">
        <f>X400</f>
        <v>7.7639E-2</v>
      </c>
      <c r="AG400" s="5">
        <f>Y400</f>
        <v>0</v>
      </c>
      <c r="AH400" s="5">
        <f>IF(OR(G400="C",G400="S",G400="U"),1,0)</f>
        <v>0</v>
      </c>
      <c r="AI400" s="5">
        <f>IF(ISNUMBER(H400),1,0)</f>
        <v>0</v>
      </c>
      <c r="AJ400" s="5">
        <f>IF(ISNUMBER(P400),1,0)</f>
        <v>1</v>
      </c>
      <c r="AK400" s="5" t="str">
        <f>IF(AI400=1,IF(J400&gt;0,1,0),"")</f>
        <v/>
      </c>
      <c r="AL400" s="5">
        <f>IF(AJ400=1,IF(OR(Q400&gt;0,R400&gt;0),1,0),"")</f>
        <v>1</v>
      </c>
    </row>
    <row r="401" spans="1:38">
      <c r="A401">
        <v>379749</v>
      </c>
      <c r="B401" t="s">
        <v>512</v>
      </c>
      <c r="C401" t="s">
        <v>23</v>
      </c>
      <c r="D401" t="s">
        <v>24</v>
      </c>
      <c r="E401">
        <v>16</v>
      </c>
      <c r="F401">
        <v>300480</v>
      </c>
      <c r="G401" t="s">
        <v>25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>
        <v>1</v>
      </c>
      <c r="Q401">
        <v>0</v>
      </c>
      <c r="R401">
        <v>1</v>
      </c>
      <c r="S401">
        <v>1</v>
      </c>
      <c r="T401">
        <v>3.3279999999999998</v>
      </c>
      <c r="U401">
        <v>6.25E-2</v>
      </c>
      <c r="V401">
        <v>1</v>
      </c>
      <c r="W401">
        <f>E401/100</f>
        <v>0.16</v>
      </c>
      <c r="X401">
        <f>F401/1000000</f>
        <v>0.30048000000000002</v>
      </c>
      <c r="Y401">
        <f>IF(D401="C",1,0)</f>
        <v>0</v>
      </c>
      <c r="Z401">
        <f>IF(G401="C",1,0)</f>
        <v>0</v>
      </c>
      <c r="AA401">
        <f>IF(G401="S",1,0)</f>
        <v>1</v>
      </c>
      <c r="AB401">
        <f>IF(G401="U",1,0)</f>
        <v>0</v>
      </c>
      <c r="AC401" s="5">
        <f>IF(AND(ISNUMBER(H401),NOT(ISNUMBER(P401))),1,0)</f>
        <v>0</v>
      </c>
      <c r="AD401" s="5">
        <f>IF(AND(ISNUMBER(H401),ISNUMBER(P401)),1,0)</f>
        <v>0</v>
      </c>
      <c r="AE401" s="5">
        <f>W401</f>
        <v>0.16</v>
      </c>
      <c r="AF401" s="5">
        <f>X401</f>
        <v>0.30048000000000002</v>
      </c>
      <c r="AG401" s="5">
        <f>Y401</f>
        <v>0</v>
      </c>
      <c r="AH401" s="5">
        <f>IF(OR(G401="C",G401="S",G401="U"),1,0)</f>
        <v>1</v>
      </c>
      <c r="AI401" s="5">
        <f>IF(ISNUMBER(H401),1,0)</f>
        <v>0</v>
      </c>
      <c r="AJ401" s="5">
        <f>IF(ISNUMBER(P401),1,0)</f>
        <v>1</v>
      </c>
      <c r="AK401" s="5" t="str">
        <f>IF(AI401=1,IF(J401&gt;0,1,0),"")</f>
        <v/>
      </c>
      <c r="AL401" s="5">
        <f>IF(AJ401=1,IF(OR(Q401&gt;0,R401&gt;0),1,0),"")</f>
        <v>1</v>
      </c>
    </row>
    <row r="402" spans="1:38">
      <c r="A402">
        <v>380027</v>
      </c>
      <c r="B402" t="s">
        <v>513</v>
      </c>
      <c r="C402" t="s">
        <v>40</v>
      </c>
      <c r="D402" t="s">
        <v>24</v>
      </c>
      <c r="E402">
        <v>7</v>
      </c>
      <c r="F402">
        <v>154000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>
        <v>1</v>
      </c>
      <c r="Q402">
        <v>0</v>
      </c>
      <c r="R402">
        <v>1</v>
      </c>
      <c r="S402">
        <v>1</v>
      </c>
      <c r="T402">
        <v>6.4935</v>
      </c>
      <c r="U402">
        <v>0.1429</v>
      </c>
      <c r="V402">
        <v>1</v>
      </c>
      <c r="W402">
        <f>E402/100</f>
        <v>7.0000000000000007E-2</v>
      </c>
      <c r="X402">
        <f>F402/1000000</f>
        <v>0.154</v>
      </c>
      <c r="Y402">
        <f>IF(D402="C",1,0)</f>
        <v>0</v>
      </c>
      <c r="Z402">
        <f>IF(G402="C",1,0)</f>
        <v>0</v>
      </c>
      <c r="AA402">
        <f>IF(G402="S",1,0)</f>
        <v>0</v>
      </c>
      <c r="AB402">
        <f>IF(G402="U",1,0)</f>
        <v>0</v>
      </c>
      <c r="AC402" s="5">
        <f>IF(AND(ISNUMBER(H402),NOT(ISNUMBER(P402))),1,0)</f>
        <v>0</v>
      </c>
      <c r="AD402" s="5">
        <f>IF(AND(ISNUMBER(H402),ISNUMBER(P402)),1,0)</f>
        <v>0</v>
      </c>
      <c r="AE402" s="5">
        <f>W402</f>
        <v>7.0000000000000007E-2</v>
      </c>
      <c r="AF402" s="5">
        <f>X402</f>
        <v>0.154</v>
      </c>
      <c r="AG402" s="5">
        <f>Y402</f>
        <v>0</v>
      </c>
      <c r="AH402" s="5">
        <f>IF(OR(G402="C",G402="S",G402="U"),1,0)</f>
        <v>0</v>
      </c>
      <c r="AI402" s="5">
        <f>IF(ISNUMBER(H402),1,0)</f>
        <v>0</v>
      </c>
      <c r="AJ402" s="5">
        <f>IF(ISNUMBER(P402),1,0)</f>
        <v>1</v>
      </c>
      <c r="AK402" s="5" t="str">
        <f>IF(AI402=1,IF(J402&gt;0,1,0),"")</f>
        <v/>
      </c>
      <c r="AL402" s="5">
        <f>IF(AJ402=1,IF(OR(Q402&gt;0,R402&gt;0),1,0),"")</f>
        <v>1</v>
      </c>
    </row>
    <row r="403" spans="1:38">
      <c r="A403">
        <v>380383</v>
      </c>
      <c r="B403" t="s">
        <v>514</v>
      </c>
      <c r="C403" t="s">
        <v>23</v>
      </c>
      <c r="D403" t="s">
        <v>33</v>
      </c>
      <c r="E403">
        <v>34</v>
      </c>
      <c r="F403">
        <v>1050000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>
        <v>1</v>
      </c>
      <c r="Q403">
        <v>0</v>
      </c>
      <c r="R403">
        <v>1</v>
      </c>
      <c r="S403">
        <v>0</v>
      </c>
      <c r="T403">
        <v>0.95240000000000002</v>
      </c>
      <c r="U403">
        <v>2.9399999999999999E-2</v>
      </c>
      <c r="V403">
        <v>1</v>
      </c>
      <c r="W403">
        <f>E403/100</f>
        <v>0.34</v>
      </c>
      <c r="X403">
        <f>F403/1000000</f>
        <v>1.05</v>
      </c>
      <c r="Y403">
        <f>IF(D403="C",1,0)</f>
        <v>1</v>
      </c>
      <c r="Z403">
        <f>IF(G403="C",1,0)</f>
        <v>0</v>
      </c>
      <c r="AA403">
        <f>IF(G403="S",1,0)</f>
        <v>0</v>
      </c>
      <c r="AB403">
        <f>IF(G403="U",1,0)</f>
        <v>0</v>
      </c>
      <c r="AC403" s="5">
        <f>IF(AND(ISNUMBER(H403),NOT(ISNUMBER(P403))),1,0)</f>
        <v>0</v>
      </c>
      <c r="AD403" s="5">
        <f>IF(AND(ISNUMBER(H403),ISNUMBER(P403)),1,0)</f>
        <v>0</v>
      </c>
      <c r="AE403" s="5">
        <f>W403</f>
        <v>0.34</v>
      </c>
      <c r="AF403" s="5">
        <f>X403</f>
        <v>1.05</v>
      </c>
      <c r="AG403" s="5">
        <f>Y403</f>
        <v>1</v>
      </c>
      <c r="AH403" s="5">
        <f>IF(OR(G403="C",G403="S",G403="U"),1,0)</f>
        <v>0</v>
      </c>
      <c r="AI403" s="5">
        <f>IF(ISNUMBER(H403),1,0)</f>
        <v>0</v>
      </c>
      <c r="AJ403" s="5">
        <f>IF(ISNUMBER(P403),1,0)</f>
        <v>1</v>
      </c>
      <c r="AK403" s="5" t="str">
        <f>IF(AI403=1,IF(J403&gt;0,1,0),"")</f>
        <v/>
      </c>
      <c r="AL403" s="5">
        <f>IF(AJ403=1,IF(OR(Q403&gt;0,R403&gt;0),1,0),"")</f>
        <v>1</v>
      </c>
    </row>
    <row r="404" spans="1:38">
      <c r="A404">
        <v>381085</v>
      </c>
      <c r="B404" t="s">
        <v>515</v>
      </c>
      <c r="C404" t="s">
        <v>23</v>
      </c>
      <c r="D404" t="s">
        <v>24</v>
      </c>
      <c r="E404">
        <v>15</v>
      </c>
      <c r="F404">
        <v>57000</v>
      </c>
      <c r="G404" t="s">
        <v>33</v>
      </c>
      <c r="H404" t="s">
        <v>26</v>
      </c>
      <c r="I404" t="s">
        <v>26</v>
      </c>
      <c r="J404" t="s">
        <v>26</v>
      </c>
      <c r="K404" t="s">
        <v>26</v>
      </c>
      <c r="L404" t="s">
        <v>26</v>
      </c>
      <c r="M404" t="s">
        <v>26</v>
      </c>
      <c r="N404" t="s">
        <v>26</v>
      </c>
      <c r="O404" t="s">
        <v>26</v>
      </c>
      <c r="P404">
        <v>1</v>
      </c>
      <c r="Q404">
        <v>0</v>
      </c>
      <c r="R404">
        <v>0</v>
      </c>
      <c r="S404">
        <v>1</v>
      </c>
      <c r="T404">
        <v>17.543900000000001</v>
      </c>
      <c r="U404">
        <v>6.6699999999999995E-2</v>
      </c>
      <c r="V404">
        <v>0</v>
      </c>
      <c r="W404">
        <f>E404/100</f>
        <v>0.15</v>
      </c>
      <c r="X404">
        <f>F404/1000000</f>
        <v>5.7000000000000002E-2</v>
      </c>
      <c r="Y404">
        <f>IF(D404="C",1,0)</f>
        <v>0</v>
      </c>
      <c r="Z404">
        <f>IF(G404="C",1,0)</f>
        <v>1</v>
      </c>
      <c r="AA404">
        <f>IF(G404="S",1,0)</f>
        <v>0</v>
      </c>
      <c r="AB404">
        <f>IF(G404="U",1,0)</f>
        <v>0</v>
      </c>
      <c r="AC404" s="5">
        <f>IF(AND(ISNUMBER(H404),NOT(ISNUMBER(P404))),1,0)</f>
        <v>0</v>
      </c>
      <c r="AD404" s="5">
        <f>IF(AND(ISNUMBER(H404),ISNUMBER(P404)),1,0)</f>
        <v>0</v>
      </c>
      <c r="AE404" s="5">
        <f>W404</f>
        <v>0.15</v>
      </c>
      <c r="AF404" s="5">
        <f>X404</f>
        <v>5.7000000000000002E-2</v>
      </c>
      <c r="AG404" s="5">
        <f>Y404</f>
        <v>0</v>
      </c>
      <c r="AH404" s="5">
        <f>IF(OR(G404="C",G404="S",G404="U"),1,0)</f>
        <v>1</v>
      </c>
      <c r="AI404" s="5">
        <f>IF(ISNUMBER(H404),1,0)</f>
        <v>0</v>
      </c>
      <c r="AJ404" s="5">
        <f>IF(ISNUMBER(P404),1,0)</f>
        <v>1</v>
      </c>
      <c r="AK404" s="5" t="str">
        <f>IF(AI404=1,IF(J404&gt;0,1,0),"")</f>
        <v/>
      </c>
      <c r="AL404" s="5">
        <f>IF(AJ404=1,IF(OR(Q404&gt;0,R404&gt;0),1,0),"")</f>
        <v>0</v>
      </c>
    </row>
    <row r="405" spans="1:38">
      <c r="A405">
        <v>381553</v>
      </c>
      <c r="B405" t="s">
        <v>516</v>
      </c>
      <c r="C405" t="s">
        <v>37</v>
      </c>
      <c r="D405" t="s">
        <v>24</v>
      </c>
      <c r="E405">
        <v>1</v>
      </c>
      <c r="F405">
        <v>12352</v>
      </c>
      <c r="G405" t="s">
        <v>25</v>
      </c>
      <c r="H405" t="s">
        <v>26</v>
      </c>
      <c r="I405" t="s">
        <v>26</v>
      </c>
      <c r="J405" t="s">
        <v>26</v>
      </c>
      <c r="K405" t="s">
        <v>26</v>
      </c>
      <c r="L405" t="s">
        <v>26</v>
      </c>
      <c r="M405" t="s">
        <v>26</v>
      </c>
      <c r="N405" t="s">
        <v>26</v>
      </c>
      <c r="O405" t="s">
        <v>26</v>
      </c>
      <c r="P405">
        <v>1</v>
      </c>
      <c r="Q405">
        <v>0</v>
      </c>
      <c r="R405">
        <v>0</v>
      </c>
      <c r="S405">
        <v>1</v>
      </c>
      <c r="T405">
        <v>80.958500000000001</v>
      </c>
      <c r="U405">
        <v>1</v>
      </c>
      <c r="V405">
        <v>0</v>
      </c>
      <c r="W405">
        <f>E405/100</f>
        <v>0.01</v>
      </c>
      <c r="X405">
        <f>F405/1000000</f>
        <v>1.2352E-2</v>
      </c>
      <c r="Y405">
        <f>IF(D405="C",1,0)</f>
        <v>0</v>
      </c>
      <c r="Z405">
        <f>IF(G405="C",1,0)</f>
        <v>0</v>
      </c>
      <c r="AA405">
        <f>IF(G405="S",1,0)</f>
        <v>1</v>
      </c>
      <c r="AB405">
        <f>IF(G405="U",1,0)</f>
        <v>0</v>
      </c>
      <c r="AC405" s="5">
        <f>IF(AND(ISNUMBER(H405),NOT(ISNUMBER(P405))),1,0)</f>
        <v>0</v>
      </c>
      <c r="AD405" s="5">
        <f>IF(AND(ISNUMBER(H405),ISNUMBER(P405)),1,0)</f>
        <v>0</v>
      </c>
      <c r="AE405" s="5">
        <f>W405</f>
        <v>0.01</v>
      </c>
      <c r="AF405" s="5">
        <f>X405</f>
        <v>1.2352E-2</v>
      </c>
      <c r="AG405" s="5">
        <f>Y405</f>
        <v>0</v>
      </c>
      <c r="AH405" s="5">
        <f>IF(OR(G405="C",G405="S",G405="U"),1,0)</f>
        <v>1</v>
      </c>
      <c r="AI405" s="5">
        <f>IF(ISNUMBER(H405),1,0)</f>
        <v>0</v>
      </c>
      <c r="AJ405" s="5">
        <f>IF(ISNUMBER(P405),1,0)</f>
        <v>1</v>
      </c>
      <c r="AK405" s="5" t="str">
        <f>IF(AI405=1,IF(J405&gt;0,1,0),"")</f>
        <v/>
      </c>
      <c r="AL405" s="5">
        <f>IF(AJ405=1,IF(OR(Q405&gt;0,R405&gt;0),1,0),"")</f>
        <v>0</v>
      </c>
    </row>
    <row r="406" spans="1:38">
      <c r="A406">
        <v>381925</v>
      </c>
      <c r="B406" t="s">
        <v>517</v>
      </c>
      <c r="C406" t="s">
        <v>37</v>
      </c>
      <c r="D406" t="s">
        <v>33</v>
      </c>
      <c r="E406">
        <v>6</v>
      </c>
      <c r="F406">
        <v>130000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>
        <v>1</v>
      </c>
      <c r="Q406">
        <v>0</v>
      </c>
      <c r="R406">
        <v>1</v>
      </c>
      <c r="S406">
        <v>1</v>
      </c>
      <c r="T406">
        <v>7.6923000000000004</v>
      </c>
      <c r="U406">
        <v>0.16669999999999999</v>
      </c>
      <c r="V406">
        <v>1</v>
      </c>
      <c r="W406">
        <f>E406/100</f>
        <v>0.06</v>
      </c>
      <c r="X406">
        <f>F406/1000000</f>
        <v>0.13</v>
      </c>
      <c r="Y406">
        <f>IF(D406="C",1,0)</f>
        <v>1</v>
      </c>
      <c r="Z406">
        <f>IF(G406="C",1,0)</f>
        <v>0</v>
      </c>
      <c r="AA406">
        <f>IF(G406="S",1,0)</f>
        <v>0</v>
      </c>
      <c r="AB406">
        <f>IF(G406="U",1,0)</f>
        <v>0</v>
      </c>
      <c r="AC406" s="5">
        <f>IF(AND(ISNUMBER(H406),NOT(ISNUMBER(P406))),1,0)</f>
        <v>0</v>
      </c>
      <c r="AD406" s="5">
        <f>IF(AND(ISNUMBER(H406),ISNUMBER(P406)),1,0)</f>
        <v>0</v>
      </c>
      <c r="AE406" s="5">
        <f>W406</f>
        <v>0.06</v>
      </c>
      <c r="AF406" s="5">
        <f>X406</f>
        <v>0.13</v>
      </c>
      <c r="AG406" s="5">
        <f>Y406</f>
        <v>1</v>
      </c>
      <c r="AH406" s="5">
        <f>IF(OR(G406="C",G406="S",G406="U"),1,0)</f>
        <v>0</v>
      </c>
      <c r="AI406" s="5">
        <f>IF(ISNUMBER(H406),1,0)</f>
        <v>0</v>
      </c>
      <c r="AJ406" s="5">
        <f>IF(ISNUMBER(P406),1,0)</f>
        <v>1</v>
      </c>
      <c r="AK406" s="5" t="str">
        <f>IF(AI406=1,IF(J406&gt;0,1,0),"")</f>
        <v/>
      </c>
      <c r="AL406" s="5">
        <f>IF(AJ406=1,IF(OR(Q406&gt;0,R406&gt;0),1,0),"")</f>
        <v>1</v>
      </c>
    </row>
    <row r="407" spans="1:38">
      <c r="A407">
        <v>382238</v>
      </c>
      <c r="B407" t="s">
        <v>518</v>
      </c>
      <c r="C407" t="s">
        <v>37</v>
      </c>
      <c r="D407" t="s">
        <v>24</v>
      </c>
      <c r="E407">
        <v>1</v>
      </c>
      <c r="F407">
        <v>6037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>
        <v>1</v>
      </c>
      <c r="Q407">
        <v>0</v>
      </c>
      <c r="R407">
        <v>1</v>
      </c>
      <c r="S407">
        <v>0</v>
      </c>
      <c r="T407">
        <v>165.64519999999999</v>
      </c>
      <c r="U407">
        <v>1</v>
      </c>
      <c r="V407">
        <v>1</v>
      </c>
      <c r="W407">
        <f>E407/100</f>
        <v>0.01</v>
      </c>
      <c r="X407">
        <f>F407/1000000</f>
        <v>6.0369999999999998E-3</v>
      </c>
      <c r="Y407">
        <f>IF(D407="C",1,0)</f>
        <v>0</v>
      </c>
      <c r="Z407">
        <f>IF(G407="C",1,0)</f>
        <v>0</v>
      </c>
      <c r="AA407">
        <f>IF(G407="S",1,0)</f>
        <v>0</v>
      </c>
      <c r="AB407">
        <f>IF(G407="U",1,0)</f>
        <v>0</v>
      </c>
      <c r="AC407" s="5">
        <f>IF(AND(ISNUMBER(H407),NOT(ISNUMBER(P407))),1,0)</f>
        <v>0</v>
      </c>
      <c r="AD407" s="5">
        <f>IF(AND(ISNUMBER(H407),ISNUMBER(P407)),1,0)</f>
        <v>0</v>
      </c>
      <c r="AE407" s="5">
        <f>W407</f>
        <v>0.01</v>
      </c>
      <c r="AF407" s="5">
        <f>X407</f>
        <v>6.0369999999999998E-3</v>
      </c>
      <c r="AG407" s="5">
        <f>Y407</f>
        <v>0</v>
      </c>
      <c r="AH407" s="5">
        <f>IF(OR(G407="C",G407="S",G407="U"),1,0)</f>
        <v>0</v>
      </c>
      <c r="AI407" s="5">
        <f>IF(ISNUMBER(H407),1,0)</f>
        <v>0</v>
      </c>
      <c r="AJ407" s="5">
        <f>IF(ISNUMBER(P407),1,0)</f>
        <v>1</v>
      </c>
      <c r="AK407" s="5" t="str">
        <f>IF(AI407=1,IF(J407&gt;0,1,0),"")</f>
        <v/>
      </c>
      <c r="AL407" s="5">
        <f>IF(AJ407=1,IF(OR(Q407&gt;0,R407&gt;0),1,0),"")</f>
        <v>1</v>
      </c>
    </row>
    <row r="408" spans="1:38">
      <c r="A408">
        <v>383129</v>
      </c>
      <c r="B408" t="s">
        <v>519</v>
      </c>
      <c r="C408" t="s">
        <v>82</v>
      </c>
      <c r="D408" t="s">
        <v>24</v>
      </c>
      <c r="E408">
        <v>101</v>
      </c>
      <c r="F408">
        <v>1056714</v>
      </c>
      <c r="G408" t="s">
        <v>25</v>
      </c>
      <c r="H408" t="s">
        <v>26</v>
      </c>
      <c r="I408" t="s">
        <v>26</v>
      </c>
      <c r="J408" t="s">
        <v>26</v>
      </c>
      <c r="K408" t="s">
        <v>26</v>
      </c>
      <c r="L408" t="s">
        <v>26</v>
      </c>
      <c r="M408" t="s">
        <v>26</v>
      </c>
      <c r="N408" t="s">
        <v>26</v>
      </c>
      <c r="O408" t="s">
        <v>26</v>
      </c>
      <c r="P408">
        <v>1</v>
      </c>
      <c r="Q408">
        <v>0</v>
      </c>
      <c r="R408">
        <v>0</v>
      </c>
      <c r="S408">
        <v>1</v>
      </c>
      <c r="T408">
        <v>0.94630000000000003</v>
      </c>
      <c r="U408">
        <v>9.9000000000000008E-3</v>
      </c>
      <c r="V408">
        <v>0</v>
      </c>
      <c r="W408">
        <f>E408/100</f>
        <v>1.01</v>
      </c>
      <c r="X408">
        <f>F408/1000000</f>
        <v>1.0567139999999999</v>
      </c>
      <c r="Y408">
        <f>IF(D408="C",1,0)</f>
        <v>0</v>
      </c>
      <c r="Z408">
        <f>IF(G408="C",1,0)</f>
        <v>0</v>
      </c>
      <c r="AA408">
        <f>IF(G408="S",1,0)</f>
        <v>1</v>
      </c>
      <c r="AB408">
        <f>IF(G408="U",1,0)</f>
        <v>0</v>
      </c>
      <c r="AC408" s="5">
        <f>IF(AND(ISNUMBER(H408),NOT(ISNUMBER(P408))),1,0)</f>
        <v>0</v>
      </c>
      <c r="AD408" s="5">
        <f>IF(AND(ISNUMBER(H408),ISNUMBER(P408)),1,0)</f>
        <v>0</v>
      </c>
      <c r="AE408" s="5">
        <f>W408</f>
        <v>1.01</v>
      </c>
      <c r="AF408" s="5">
        <f>X408</f>
        <v>1.0567139999999999</v>
      </c>
      <c r="AG408" s="5">
        <f>Y408</f>
        <v>0</v>
      </c>
      <c r="AH408" s="5">
        <f>IF(OR(G408="C",G408="S",G408="U"),1,0)</f>
        <v>1</v>
      </c>
      <c r="AI408" s="5">
        <f>IF(ISNUMBER(H408),1,0)</f>
        <v>0</v>
      </c>
      <c r="AJ408" s="5">
        <f>IF(ISNUMBER(P408),1,0)</f>
        <v>1</v>
      </c>
      <c r="AK408" s="5" t="str">
        <f>IF(AI408=1,IF(J408&gt;0,1,0),"")</f>
        <v/>
      </c>
      <c r="AL408" s="5">
        <f>IF(AJ408=1,IF(OR(Q408&gt;0,R408&gt;0),1,0),"")</f>
        <v>0</v>
      </c>
    </row>
    <row r="409" spans="1:38">
      <c r="A409">
        <v>384817</v>
      </c>
      <c r="B409" t="s">
        <v>520</v>
      </c>
      <c r="C409" t="s">
        <v>37</v>
      </c>
      <c r="D409" t="s">
        <v>33</v>
      </c>
      <c r="E409">
        <v>18</v>
      </c>
      <c r="F409">
        <v>96987</v>
      </c>
      <c r="H409" t="s">
        <v>26</v>
      </c>
      <c r="I409" t="s">
        <v>26</v>
      </c>
      <c r="J409" t="s">
        <v>26</v>
      </c>
      <c r="K409" t="s">
        <v>26</v>
      </c>
      <c r="L409" t="s">
        <v>26</v>
      </c>
      <c r="M409" t="s">
        <v>26</v>
      </c>
      <c r="N409" t="s">
        <v>26</v>
      </c>
      <c r="O409" t="s">
        <v>26</v>
      </c>
      <c r="P409">
        <v>1</v>
      </c>
      <c r="Q409">
        <v>0</v>
      </c>
      <c r="R409">
        <v>1</v>
      </c>
      <c r="S409">
        <v>1</v>
      </c>
      <c r="T409">
        <v>10.310700000000001</v>
      </c>
      <c r="U409">
        <v>5.5599999999999997E-2</v>
      </c>
      <c r="V409">
        <v>1</v>
      </c>
      <c r="W409">
        <f>E409/100</f>
        <v>0.18</v>
      </c>
      <c r="X409">
        <f>F409/1000000</f>
        <v>9.6987000000000004E-2</v>
      </c>
      <c r="Y409">
        <f>IF(D409="C",1,0)</f>
        <v>1</v>
      </c>
      <c r="Z409">
        <f>IF(G409="C",1,0)</f>
        <v>0</v>
      </c>
      <c r="AA409">
        <f>IF(G409="S",1,0)</f>
        <v>0</v>
      </c>
      <c r="AB409">
        <f>IF(G409="U",1,0)</f>
        <v>0</v>
      </c>
      <c r="AC409" s="5">
        <f>IF(AND(ISNUMBER(H409),NOT(ISNUMBER(P409))),1,0)</f>
        <v>0</v>
      </c>
      <c r="AD409" s="5">
        <f>IF(AND(ISNUMBER(H409),ISNUMBER(P409)),1,0)</f>
        <v>0</v>
      </c>
      <c r="AE409" s="5">
        <f>W409</f>
        <v>0.18</v>
      </c>
      <c r="AF409" s="5">
        <f>X409</f>
        <v>9.6987000000000004E-2</v>
      </c>
      <c r="AG409" s="5">
        <f>Y409</f>
        <v>1</v>
      </c>
      <c r="AH409" s="5">
        <f>IF(OR(G409="C",G409="S",G409="U"),1,0)</f>
        <v>0</v>
      </c>
      <c r="AI409" s="5">
        <f>IF(ISNUMBER(H409),1,0)</f>
        <v>0</v>
      </c>
      <c r="AJ409" s="5">
        <f>IF(ISNUMBER(P409),1,0)</f>
        <v>1</v>
      </c>
      <c r="AK409" s="5" t="str">
        <f>IF(AI409=1,IF(J409&gt;0,1,0),"")</f>
        <v/>
      </c>
      <c r="AL409" s="5">
        <f>IF(AJ409=1,IF(OR(Q409&gt;0,R409&gt;0),1,0),"")</f>
        <v>1</v>
      </c>
    </row>
    <row r="410" spans="1:38">
      <c r="A410">
        <v>387196</v>
      </c>
      <c r="B410" t="s">
        <v>521</v>
      </c>
      <c r="C410" t="s">
        <v>82</v>
      </c>
      <c r="D410" t="s">
        <v>33</v>
      </c>
      <c r="E410">
        <v>0</v>
      </c>
      <c r="F410">
        <v>50000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>
        <v>1</v>
      </c>
      <c r="Q410">
        <v>0</v>
      </c>
      <c r="R410">
        <v>0</v>
      </c>
      <c r="S410">
        <v>1</v>
      </c>
      <c r="T410">
        <v>20</v>
      </c>
      <c r="U410" t="s">
        <v>26</v>
      </c>
      <c r="V410">
        <v>0</v>
      </c>
      <c r="W410">
        <f>E410/100</f>
        <v>0</v>
      </c>
      <c r="X410">
        <f>F410/1000000</f>
        <v>0.05</v>
      </c>
      <c r="Y410">
        <f>IF(D410="C",1,0)</f>
        <v>1</v>
      </c>
      <c r="Z410">
        <f>IF(G410="C",1,0)</f>
        <v>0</v>
      </c>
      <c r="AA410">
        <f>IF(G410="S",1,0)</f>
        <v>0</v>
      </c>
      <c r="AB410">
        <f>IF(G410="U",1,0)</f>
        <v>0</v>
      </c>
      <c r="AC410" s="5">
        <f>IF(AND(ISNUMBER(H410),NOT(ISNUMBER(P410))),1,0)</f>
        <v>0</v>
      </c>
      <c r="AD410" s="5">
        <f>IF(AND(ISNUMBER(H410),ISNUMBER(P410)),1,0)</f>
        <v>0</v>
      </c>
      <c r="AE410" s="5">
        <f>W410</f>
        <v>0</v>
      </c>
      <c r="AF410" s="5">
        <f>X410</f>
        <v>0.05</v>
      </c>
      <c r="AG410" s="5">
        <f>Y410</f>
        <v>1</v>
      </c>
      <c r="AH410" s="5">
        <f>IF(OR(G410="C",G410="S",G410="U"),1,0)</f>
        <v>0</v>
      </c>
      <c r="AI410" s="5">
        <f>IF(ISNUMBER(H410),1,0)</f>
        <v>0</v>
      </c>
      <c r="AJ410" s="5">
        <f>IF(ISNUMBER(P410),1,0)</f>
        <v>1</v>
      </c>
      <c r="AK410" s="5" t="str">
        <f>IF(AI410=1,IF(J410&gt;0,1,0),"")</f>
        <v/>
      </c>
      <c r="AL410" s="5">
        <f>IF(AJ410=1,IF(OR(Q410&gt;0,R410&gt;0),1,0),"")</f>
        <v>0</v>
      </c>
    </row>
    <row r="411" spans="1:38">
      <c r="A411">
        <v>387557</v>
      </c>
      <c r="B411" t="s">
        <v>522</v>
      </c>
      <c r="C411" t="s">
        <v>37</v>
      </c>
      <c r="D411" t="s">
        <v>24</v>
      </c>
      <c r="E411">
        <v>0</v>
      </c>
      <c r="F411">
        <v>10000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>
        <v>1</v>
      </c>
      <c r="Q411">
        <v>0</v>
      </c>
      <c r="R411">
        <v>1</v>
      </c>
      <c r="S411">
        <v>1</v>
      </c>
      <c r="T411">
        <v>100</v>
      </c>
      <c r="U411" t="s">
        <v>26</v>
      </c>
      <c r="V411">
        <v>1</v>
      </c>
      <c r="W411">
        <f>E411/100</f>
        <v>0</v>
      </c>
      <c r="X411">
        <f>F411/1000000</f>
        <v>0.01</v>
      </c>
      <c r="Y411">
        <f>IF(D411="C",1,0)</f>
        <v>0</v>
      </c>
      <c r="Z411">
        <f>IF(G411="C",1,0)</f>
        <v>0</v>
      </c>
      <c r="AA411">
        <f>IF(G411="S",1,0)</f>
        <v>0</v>
      </c>
      <c r="AB411">
        <f>IF(G411="U",1,0)</f>
        <v>0</v>
      </c>
      <c r="AC411" s="5">
        <f>IF(AND(ISNUMBER(H411),NOT(ISNUMBER(P411))),1,0)</f>
        <v>0</v>
      </c>
      <c r="AD411" s="5">
        <f>IF(AND(ISNUMBER(H411),ISNUMBER(P411)),1,0)</f>
        <v>0</v>
      </c>
      <c r="AE411" s="5">
        <f>W411</f>
        <v>0</v>
      </c>
      <c r="AF411" s="5">
        <f>X411</f>
        <v>0.01</v>
      </c>
      <c r="AG411" s="5">
        <f>Y411</f>
        <v>0</v>
      </c>
      <c r="AH411" s="5">
        <f>IF(OR(G411="C",G411="S",G411="U"),1,0)</f>
        <v>0</v>
      </c>
      <c r="AI411" s="5">
        <f>IF(ISNUMBER(H411),1,0)</f>
        <v>0</v>
      </c>
      <c r="AJ411" s="5">
        <f>IF(ISNUMBER(P411),1,0)</f>
        <v>1</v>
      </c>
      <c r="AK411" s="5" t="str">
        <f>IF(AI411=1,IF(J411&gt;0,1,0),"")</f>
        <v/>
      </c>
      <c r="AL411" s="5">
        <f>IF(AJ411=1,IF(OR(Q411&gt;0,R411&gt;0),1,0),"")</f>
        <v>1</v>
      </c>
    </row>
    <row r="412" spans="1:38">
      <c r="A412">
        <v>387567</v>
      </c>
      <c r="B412" t="s">
        <v>523</v>
      </c>
      <c r="C412" t="s">
        <v>23</v>
      </c>
      <c r="D412" t="s">
        <v>24</v>
      </c>
      <c r="E412">
        <v>14</v>
      </c>
      <c r="F412">
        <v>39560</v>
      </c>
      <c r="G412" t="s">
        <v>33</v>
      </c>
      <c r="H412" t="s">
        <v>26</v>
      </c>
      <c r="I412" t="s">
        <v>26</v>
      </c>
      <c r="J412" t="s">
        <v>26</v>
      </c>
      <c r="K412" t="s">
        <v>26</v>
      </c>
      <c r="L412" t="s">
        <v>26</v>
      </c>
      <c r="M412" t="s">
        <v>26</v>
      </c>
      <c r="N412" t="s">
        <v>26</v>
      </c>
      <c r="O412" t="s">
        <v>26</v>
      </c>
      <c r="P412">
        <v>1</v>
      </c>
      <c r="Q412">
        <v>0</v>
      </c>
      <c r="R412">
        <v>1</v>
      </c>
      <c r="S412">
        <v>1</v>
      </c>
      <c r="T412">
        <v>25.278099999999998</v>
      </c>
      <c r="U412">
        <v>7.1400000000000005E-2</v>
      </c>
      <c r="V412">
        <v>1</v>
      </c>
      <c r="W412">
        <f>E412/100</f>
        <v>0.14000000000000001</v>
      </c>
      <c r="X412">
        <f>F412/1000000</f>
        <v>3.9559999999999998E-2</v>
      </c>
      <c r="Y412">
        <f>IF(D412="C",1,0)</f>
        <v>0</v>
      </c>
      <c r="Z412">
        <f>IF(G412="C",1,0)</f>
        <v>1</v>
      </c>
      <c r="AA412">
        <f>IF(G412="S",1,0)</f>
        <v>0</v>
      </c>
      <c r="AB412">
        <f>IF(G412="U",1,0)</f>
        <v>0</v>
      </c>
      <c r="AC412" s="5">
        <f>IF(AND(ISNUMBER(H412),NOT(ISNUMBER(P412))),1,0)</f>
        <v>0</v>
      </c>
      <c r="AD412" s="5">
        <f>IF(AND(ISNUMBER(H412),ISNUMBER(P412)),1,0)</f>
        <v>0</v>
      </c>
      <c r="AE412" s="5">
        <f>W412</f>
        <v>0.14000000000000001</v>
      </c>
      <c r="AF412" s="5">
        <f>X412</f>
        <v>3.9559999999999998E-2</v>
      </c>
      <c r="AG412" s="5">
        <f>Y412</f>
        <v>0</v>
      </c>
      <c r="AH412" s="5">
        <f>IF(OR(G412="C",G412="S",G412="U"),1,0)</f>
        <v>1</v>
      </c>
      <c r="AI412" s="5">
        <f>IF(ISNUMBER(H412),1,0)</f>
        <v>0</v>
      </c>
      <c r="AJ412" s="5">
        <f>IF(ISNUMBER(P412),1,0)</f>
        <v>1</v>
      </c>
      <c r="AK412" s="5" t="str">
        <f>IF(AI412=1,IF(J412&gt;0,1,0),"")</f>
        <v/>
      </c>
      <c r="AL412" s="5">
        <f>IF(AJ412=1,IF(OR(Q412&gt;0,R412&gt;0),1,0),"")</f>
        <v>1</v>
      </c>
    </row>
    <row r="413" spans="1:38">
      <c r="A413">
        <v>388174</v>
      </c>
      <c r="B413" t="s">
        <v>524</v>
      </c>
      <c r="C413" t="s">
        <v>183</v>
      </c>
      <c r="D413" t="s">
        <v>24</v>
      </c>
      <c r="E413">
        <v>147</v>
      </c>
      <c r="F413">
        <v>9802292</v>
      </c>
      <c r="G413" t="s">
        <v>25</v>
      </c>
      <c r="H413" t="s">
        <v>26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>
        <v>1</v>
      </c>
      <c r="Q413">
        <v>0</v>
      </c>
      <c r="R413">
        <v>1</v>
      </c>
      <c r="S413">
        <v>1</v>
      </c>
      <c r="T413">
        <v>0.10199999999999999</v>
      </c>
      <c r="U413">
        <v>6.7999999999999996E-3</v>
      </c>
      <c r="V413">
        <v>1</v>
      </c>
      <c r="W413">
        <f>E413/100</f>
        <v>1.47</v>
      </c>
      <c r="X413">
        <f>F413/1000000</f>
        <v>9.8022919999999996</v>
      </c>
      <c r="Y413">
        <f>IF(D413="C",1,0)</f>
        <v>0</v>
      </c>
      <c r="Z413">
        <f>IF(G413="C",1,0)</f>
        <v>0</v>
      </c>
      <c r="AA413">
        <f>IF(G413="S",1,0)</f>
        <v>1</v>
      </c>
      <c r="AB413">
        <f>IF(G413="U",1,0)</f>
        <v>0</v>
      </c>
      <c r="AC413" s="5">
        <f>IF(AND(ISNUMBER(H413),NOT(ISNUMBER(P413))),1,0)</f>
        <v>0</v>
      </c>
      <c r="AD413" s="5">
        <f>IF(AND(ISNUMBER(H413),ISNUMBER(P413)),1,0)</f>
        <v>0</v>
      </c>
      <c r="AE413" s="5">
        <f>W413</f>
        <v>1.47</v>
      </c>
      <c r="AF413" s="5">
        <f>X413</f>
        <v>9.8022919999999996</v>
      </c>
      <c r="AG413" s="5">
        <f>Y413</f>
        <v>0</v>
      </c>
      <c r="AH413" s="5">
        <f>IF(OR(G413="C",G413="S",G413="U"),1,0)</f>
        <v>1</v>
      </c>
      <c r="AI413" s="5">
        <f>IF(ISNUMBER(H413),1,0)</f>
        <v>0</v>
      </c>
      <c r="AJ413" s="5">
        <f>IF(ISNUMBER(P413),1,0)</f>
        <v>1</v>
      </c>
      <c r="AK413" s="5" t="str">
        <f>IF(AI413=1,IF(J413&gt;0,1,0),"")</f>
        <v/>
      </c>
      <c r="AL413" s="5">
        <f>IF(AJ413=1,IF(OR(Q413&gt;0,R413&gt;0),1,0),"")</f>
        <v>1</v>
      </c>
    </row>
    <row r="414" spans="1:38">
      <c r="A414">
        <v>388961</v>
      </c>
      <c r="B414" t="s">
        <v>525</v>
      </c>
      <c r="C414" t="s">
        <v>42</v>
      </c>
      <c r="D414" t="s">
        <v>24</v>
      </c>
      <c r="E414">
        <v>5</v>
      </c>
      <c r="F414">
        <v>13000</v>
      </c>
      <c r="H414" t="s">
        <v>26</v>
      </c>
      <c r="I414" t="s">
        <v>26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>
        <v>1</v>
      </c>
      <c r="Q414">
        <v>0</v>
      </c>
      <c r="R414">
        <v>1</v>
      </c>
      <c r="S414">
        <v>1</v>
      </c>
      <c r="T414">
        <v>76.923100000000005</v>
      </c>
      <c r="U414">
        <v>0.2</v>
      </c>
      <c r="V414">
        <v>1</v>
      </c>
      <c r="W414">
        <f>E414/100</f>
        <v>0.05</v>
      </c>
      <c r="X414">
        <f>F414/1000000</f>
        <v>1.2999999999999999E-2</v>
      </c>
      <c r="Y414">
        <f>IF(D414="C",1,0)</f>
        <v>0</v>
      </c>
      <c r="Z414">
        <f>IF(G414="C",1,0)</f>
        <v>0</v>
      </c>
      <c r="AA414">
        <f>IF(G414="S",1,0)</f>
        <v>0</v>
      </c>
      <c r="AB414">
        <f>IF(G414="U",1,0)</f>
        <v>0</v>
      </c>
      <c r="AC414" s="5">
        <f>IF(AND(ISNUMBER(H414),NOT(ISNUMBER(P414))),1,0)</f>
        <v>0</v>
      </c>
      <c r="AD414" s="5">
        <f>IF(AND(ISNUMBER(H414),ISNUMBER(P414)),1,0)</f>
        <v>0</v>
      </c>
      <c r="AE414" s="5">
        <f>W414</f>
        <v>0.05</v>
      </c>
      <c r="AF414" s="5">
        <f>X414</f>
        <v>1.2999999999999999E-2</v>
      </c>
      <c r="AG414" s="5">
        <f>Y414</f>
        <v>0</v>
      </c>
      <c r="AH414" s="5">
        <f>IF(OR(G414="C",G414="S",G414="U"),1,0)</f>
        <v>0</v>
      </c>
      <c r="AI414" s="5">
        <f>IF(ISNUMBER(H414),1,0)</f>
        <v>0</v>
      </c>
      <c r="AJ414" s="5">
        <f>IF(ISNUMBER(P414),1,0)</f>
        <v>1</v>
      </c>
      <c r="AK414" s="5" t="str">
        <f>IF(AI414=1,IF(J414&gt;0,1,0),"")</f>
        <v/>
      </c>
      <c r="AL414" s="5">
        <f>IF(AJ414=1,IF(OR(Q414&gt;0,R414&gt;0),1,0),"")</f>
        <v>1</v>
      </c>
    </row>
    <row r="415" spans="1:38">
      <c r="A415">
        <v>390315</v>
      </c>
      <c r="B415" t="s">
        <v>526</v>
      </c>
      <c r="C415" t="s">
        <v>23</v>
      </c>
      <c r="D415" t="s">
        <v>24</v>
      </c>
      <c r="E415">
        <v>57</v>
      </c>
      <c r="F415">
        <v>330000</v>
      </c>
      <c r="H415" t="s">
        <v>26</v>
      </c>
      <c r="I415" t="s">
        <v>26</v>
      </c>
      <c r="J415" t="s">
        <v>26</v>
      </c>
      <c r="K415" t="s">
        <v>26</v>
      </c>
      <c r="L415" t="s">
        <v>26</v>
      </c>
      <c r="M415" t="s">
        <v>26</v>
      </c>
      <c r="N415" t="s">
        <v>26</v>
      </c>
      <c r="O415" t="s">
        <v>26</v>
      </c>
      <c r="P415">
        <v>1</v>
      </c>
      <c r="Q415">
        <v>0</v>
      </c>
      <c r="R415">
        <v>1</v>
      </c>
      <c r="S415">
        <v>0</v>
      </c>
      <c r="T415">
        <v>3.0303</v>
      </c>
      <c r="U415">
        <v>1.7500000000000002E-2</v>
      </c>
      <c r="V415">
        <v>1</v>
      </c>
      <c r="W415">
        <f>E415/100</f>
        <v>0.56999999999999995</v>
      </c>
      <c r="X415">
        <f>F415/1000000</f>
        <v>0.33</v>
      </c>
      <c r="Y415">
        <f>IF(D415="C",1,0)</f>
        <v>0</v>
      </c>
      <c r="Z415">
        <f>IF(G415="C",1,0)</f>
        <v>0</v>
      </c>
      <c r="AA415">
        <f>IF(G415="S",1,0)</f>
        <v>0</v>
      </c>
      <c r="AB415">
        <f>IF(G415="U",1,0)</f>
        <v>0</v>
      </c>
      <c r="AC415" s="5">
        <f>IF(AND(ISNUMBER(H415),NOT(ISNUMBER(P415))),1,0)</f>
        <v>0</v>
      </c>
      <c r="AD415" s="5">
        <f>IF(AND(ISNUMBER(H415),ISNUMBER(P415)),1,0)</f>
        <v>0</v>
      </c>
      <c r="AE415" s="5">
        <f>W415</f>
        <v>0.56999999999999995</v>
      </c>
      <c r="AF415" s="5">
        <f>X415</f>
        <v>0.33</v>
      </c>
      <c r="AG415" s="5">
        <f>Y415</f>
        <v>0</v>
      </c>
      <c r="AH415" s="5">
        <f>IF(OR(G415="C",G415="S",G415="U"),1,0)</f>
        <v>0</v>
      </c>
      <c r="AI415" s="5">
        <f>IF(ISNUMBER(H415),1,0)</f>
        <v>0</v>
      </c>
      <c r="AJ415" s="5">
        <f>IF(ISNUMBER(P415),1,0)</f>
        <v>1</v>
      </c>
      <c r="AK415" s="5" t="str">
        <f>IF(AI415=1,IF(J415&gt;0,1,0),"")</f>
        <v/>
      </c>
      <c r="AL415" s="5">
        <f>IF(AJ415=1,IF(OR(Q415&gt;0,R415&gt;0),1,0),"")</f>
        <v>1</v>
      </c>
    </row>
    <row r="416" spans="1:38">
      <c r="A416">
        <v>390690</v>
      </c>
      <c r="B416" t="s">
        <v>527</v>
      </c>
      <c r="C416" t="s">
        <v>37</v>
      </c>
      <c r="D416" t="s">
        <v>33</v>
      </c>
      <c r="E416">
        <v>18</v>
      </c>
      <c r="F416">
        <v>432944</v>
      </c>
      <c r="H416" t="s">
        <v>26</v>
      </c>
      <c r="I416" t="s">
        <v>26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>
        <v>1</v>
      </c>
      <c r="Q416">
        <v>0</v>
      </c>
      <c r="R416">
        <v>1</v>
      </c>
      <c r="S416">
        <v>1</v>
      </c>
      <c r="T416">
        <v>2.3098000000000001</v>
      </c>
      <c r="U416">
        <v>5.5599999999999997E-2</v>
      </c>
      <c r="V416">
        <v>1</v>
      </c>
      <c r="W416">
        <f>E416/100</f>
        <v>0.18</v>
      </c>
      <c r="X416">
        <f>F416/1000000</f>
        <v>0.432944</v>
      </c>
      <c r="Y416">
        <f>IF(D416="C",1,0)</f>
        <v>1</v>
      </c>
      <c r="Z416">
        <f>IF(G416="C",1,0)</f>
        <v>0</v>
      </c>
      <c r="AA416">
        <f>IF(G416="S",1,0)</f>
        <v>0</v>
      </c>
      <c r="AB416">
        <f>IF(G416="U",1,0)</f>
        <v>0</v>
      </c>
      <c r="AC416" s="5">
        <f>IF(AND(ISNUMBER(H416),NOT(ISNUMBER(P416))),1,0)</f>
        <v>0</v>
      </c>
      <c r="AD416" s="5">
        <f>IF(AND(ISNUMBER(H416),ISNUMBER(P416)),1,0)</f>
        <v>0</v>
      </c>
      <c r="AE416" s="5">
        <f>W416</f>
        <v>0.18</v>
      </c>
      <c r="AF416" s="5">
        <f>X416</f>
        <v>0.432944</v>
      </c>
      <c r="AG416" s="5">
        <f>Y416</f>
        <v>1</v>
      </c>
      <c r="AH416" s="5">
        <f>IF(OR(G416="C",G416="S",G416="U"),1,0)</f>
        <v>0</v>
      </c>
      <c r="AI416" s="5">
        <f>IF(ISNUMBER(H416),1,0)</f>
        <v>0</v>
      </c>
      <c r="AJ416" s="5">
        <f>IF(ISNUMBER(P416),1,0)</f>
        <v>1</v>
      </c>
      <c r="AK416" s="5" t="str">
        <f>IF(AI416=1,IF(J416&gt;0,1,0),"")</f>
        <v/>
      </c>
      <c r="AL416" s="5">
        <f>IF(AJ416=1,IF(OR(Q416&gt;0,R416&gt;0),1,0),"")</f>
        <v>1</v>
      </c>
    </row>
    <row r="417" spans="1:38">
      <c r="A417">
        <v>392799</v>
      </c>
      <c r="B417" t="s">
        <v>529</v>
      </c>
      <c r="C417" t="s">
        <v>82</v>
      </c>
      <c r="D417" t="s">
        <v>24</v>
      </c>
      <c r="E417">
        <v>4</v>
      </c>
      <c r="F417">
        <v>47718</v>
      </c>
      <c r="H417" t="s">
        <v>26</v>
      </c>
      <c r="I417" t="s">
        <v>26</v>
      </c>
      <c r="J417" t="s">
        <v>26</v>
      </c>
      <c r="K417" t="s">
        <v>26</v>
      </c>
      <c r="L417" t="s">
        <v>26</v>
      </c>
      <c r="M417" t="s">
        <v>26</v>
      </c>
      <c r="N417" t="s">
        <v>26</v>
      </c>
      <c r="O417" t="s">
        <v>26</v>
      </c>
      <c r="P417">
        <v>1</v>
      </c>
      <c r="Q417">
        <v>0</v>
      </c>
      <c r="R417">
        <v>0</v>
      </c>
      <c r="S417">
        <v>1</v>
      </c>
      <c r="T417">
        <v>20.956499999999998</v>
      </c>
      <c r="U417">
        <v>0.25</v>
      </c>
      <c r="V417">
        <v>0</v>
      </c>
      <c r="W417">
        <f>E417/100</f>
        <v>0.04</v>
      </c>
      <c r="X417">
        <f>F417/1000000</f>
        <v>4.7718000000000003E-2</v>
      </c>
      <c r="Y417">
        <f>IF(D417="C",1,0)</f>
        <v>0</v>
      </c>
      <c r="Z417">
        <f>IF(G417="C",1,0)</f>
        <v>0</v>
      </c>
      <c r="AA417">
        <f>IF(G417="S",1,0)</f>
        <v>0</v>
      </c>
      <c r="AB417">
        <f>IF(G417="U",1,0)</f>
        <v>0</v>
      </c>
      <c r="AC417" s="5">
        <f>IF(AND(ISNUMBER(H417),NOT(ISNUMBER(P417))),1,0)</f>
        <v>0</v>
      </c>
      <c r="AD417" s="5">
        <f>IF(AND(ISNUMBER(H417),ISNUMBER(P417)),1,0)</f>
        <v>0</v>
      </c>
      <c r="AE417" s="5">
        <f>W417</f>
        <v>0.04</v>
      </c>
      <c r="AF417" s="5">
        <f>X417</f>
        <v>4.7718000000000003E-2</v>
      </c>
      <c r="AG417" s="5">
        <f>Y417</f>
        <v>0</v>
      </c>
      <c r="AH417" s="5">
        <f>IF(OR(G417="C",G417="S",G417="U"),1,0)</f>
        <v>0</v>
      </c>
      <c r="AI417" s="5">
        <f>IF(ISNUMBER(H417),1,0)</f>
        <v>0</v>
      </c>
      <c r="AJ417" s="5">
        <f>IF(ISNUMBER(P417),1,0)</f>
        <v>1</v>
      </c>
      <c r="AK417" s="5" t="str">
        <f>IF(AI417=1,IF(J417&gt;0,1,0),"")</f>
        <v/>
      </c>
      <c r="AL417" s="5">
        <f>IF(AJ417=1,IF(OR(Q417&gt;0,R417&gt;0),1,0),"")</f>
        <v>0</v>
      </c>
    </row>
    <row r="418" spans="1:38">
      <c r="A418">
        <v>392874</v>
      </c>
      <c r="B418" t="s">
        <v>530</v>
      </c>
      <c r="C418" t="s">
        <v>77</v>
      </c>
      <c r="D418" t="s">
        <v>24</v>
      </c>
      <c r="E418">
        <v>62</v>
      </c>
      <c r="F418">
        <v>3711957</v>
      </c>
      <c r="G418" t="s">
        <v>25</v>
      </c>
      <c r="H418" t="s">
        <v>26</v>
      </c>
      <c r="I418" t="s">
        <v>26</v>
      </c>
      <c r="J418" t="s">
        <v>26</v>
      </c>
      <c r="K418" t="s">
        <v>26</v>
      </c>
      <c r="L418" t="s">
        <v>26</v>
      </c>
      <c r="M418" t="s">
        <v>26</v>
      </c>
      <c r="N418" t="s">
        <v>26</v>
      </c>
      <c r="O418" t="s">
        <v>26</v>
      </c>
      <c r="P418">
        <v>1</v>
      </c>
      <c r="Q418">
        <v>0</v>
      </c>
      <c r="R418">
        <v>1</v>
      </c>
      <c r="S418">
        <v>1</v>
      </c>
      <c r="T418">
        <v>0.26939999999999997</v>
      </c>
      <c r="U418">
        <v>1.61E-2</v>
      </c>
      <c r="V418">
        <v>1</v>
      </c>
      <c r="W418">
        <f>E418/100</f>
        <v>0.62</v>
      </c>
      <c r="X418">
        <f>F418/1000000</f>
        <v>3.711957</v>
      </c>
      <c r="Y418">
        <f>IF(D418="C",1,0)</f>
        <v>0</v>
      </c>
      <c r="Z418">
        <f>IF(G418="C",1,0)</f>
        <v>0</v>
      </c>
      <c r="AA418">
        <f>IF(G418="S",1,0)</f>
        <v>1</v>
      </c>
      <c r="AB418">
        <f>IF(G418="U",1,0)</f>
        <v>0</v>
      </c>
      <c r="AC418" s="5">
        <f>IF(AND(ISNUMBER(H418),NOT(ISNUMBER(P418))),1,0)</f>
        <v>0</v>
      </c>
      <c r="AD418" s="5">
        <f>IF(AND(ISNUMBER(H418),ISNUMBER(P418)),1,0)</f>
        <v>0</v>
      </c>
      <c r="AE418" s="5">
        <f>W418</f>
        <v>0.62</v>
      </c>
      <c r="AF418" s="5">
        <f>X418</f>
        <v>3.711957</v>
      </c>
      <c r="AG418" s="5">
        <f>Y418</f>
        <v>0</v>
      </c>
      <c r="AH418" s="5">
        <f>IF(OR(G418="C",G418="S",G418="U"),1,0)</f>
        <v>1</v>
      </c>
      <c r="AI418" s="5">
        <f>IF(ISNUMBER(H418),1,0)</f>
        <v>0</v>
      </c>
      <c r="AJ418" s="5">
        <f>IF(ISNUMBER(P418),1,0)</f>
        <v>1</v>
      </c>
      <c r="AK418" s="5" t="str">
        <f>IF(AI418=1,IF(J418&gt;0,1,0),"")</f>
        <v/>
      </c>
      <c r="AL418" s="5">
        <f>IF(AJ418=1,IF(OR(Q418&gt;0,R418&gt;0),1,0),"")</f>
        <v>1</v>
      </c>
    </row>
    <row r="419" spans="1:38">
      <c r="A419">
        <v>393926</v>
      </c>
      <c r="B419" t="s">
        <v>532</v>
      </c>
      <c r="C419" t="s">
        <v>37</v>
      </c>
      <c r="D419" t="s">
        <v>24</v>
      </c>
      <c r="E419">
        <v>2</v>
      </c>
      <c r="F419">
        <v>73166</v>
      </c>
      <c r="G419" t="s">
        <v>25</v>
      </c>
      <c r="H419" t="s">
        <v>26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>
        <v>1</v>
      </c>
      <c r="Q419">
        <v>0</v>
      </c>
      <c r="R419">
        <v>1</v>
      </c>
      <c r="S419">
        <v>1</v>
      </c>
      <c r="T419">
        <v>13.6676</v>
      </c>
      <c r="U419">
        <v>0.5</v>
      </c>
      <c r="V419">
        <v>1</v>
      </c>
      <c r="W419">
        <f>E419/100</f>
        <v>0.02</v>
      </c>
      <c r="X419">
        <f>F419/1000000</f>
        <v>7.3165999999999995E-2</v>
      </c>
      <c r="Y419">
        <f>IF(D419="C",1,0)</f>
        <v>0</v>
      </c>
      <c r="Z419">
        <f>IF(G419="C",1,0)</f>
        <v>0</v>
      </c>
      <c r="AA419">
        <f>IF(G419="S",1,0)</f>
        <v>1</v>
      </c>
      <c r="AB419">
        <f>IF(G419="U",1,0)</f>
        <v>0</v>
      </c>
      <c r="AC419" s="5">
        <f>IF(AND(ISNUMBER(H419),NOT(ISNUMBER(P419))),1,0)</f>
        <v>0</v>
      </c>
      <c r="AD419" s="5">
        <f>IF(AND(ISNUMBER(H419),ISNUMBER(P419)),1,0)</f>
        <v>0</v>
      </c>
      <c r="AE419" s="5">
        <f>W419</f>
        <v>0.02</v>
      </c>
      <c r="AF419" s="5">
        <f>X419</f>
        <v>7.3165999999999995E-2</v>
      </c>
      <c r="AG419" s="5">
        <f>Y419</f>
        <v>0</v>
      </c>
      <c r="AH419" s="5">
        <f>IF(OR(G419="C",G419="S",G419="U"),1,0)</f>
        <v>1</v>
      </c>
      <c r="AI419" s="5">
        <f>IF(ISNUMBER(H419),1,0)</f>
        <v>0</v>
      </c>
      <c r="AJ419" s="5">
        <f>IF(ISNUMBER(P419),1,0)</f>
        <v>1</v>
      </c>
      <c r="AK419" s="5" t="str">
        <f>IF(AI419=1,IF(J419&gt;0,1,0),"")</f>
        <v/>
      </c>
      <c r="AL419" s="5">
        <f>IF(AJ419=1,IF(OR(Q419&gt;0,R419&gt;0),1,0),"")</f>
        <v>1</v>
      </c>
    </row>
    <row r="420" spans="1:38">
      <c r="A420">
        <v>394795</v>
      </c>
      <c r="B420" t="s">
        <v>533</v>
      </c>
      <c r="C420" t="s">
        <v>93</v>
      </c>
      <c r="D420" t="s">
        <v>24</v>
      </c>
      <c r="E420">
        <v>2</v>
      </c>
      <c r="F420">
        <v>70000</v>
      </c>
      <c r="G420" t="s">
        <v>33</v>
      </c>
      <c r="H420" t="s">
        <v>26</v>
      </c>
      <c r="I420" t="s">
        <v>26</v>
      </c>
      <c r="J420" t="s">
        <v>26</v>
      </c>
      <c r="K420" t="s">
        <v>26</v>
      </c>
      <c r="L420" t="s">
        <v>26</v>
      </c>
      <c r="M420" t="s">
        <v>26</v>
      </c>
      <c r="N420" t="s">
        <v>26</v>
      </c>
      <c r="O420" t="s">
        <v>26</v>
      </c>
      <c r="P420">
        <v>1</v>
      </c>
      <c r="Q420">
        <v>0</v>
      </c>
      <c r="R420">
        <v>0</v>
      </c>
      <c r="S420">
        <v>1</v>
      </c>
      <c r="T420">
        <v>14.2857</v>
      </c>
      <c r="U420">
        <v>0.5</v>
      </c>
      <c r="V420">
        <v>0</v>
      </c>
      <c r="W420">
        <f>E420/100</f>
        <v>0.02</v>
      </c>
      <c r="X420">
        <f>F420/1000000</f>
        <v>7.0000000000000007E-2</v>
      </c>
      <c r="Y420">
        <f>IF(D420="C",1,0)</f>
        <v>0</v>
      </c>
      <c r="Z420">
        <f>IF(G420="C",1,0)</f>
        <v>1</v>
      </c>
      <c r="AA420">
        <f>IF(G420="S",1,0)</f>
        <v>0</v>
      </c>
      <c r="AB420">
        <f>IF(G420="U",1,0)</f>
        <v>0</v>
      </c>
      <c r="AC420" s="5">
        <f>IF(AND(ISNUMBER(H420),NOT(ISNUMBER(P420))),1,0)</f>
        <v>0</v>
      </c>
      <c r="AD420" s="5">
        <f>IF(AND(ISNUMBER(H420),ISNUMBER(P420)),1,0)</f>
        <v>0</v>
      </c>
      <c r="AE420" s="5">
        <f>W420</f>
        <v>0.02</v>
      </c>
      <c r="AF420" s="5">
        <f>X420</f>
        <v>7.0000000000000007E-2</v>
      </c>
      <c r="AG420" s="5">
        <f>Y420</f>
        <v>0</v>
      </c>
      <c r="AH420" s="5">
        <f>IF(OR(G420="C",G420="S",G420="U"),1,0)</f>
        <v>1</v>
      </c>
      <c r="AI420" s="5">
        <f>IF(ISNUMBER(H420),1,0)</f>
        <v>0</v>
      </c>
      <c r="AJ420" s="5">
        <f>IF(ISNUMBER(P420),1,0)</f>
        <v>1</v>
      </c>
      <c r="AK420" s="5" t="str">
        <f>IF(AI420=1,IF(J420&gt;0,1,0),"")</f>
        <v/>
      </c>
      <c r="AL420" s="5">
        <f>IF(AJ420=1,IF(OR(Q420&gt;0,R420&gt;0),1,0),"")</f>
        <v>0</v>
      </c>
    </row>
    <row r="421" spans="1:38">
      <c r="A421">
        <v>397557</v>
      </c>
      <c r="B421" t="s">
        <v>534</v>
      </c>
      <c r="C421" t="s">
        <v>37</v>
      </c>
      <c r="D421" t="s">
        <v>24</v>
      </c>
      <c r="E421">
        <v>10</v>
      </c>
      <c r="F421">
        <v>100000</v>
      </c>
      <c r="H421" t="s">
        <v>26</v>
      </c>
      <c r="I421" t="s">
        <v>26</v>
      </c>
      <c r="J421" t="s">
        <v>26</v>
      </c>
      <c r="K421" t="s">
        <v>26</v>
      </c>
      <c r="L421" t="s">
        <v>26</v>
      </c>
      <c r="M421" t="s">
        <v>26</v>
      </c>
      <c r="N421" t="s">
        <v>26</v>
      </c>
      <c r="O421" t="s">
        <v>26</v>
      </c>
      <c r="P421">
        <v>2</v>
      </c>
      <c r="Q421">
        <v>0</v>
      </c>
      <c r="R421">
        <v>1</v>
      </c>
      <c r="S421">
        <v>2</v>
      </c>
      <c r="T421">
        <v>20</v>
      </c>
      <c r="U421">
        <v>0.2</v>
      </c>
      <c r="V421">
        <v>1</v>
      </c>
      <c r="W421">
        <f>E421/100</f>
        <v>0.1</v>
      </c>
      <c r="X421">
        <f>F421/1000000</f>
        <v>0.1</v>
      </c>
      <c r="Y421">
        <f>IF(D421="C",1,0)</f>
        <v>0</v>
      </c>
      <c r="Z421">
        <f>IF(G421="C",1,0)</f>
        <v>0</v>
      </c>
      <c r="AA421">
        <f>IF(G421="S",1,0)</f>
        <v>0</v>
      </c>
      <c r="AB421">
        <f>IF(G421="U",1,0)</f>
        <v>0</v>
      </c>
      <c r="AC421" s="5">
        <f>IF(AND(ISNUMBER(H421),NOT(ISNUMBER(P421))),1,0)</f>
        <v>0</v>
      </c>
      <c r="AD421" s="5">
        <f>IF(AND(ISNUMBER(H421),ISNUMBER(P421)),1,0)</f>
        <v>0</v>
      </c>
      <c r="AE421" s="5">
        <f>W421</f>
        <v>0.1</v>
      </c>
      <c r="AF421" s="5">
        <f>X421</f>
        <v>0.1</v>
      </c>
      <c r="AG421" s="5">
        <f>Y421</f>
        <v>0</v>
      </c>
      <c r="AH421" s="5">
        <f>IF(OR(G421="C",G421="S",G421="U"),1,0)</f>
        <v>0</v>
      </c>
      <c r="AI421" s="5">
        <f>IF(ISNUMBER(H421),1,0)</f>
        <v>0</v>
      </c>
      <c r="AJ421" s="5">
        <f>IF(ISNUMBER(P421),1,0)</f>
        <v>1</v>
      </c>
      <c r="AK421" s="5" t="str">
        <f>IF(AI421=1,IF(J421&gt;0,1,0),"")</f>
        <v/>
      </c>
      <c r="AL421" s="5">
        <f>IF(AJ421=1,IF(OR(Q421&gt;0,R421&gt;0),1,0),"")</f>
        <v>1</v>
      </c>
    </row>
    <row r="422" spans="1:38">
      <c r="A422">
        <v>399065</v>
      </c>
      <c r="B422" t="s">
        <v>535</v>
      </c>
      <c r="C422" t="s">
        <v>23</v>
      </c>
      <c r="D422" t="s">
        <v>24</v>
      </c>
      <c r="E422">
        <v>2</v>
      </c>
      <c r="F422">
        <v>60000</v>
      </c>
      <c r="H422" t="s">
        <v>26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>
        <v>1</v>
      </c>
      <c r="Q422">
        <v>0</v>
      </c>
      <c r="R422">
        <v>1</v>
      </c>
      <c r="S422">
        <v>1</v>
      </c>
      <c r="T422">
        <v>16.666699999999999</v>
      </c>
      <c r="U422">
        <v>0.5</v>
      </c>
      <c r="V422">
        <v>1</v>
      </c>
      <c r="W422">
        <f>E422/100</f>
        <v>0.02</v>
      </c>
      <c r="X422">
        <f>F422/1000000</f>
        <v>0.06</v>
      </c>
      <c r="Y422">
        <f>IF(D422="C",1,0)</f>
        <v>0</v>
      </c>
      <c r="Z422">
        <f>IF(G422="C",1,0)</f>
        <v>0</v>
      </c>
      <c r="AA422">
        <f>IF(G422="S",1,0)</f>
        <v>0</v>
      </c>
      <c r="AB422">
        <f>IF(G422="U",1,0)</f>
        <v>0</v>
      </c>
      <c r="AC422" s="5">
        <f>IF(AND(ISNUMBER(H422),NOT(ISNUMBER(P422))),1,0)</f>
        <v>0</v>
      </c>
      <c r="AD422" s="5">
        <f>IF(AND(ISNUMBER(H422),ISNUMBER(P422)),1,0)</f>
        <v>0</v>
      </c>
      <c r="AE422" s="5">
        <f>W422</f>
        <v>0.02</v>
      </c>
      <c r="AF422" s="5">
        <f>X422</f>
        <v>0.06</v>
      </c>
      <c r="AG422" s="5">
        <f>Y422</f>
        <v>0</v>
      </c>
      <c r="AH422" s="5">
        <f>IF(OR(G422="C",G422="S",G422="U"),1,0)</f>
        <v>0</v>
      </c>
      <c r="AI422" s="5">
        <f>IF(ISNUMBER(H422),1,0)</f>
        <v>0</v>
      </c>
      <c r="AJ422" s="5">
        <f>IF(ISNUMBER(P422),1,0)</f>
        <v>1</v>
      </c>
      <c r="AK422" s="5" t="str">
        <f>IF(AI422=1,IF(J422&gt;0,1,0),"")</f>
        <v/>
      </c>
      <c r="AL422" s="5">
        <f>IF(AJ422=1,IF(OR(Q422&gt;0,R422&gt;0),1,0),"")</f>
        <v>1</v>
      </c>
    </row>
    <row r="423" spans="1:38">
      <c r="A423">
        <v>399778</v>
      </c>
      <c r="B423" t="s">
        <v>536</v>
      </c>
      <c r="C423" t="s">
        <v>23</v>
      </c>
      <c r="D423" t="s">
        <v>24</v>
      </c>
      <c r="E423">
        <v>44</v>
      </c>
      <c r="F423">
        <v>1889074</v>
      </c>
      <c r="G423" t="s">
        <v>25</v>
      </c>
      <c r="H423" t="s">
        <v>26</v>
      </c>
      <c r="I423" t="s">
        <v>26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>
        <v>1</v>
      </c>
      <c r="Q423">
        <v>0</v>
      </c>
      <c r="R423">
        <v>1</v>
      </c>
      <c r="S423">
        <v>1</v>
      </c>
      <c r="T423">
        <v>0.52939999999999998</v>
      </c>
      <c r="U423">
        <v>2.2700000000000001E-2</v>
      </c>
      <c r="V423">
        <v>1</v>
      </c>
      <c r="W423">
        <f>E423/100</f>
        <v>0.44</v>
      </c>
      <c r="X423">
        <f>F423/1000000</f>
        <v>1.8890739999999999</v>
      </c>
      <c r="Y423">
        <f>IF(D423="C",1,0)</f>
        <v>0</v>
      </c>
      <c r="Z423">
        <f>IF(G423="C",1,0)</f>
        <v>0</v>
      </c>
      <c r="AA423">
        <f>IF(G423="S",1,0)</f>
        <v>1</v>
      </c>
      <c r="AB423">
        <f>IF(G423="U",1,0)</f>
        <v>0</v>
      </c>
      <c r="AC423" s="5">
        <f>IF(AND(ISNUMBER(H423),NOT(ISNUMBER(P423))),1,0)</f>
        <v>0</v>
      </c>
      <c r="AD423" s="5">
        <f>IF(AND(ISNUMBER(H423),ISNUMBER(P423)),1,0)</f>
        <v>0</v>
      </c>
      <c r="AE423" s="5">
        <f>W423</f>
        <v>0.44</v>
      </c>
      <c r="AF423" s="5">
        <f>X423</f>
        <v>1.8890739999999999</v>
      </c>
      <c r="AG423" s="5">
        <f>Y423</f>
        <v>0</v>
      </c>
      <c r="AH423" s="5">
        <f>IF(OR(G423="C",G423="S",G423="U"),1,0)</f>
        <v>1</v>
      </c>
      <c r="AI423" s="5">
        <f>IF(ISNUMBER(H423),1,0)</f>
        <v>0</v>
      </c>
      <c r="AJ423" s="5">
        <f>IF(ISNUMBER(P423),1,0)</f>
        <v>1</v>
      </c>
      <c r="AK423" s="5" t="str">
        <f>IF(AI423=1,IF(J423&gt;0,1,0),"")</f>
        <v/>
      </c>
      <c r="AL423" s="5">
        <f>IF(AJ423=1,IF(OR(Q423&gt;0,R423&gt;0),1,0),"")</f>
        <v>1</v>
      </c>
    </row>
    <row r="424" spans="1:38">
      <c r="A424">
        <v>401055</v>
      </c>
      <c r="B424" t="s">
        <v>537</v>
      </c>
      <c r="C424" t="s">
        <v>82</v>
      </c>
      <c r="D424" t="s">
        <v>24</v>
      </c>
      <c r="E424">
        <v>63</v>
      </c>
      <c r="F424">
        <v>970786</v>
      </c>
      <c r="G424" t="s">
        <v>33</v>
      </c>
      <c r="H424" t="s">
        <v>26</v>
      </c>
      <c r="I424" t="s">
        <v>26</v>
      </c>
      <c r="J424" t="s">
        <v>26</v>
      </c>
      <c r="K424" t="s">
        <v>26</v>
      </c>
      <c r="L424" t="s">
        <v>26</v>
      </c>
      <c r="M424" t="s">
        <v>26</v>
      </c>
      <c r="N424" t="s">
        <v>26</v>
      </c>
      <c r="O424" t="s">
        <v>26</v>
      </c>
      <c r="P424">
        <v>1</v>
      </c>
      <c r="Q424">
        <v>0</v>
      </c>
      <c r="R424">
        <v>1</v>
      </c>
      <c r="S424">
        <v>1</v>
      </c>
      <c r="T424">
        <v>1.0301</v>
      </c>
      <c r="U424">
        <v>1.5900000000000001E-2</v>
      </c>
      <c r="V424">
        <v>1</v>
      </c>
      <c r="W424">
        <f>E424/100</f>
        <v>0.63</v>
      </c>
      <c r="X424">
        <f>F424/1000000</f>
        <v>0.97078600000000004</v>
      </c>
      <c r="Y424">
        <f>IF(D424="C",1,0)</f>
        <v>0</v>
      </c>
      <c r="Z424">
        <f>IF(G424="C",1,0)</f>
        <v>1</v>
      </c>
      <c r="AA424">
        <f>IF(G424="S",1,0)</f>
        <v>0</v>
      </c>
      <c r="AB424">
        <f>IF(G424="U",1,0)</f>
        <v>0</v>
      </c>
      <c r="AC424" s="5">
        <f>IF(AND(ISNUMBER(H424),NOT(ISNUMBER(P424))),1,0)</f>
        <v>0</v>
      </c>
      <c r="AD424" s="5">
        <f>IF(AND(ISNUMBER(H424),ISNUMBER(P424)),1,0)</f>
        <v>0</v>
      </c>
      <c r="AE424" s="5">
        <f>W424</f>
        <v>0.63</v>
      </c>
      <c r="AF424" s="5">
        <f>X424</f>
        <v>0.97078600000000004</v>
      </c>
      <c r="AG424" s="5">
        <f>Y424</f>
        <v>0</v>
      </c>
      <c r="AH424" s="5">
        <f>IF(OR(G424="C",G424="S",G424="U"),1,0)</f>
        <v>1</v>
      </c>
      <c r="AI424" s="5">
        <f>IF(ISNUMBER(H424),1,0)</f>
        <v>0</v>
      </c>
      <c r="AJ424" s="5">
        <f>IF(ISNUMBER(P424),1,0)</f>
        <v>1</v>
      </c>
      <c r="AK424" s="5" t="str">
        <f>IF(AI424=1,IF(J424&gt;0,1,0),"")</f>
        <v/>
      </c>
      <c r="AL424" s="5">
        <f>IF(AJ424=1,IF(OR(Q424&gt;0,R424&gt;0),1,0),"")</f>
        <v>1</v>
      </c>
    </row>
    <row r="425" spans="1:38">
      <c r="A425">
        <v>402821</v>
      </c>
      <c r="B425" t="s">
        <v>538</v>
      </c>
      <c r="C425" t="s">
        <v>23</v>
      </c>
      <c r="D425" t="s">
        <v>33</v>
      </c>
      <c r="E425">
        <v>8</v>
      </c>
      <c r="F425">
        <v>35000</v>
      </c>
      <c r="H425" t="s">
        <v>26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>
        <v>1</v>
      </c>
      <c r="Q425">
        <v>0</v>
      </c>
      <c r="R425">
        <v>0</v>
      </c>
      <c r="S425">
        <v>1</v>
      </c>
      <c r="T425">
        <v>28.571400000000001</v>
      </c>
      <c r="U425">
        <v>0.125</v>
      </c>
      <c r="V425">
        <v>0</v>
      </c>
      <c r="W425">
        <f>E425/100</f>
        <v>0.08</v>
      </c>
      <c r="X425">
        <f>F425/1000000</f>
        <v>3.5000000000000003E-2</v>
      </c>
      <c r="Y425">
        <f>IF(D425="C",1,0)</f>
        <v>1</v>
      </c>
      <c r="Z425">
        <f>IF(G425="C",1,0)</f>
        <v>0</v>
      </c>
      <c r="AA425">
        <f>IF(G425="S",1,0)</f>
        <v>0</v>
      </c>
      <c r="AB425">
        <f>IF(G425="U",1,0)</f>
        <v>0</v>
      </c>
      <c r="AC425" s="5">
        <f>IF(AND(ISNUMBER(H425),NOT(ISNUMBER(P425))),1,0)</f>
        <v>0</v>
      </c>
      <c r="AD425" s="5">
        <f>IF(AND(ISNUMBER(H425),ISNUMBER(P425)),1,0)</f>
        <v>0</v>
      </c>
      <c r="AE425" s="5">
        <f>W425</f>
        <v>0.08</v>
      </c>
      <c r="AF425" s="5">
        <f>X425</f>
        <v>3.5000000000000003E-2</v>
      </c>
      <c r="AG425" s="5">
        <f>Y425</f>
        <v>1</v>
      </c>
      <c r="AH425" s="5">
        <f>IF(OR(G425="C",G425="S",G425="U"),1,0)</f>
        <v>0</v>
      </c>
      <c r="AI425" s="5">
        <f>IF(ISNUMBER(H425),1,0)</f>
        <v>0</v>
      </c>
      <c r="AJ425" s="5">
        <f>IF(ISNUMBER(P425),1,0)</f>
        <v>1</v>
      </c>
      <c r="AK425" s="5" t="str">
        <f>IF(AI425=1,IF(J425&gt;0,1,0),"")</f>
        <v/>
      </c>
      <c r="AL425" s="5">
        <f>IF(AJ425=1,IF(OR(Q425&gt;0,R425&gt;0),1,0),"")</f>
        <v>0</v>
      </c>
    </row>
    <row r="426" spans="1:38">
      <c r="A426">
        <v>403891</v>
      </c>
      <c r="B426" t="s">
        <v>539</v>
      </c>
      <c r="C426" t="s">
        <v>37</v>
      </c>
      <c r="D426" t="s">
        <v>24</v>
      </c>
      <c r="E426">
        <v>3</v>
      </c>
      <c r="F426">
        <v>265000</v>
      </c>
      <c r="G426" t="s">
        <v>25</v>
      </c>
      <c r="H426" t="s">
        <v>26</v>
      </c>
      <c r="I426" t="s">
        <v>26</v>
      </c>
      <c r="J426" t="s">
        <v>26</v>
      </c>
      <c r="K426" t="s">
        <v>26</v>
      </c>
      <c r="L426" t="s">
        <v>26</v>
      </c>
      <c r="M426" t="s">
        <v>26</v>
      </c>
      <c r="N426" t="s">
        <v>26</v>
      </c>
      <c r="O426" t="s">
        <v>26</v>
      </c>
      <c r="P426">
        <v>1</v>
      </c>
      <c r="Q426">
        <v>0</v>
      </c>
      <c r="R426">
        <v>1</v>
      </c>
      <c r="S426">
        <v>1</v>
      </c>
      <c r="T426">
        <v>3.7736000000000001</v>
      </c>
      <c r="U426">
        <v>0.33329999999999999</v>
      </c>
      <c r="V426">
        <v>1</v>
      </c>
      <c r="W426">
        <f>E426/100</f>
        <v>0.03</v>
      </c>
      <c r="X426">
        <f>F426/1000000</f>
        <v>0.26500000000000001</v>
      </c>
      <c r="Y426">
        <f>IF(D426="C",1,0)</f>
        <v>0</v>
      </c>
      <c r="Z426">
        <f>IF(G426="C",1,0)</f>
        <v>0</v>
      </c>
      <c r="AA426">
        <f>IF(G426="S",1,0)</f>
        <v>1</v>
      </c>
      <c r="AB426">
        <f>IF(G426="U",1,0)</f>
        <v>0</v>
      </c>
      <c r="AC426" s="5">
        <f>IF(AND(ISNUMBER(H426),NOT(ISNUMBER(P426))),1,0)</f>
        <v>0</v>
      </c>
      <c r="AD426" s="5">
        <f>IF(AND(ISNUMBER(H426),ISNUMBER(P426)),1,0)</f>
        <v>0</v>
      </c>
      <c r="AE426" s="5">
        <f>W426</f>
        <v>0.03</v>
      </c>
      <c r="AF426" s="5">
        <f>X426</f>
        <v>0.26500000000000001</v>
      </c>
      <c r="AG426" s="5">
        <f>Y426</f>
        <v>0</v>
      </c>
      <c r="AH426" s="5">
        <f>IF(OR(G426="C",G426="S",G426="U"),1,0)</f>
        <v>1</v>
      </c>
      <c r="AI426" s="5">
        <f>IF(ISNUMBER(H426),1,0)</f>
        <v>0</v>
      </c>
      <c r="AJ426" s="5">
        <f>IF(ISNUMBER(P426),1,0)</f>
        <v>1</v>
      </c>
      <c r="AK426" s="5" t="str">
        <f>IF(AI426=1,IF(J426&gt;0,1,0),"")</f>
        <v/>
      </c>
      <c r="AL426" s="5">
        <f>IF(AJ426=1,IF(OR(Q426&gt;0,R426&gt;0),1,0),"")</f>
        <v>1</v>
      </c>
    </row>
    <row r="427" spans="1:38">
      <c r="A427">
        <v>405478</v>
      </c>
      <c r="B427" t="s">
        <v>541</v>
      </c>
      <c r="C427" t="s">
        <v>125</v>
      </c>
      <c r="D427" t="s">
        <v>24</v>
      </c>
      <c r="E427">
        <v>54</v>
      </c>
      <c r="F427">
        <v>3877919</v>
      </c>
      <c r="G427" t="s">
        <v>25</v>
      </c>
      <c r="H427" t="s">
        <v>26</v>
      </c>
      <c r="I427" t="s">
        <v>26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>
        <v>1</v>
      </c>
      <c r="Q427">
        <v>0</v>
      </c>
      <c r="R427">
        <v>0</v>
      </c>
      <c r="S427">
        <v>1</v>
      </c>
      <c r="T427">
        <v>0.25790000000000002</v>
      </c>
      <c r="U427">
        <v>1.8499999999999999E-2</v>
      </c>
      <c r="V427">
        <v>0</v>
      </c>
      <c r="W427">
        <f>E427/100</f>
        <v>0.54</v>
      </c>
      <c r="X427">
        <f>F427/1000000</f>
        <v>3.8779189999999999</v>
      </c>
      <c r="Y427">
        <f>IF(D427="C",1,0)</f>
        <v>0</v>
      </c>
      <c r="Z427">
        <f>IF(G427="C",1,0)</f>
        <v>0</v>
      </c>
      <c r="AA427">
        <f>IF(G427="S",1,0)</f>
        <v>1</v>
      </c>
      <c r="AB427">
        <f>IF(G427="U",1,0)</f>
        <v>0</v>
      </c>
      <c r="AC427" s="5">
        <f>IF(AND(ISNUMBER(H427),NOT(ISNUMBER(P427))),1,0)</f>
        <v>0</v>
      </c>
      <c r="AD427" s="5">
        <f>IF(AND(ISNUMBER(H427),ISNUMBER(P427)),1,0)</f>
        <v>0</v>
      </c>
      <c r="AE427" s="5">
        <f>W427</f>
        <v>0.54</v>
      </c>
      <c r="AF427" s="5">
        <f>X427</f>
        <v>3.8779189999999999</v>
      </c>
      <c r="AG427" s="5">
        <f>Y427</f>
        <v>0</v>
      </c>
      <c r="AH427" s="5">
        <f>IF(OR(G427="C",G427="S",G427="U"),1,0)</f>
        <v>1</v>
      </c>
      <c r="AI427" s="5">
        <f>IF(ISNUMBER(H427),1,0)</f>
        <v>0</v>
      </c>
      <c r="AJ427" s="5">
        <f>IF(ISNUMBER(P427),1,0)</f>
        <v>1</v>
      </c>
      <c r="AK427" s="5" t="str">
        <f>IF(AI427=1,IF(J427&gt;0,1,0),"")</f>
        <v/>
      </c>
      <c r="AL427" s="5">
        <f>IF(AJ427=1,IF(OR(Q427&gt;0,R427&gt;0),1,0),"")</f>
        <v>0</v>
      </c>
    </row>
    <row r="428" spans="1:38">
      <c r="A428">
        <v>409054</v>
      </c>
      <c r="B428" t="s">
        <v>542</v>
      </c>
      <c r="C428" t="s">
        <v>23</v>
      </c>
      <c r="D428" t="s">
        <v>33</v>
      </c>
      <c r="E428">
        <v>5</v>
      </c>
      <c r="F428">
        <v>54000</v>
      </c>
      <c r="H428" t="s">
        <v>26</v>
      </c>
      <c r="I428" t="s">
        <v>26</v>
      </c>
      <c r="J428" t="s">
        <v>26</v>
      </c>
      <c r="K428" t="s">
        <v>26</v>
      </c>
      <c r="L428" t="s">
        <v>26</v>
      </c>
      <c r="M428" t="s">
        <v>26</v>
      </c>
      <c r="N428" t="s">
        <v>26</v>
      </c>
      <c r="O428" t="s">
        <v>26</v>
      </c>
      <c r="P428">
        <v>1</v>
      </c>
      <c r="Q428">
        <v>0</v>
      </c>
      <c r="R428">
        <v>1</v>
      </c>
      <c r="S428">
        <v>1</v>
      </c>
      <c r="T428">
        <v>18.5185</v>
      </c>
      <c r="U428">
        <v>0.2</v>
      </c>
      <c r="V428">
        <v>1</v>
      </c>
      <c r="W428">
        <f>E428/100</f>
        <v>0.05</v>
      </c>
      <c r="X428">
        <f>F428/1000000</f>
        <v>5.3999999999999999E-2</v>
      </c>
      <c r="Y428">
        <f>IF(D428="C",1,0)</f>
        <v>1</v>
      </c>
      <c r="Z428">
        <f>IF(G428="C",1,0)</f>
        <v>0</v>
      </c>
      <c r="AA428">
        <f>IF(G428="S",1,0)</f>
        <v>0</v>
      </c>
      <c r="AB428">
        <f>IF(G428="U",1,0)</f>
        <v>0</v>
      </c>
      <c r="AC428" s="5">
        <f>IF(AND(ISNUMBER(H428),NOT(ISNUMBER(P428))),1,0)</f>
        <v>0</v>
      </c>
      <c r="AD428" s="5">
        <f>IF(AND(ISNUMBER(H428),ISNUMBER(P428)),1,0)</f>
        <v>0</v>
      </c>
      <c r="AE428" s="5">
        <f>W428</f>
        <v>0.05</v>
      </c>
      <c r="AF428" s="5">
        <f>X428</f>
        <v>5.3999999999999999E-2</v>
      </c>
      <c r="AG428" s="5">
        <f>Y428</f>
        <v>1</v>
      </c>
      <c r="AH428" s="5">
        <f>IF(OR(G428="C",G428="S",G428="U"),1,0)</f>
        <v>0</v>
      </c>
      <c r="AI428" s="5">
        <f>IF(ISNUMBER(H428),1,0)</f>
        <v>0</v>
      </c>
      <c r="AJ428" s="5">
        <f>IF(ISNUMBER(P428),1,0)</f>
        <v>1</v>
      </c>
      <c r="AK428" s="5" t="str">
        <f>IF(AI428=1,IF(J428&gt;0,1,0),"")</f>
        <v/>
      </c>
      <c r="AL428" s="5">
        <f>IF(AJ428=1,IF(OR(Q428&gt;0,R428&gt;0),1,0),"")</f>
        <v>1</v>
      </c>
    </row>
    <row r="429" spans="1:38">
      <c r="A429">
        <v>419743</v>
      </c>
      <c r="B429" t="s">
        <v>543</v>
      </c>
      <c r="C429" t="s">
        <v>23</v>
      </c>
      <c r="D429" t="s">
        <v>24</v>
      </c>
      <c r="E429">
        <v>150</v>
      </c>
      <c r="F429">
        <v>3426288</v>
      </c>
      <c r="G429" t="s">
        <v>25</v>
      </c>
      <c r="H429" t="s">
        <v>26</v>
      </c>
      <c r="I429" t="s">
        <v>26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26</v>
      </c>
      <c r="P429">
        <v>1</v>
      </c>
      <c r="Q429">
        <v>0</v>
      </c>
      <c r="R429">
        <v>1</v>
      </c>
      <c r="S429">
        <v>1</v>
      </c>
      <c r="T429">
        <v>0.29189999999999999</v>
      </c>
      <c r="U429">
        <v>6.7000000000000002E-3</v>
      </c>
      <c r="V429">
        <v>1</v>
      </c>
      <c r="W429">
        <f>E429/100</f>
        <v>1.5</v>
      </c>
      <c r="X429">
        <f>F429/1000000</f>
        <v>3.426288</v>
      </c>
      <c r="Y429">
        <f>IF(D429="C",1,0)</f>
        <v>0</v>
      </c>
      <c r="Z429">
        <f>IF(G429="C",1,0)</f>
        <v>0</v>
      </c>
      <c r="AA429">
        <f>IF(G429="S",1,0)</f>
        <v>1</v>
      </c>
      <c r="AB429">
        <f>IF(G429="U",1,0)</f>
        <v>0</v>
      </c>
      <c r="AC429" s="5">
        <f>IF(AND(ISNUMBER(H429),NOT(ISNUMBER(P429))),1,0)</f>
        <v>0</v>
      </c>
      <c r="AD429" s="5">
        <f>IF(AND(ISNUMBER(H429),ISNUMBER(P429)),1,0)</f>
        <v>0</v>
      </c>
      <c r="AE429" s="5">
        <f>W429</f>
        <v>1.5</v>
      </c>
      <c r="AF429" s="5">
        <f>X429</f>
        <v>3.426288</v>
      </c>
      <c r="AG429" s="5">
        <f>Y429</f>
        <v>0</v>
      </c>
      <c r="AH429" s="5">
        <f>IF(OR(G429="C",G429="S",G429="U"),1,0)</f>
        <v>1</v>
      </c>
      <c r="AI429" s="5">
        <f>IF(ISNUMBER(H429),1,0)</f>
        <v>0</v>
      </c>
      <c r="AJ429" s="5">
        <f>IF(ISNUMBER(P429),1,0)</f>
        <v>1</v>
      </c>
      <c r="AK429" s="5" t="str">
        <f>IF(AI429=1,IF(J429&gt;0,1,0),"")</f>
        <v/>
      </c>
      <c r="AL429" s="5">
        <f>IF(AJ429=1,IF(OR(Q429&gt;0,R429&gt;0),1,0),"")</f>
        <v>1</v>
      </c>
    </row>
    <row r="430" spans="1:38">
      <c r="A430">
        <v>420581</v>
      </c>
      <c r="B430" t="s">
        <v>544</v>
      </c>
      <c r="C430" t="s">
        <v>77</v>
      </c>
      <c r="D430" t="s">
        <v>24</v>
      </c>
      <c r="E430">
        <v>10</v>
      </c>
      <c r="F430">
        <v>300000</v>
      </c>
      <c r="G430" t="s">
        <v>25</v>
      </c>
      <c r="H430" t="s">
        <v>26</v>
      </c>
      <c r="I430" t="s">
        <v>26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>
        <v>1</v>
      </c>
      <c r="Q430">
        <v>0</v>
      </c>
      <c r="R430">
        <v>0</v>
      </c>
      <c r="S430">
        <v>1</v>
      </c>
      <c r="T430">
        <v>3.3332999999999999</v>
      </c>
      <c r="U430">
        <v>0.1</v>
      </c>
      <c r="V430">
        <v>0</v>
      </c>
      <c r="W430">
        <f>E430/100</f>
        <v>0.1</v>
      </c>
      <c r="X430">
        <f>F430/1000000</f>
        <v>0.3</v>
      </c>
      <c r="Y430">
        <f>IF(D430="C",1,0)</f>
        <v>0</v>
      </c>
      <c r="Z430">
        <f>IF(G430="C",1,0)</f>
        <v>0</v>
      </c>
      <c r="AA430">
        <f>IF(G430="S",1,0)</f>
        <v>1</v>
      </c>
      <c r="AB430">
        <f>IF(G430="U",1,0)</f>
        <v>0</v>
      </c>
      <c r="AC430" s="5">
        <f>IF(AND(ISNUMBER(H430),NOT(ISNUMBER(P430))),1,0)</f>
        <v>0</v>
      </c>
      <c r="AD430" s="5">
        <f>IF(AND(ISNUMBER(H430),ISNUMBER(P430)),1,0)</f>
        <v>0</v>
      </c>
      <c r="AE430" s="5">
        <f>W430</f>
        <v>0.1</v>
      </c>
      <c r="AF430" s="5">
        <f>X430</f>
        <v>0.3</v>
      </c>
      <c r="AG430" s="5">
        <f>Y430</f>
        <v>0</v>
      </c>
      <c r="AH430" s="5">
        <f>IF(OR(G430="C",G430="S",G430="U"),1,0)</f>
        <v>1</v>
      </c>
      <c r="AI430" s="5">
        <f>IF(ISNUMBER(H430),1,0)</f>
        <v>0</v>
      </c>
      <c r="AJ430" s="5">
        <f>IF(ISNUMBER(P430),1,0)</f>
        <v>1</v>
      </c>
      <c r="AK430" s="5" t="str">
        <f>IF(AI430=1,IF(J430&gt;0,1,0),"")</f>
        <v/>
      </c>
      <c r="AL430" s="5">
        <f>IF(AJ430=1,IF(OR(Q430&gt;0,R430&gt;0),1,0),"")</f>
        <v>0</v>
      </c>
    </row>
    <row r="431" spans="1:38">
      <c r="A431">
        <v>421231</v>
      </c>
      <c r="B431" t="s">
        <v>545</v>
      </c>
      <c r="C431" t="s">
        <v>190</v>
      </c>
      <c r="D431" t="s">
        <v>24</v>
      </c>
      <c r="E431">
        <v>24</v>
      </c>
      <c r="F431">
        <v>2710375</v>
      </c>
      <c r="G431" t="s">
        <v>25</v>
      </c>
      <c r="H431" t="s">
        <v>26</v>
      </c>
      <c r="I431" t="s">
        <v>26</v>
      </c>
      <c r="J431" t="s">
        <v>26</v>
      </c>
      <c r="K431" t="s">
        <v>26</v>
      </c>
      <c r="L431" t="s">
        <v>26</v>
      </c>
      <c r="M431" t="s">
        <v>26</v>
      </c>
      <c r="N431" t="s">
        <v>26</v>
      </c>
      <c r="O431" t="s">
        <v>26</v>
      </c>
      <c r="P431">
        <v>1</v>
      </c>
      <c r="Q431">
        <v>0</v>
      </c>
      <c r="R431">
        <v>1</v>
      </c>
      <c r="S431">
        <v>1</v>
      </c>
      <c r="T431">
        <v>0.36899999999999999</v>
      </c>
      <c r="U431">
        <v>4.1700000000000001E-2</v>
      </c>
      <c r="V431">
        <v>1</v>
      </c>
      <c r="W431">
        <f>E431/100</f>
        <v>0.24</v>
      </c>
      <c r="X431">
        <f>F431/1000000</f>
        <v>2.710375</v>
      </c>
      <c r="Y431">
        <f>IF(D431="C",1,0)</f>
        <v>0</v>
      </c>
      <c r="Z431">
        <f>IF(G431="C",1,0)</f>
        <v>0</v>
      </c>
      <c r="AA431">
        <f>IF(G431="S",1,0)</f>
        <v>1</v>
      </c>
      <c r="AB431">
        <f>IF(G431="U",1,0)</f>
        <v>0</v>
      </c>
      <c r="AC431" s="5">
        <f>IF(AND(ISNUMBER(H431),NOT(ISNUMBER(P431))),1,0)</f>
        <v>0</v>
      </c>
      <c r="AD431" s="5">
        <f>IF(AND(ISNUMBER(H431),ISNUMBER(P431)),1,0)</f>
        <v>0</v>
      </c>
      <c r="AE431" s="5">
        <f>W431</f>
        <v>0.24</v>
      </c>
      <c r="AF431" s="5">
        <f>X431</f>
        <v>2.710375</v>
      </c>
      <c r="AG431" s="5">
        <f>Y431</f>
        <v>0</v>
      </c>
      <c r="AH431" s="5">
        <f>IF(OR(G431="C",G431="S",G431="U"),1,0)</f>
        <v>1</v>
      </c>
      <c r="AI431" s="5">
        <f>IF(ISNUMBER(H431),1,0)</f>
        <v>0</v>
      </c>
      <c r="AJ431" s="5">
        <f>IF(ISNUMBER(P431),1,0)</f>
        <v>1</v>
      </c>
      <c r="AK431" s="5" t="str">
        <f>IF(AI431=1,IF(J431&gt;0,1,0),"")</f>
        <v/>
      </c>
      <c r="AL431" s="5">
        <f>IF(AJ431=1,IF(OR(Q431&gt;0,R431&gt;0),1,0),"")</f>
        <v>1</v>
      </c>
    </row>
    <row r="432" spans="1:38">
      <c r="A432">
        <v>422316</v>
      </c>
      <c r="B432" t="s">
        <v>546</v>
      </c>
      <c r="C432" t="s">
        <v>40</v>
      </c>
      <c r="D432" t="s">
        <v>24</v>
      </c>
      <c r="E432">
        <v>13</v>
      </c>
      <c r="F432">
        <v>5549</v>
      </c>
      <c r="G432" t="s">
        <v>33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>
        <v>1</v>
      </c>
      <c r="Q432">
        <v>0</v>
      </c>
      <c r="R432">
        <v>1</v>
      </c>
      <c r="S432">
        <v>1</v>
      </c>
      <c r="T432">
        <v>180.21270000000001</v>
      </c>
      <c r="U432">
        <v>7.6899999999999996E-2</v>
      </c>
      <c r="V432">
        <v>1</v>
      </c>
      <c r="W432">
        <f>E432/100</f>
        <v>0.13</v>
      </c>
      <c r="X432">
        <f>F432/1000000</f>
        <v>5.5490000000000001E-3</v>
      </c>
      <c r="Y432">
        <f>IF(D432="C",1,0)</f>
        <v>0</v>
      </c>
      <c r="Z432">
        <f>IF(G432="C",1,0)</f>
        <v>1</v>
      </c>
      <c r="AA432">
        <f>IF(G432="S",1,0)</f>
        <v>0</v>
      </c>
      <c r="AB432">
        <f>IF(G432="U",1,0)</f>
        <v>0</v>
      </c>
      <c r="AC432" s="5">
        <f>IF(AND(ISNUMBER(H432),NOT(ISNUMBER(P432))),1,0)</f>
        <v>0</v>
      </c>
      <c r="AD432" s="5">
        <f>IF(AND(ISNUMBER(H432),ISNUMBER(P432)),1,0)</f>
        <v>0</v>
      </c>
      <c r="AE432" s="5">
        <f>W432</f>
        <v>0.13</v>
      </c>
      <c r="AF432" s="5">
        <f>X432</f>
        <v>5.5490000000000001E-3</v>
      </c>
      <c r="AG432" s="5">
        <f>Y432</f>
        <v>0</v>
      </c>
      <c r="AH432" s="5">
        <f>IF(OR(G432="C",G432="S",G432="U"),1,0)</f>
        <v>1</v>
      </c>
      <c r="AI432" s="5">
        <f>IF(ISNUMBER(H432),1,0)</f>
        <v>0</v>
      </c>
      <c r="AJ432" s="5">
        <f>IF(ISNUMBER(P432),1,0)</f>
        <v>1</v>
      </c>
      <c r="AK432" s="5" t="str">
        <f>IF(AI432=1,IF(J432&gt;0,1,0),"")</f>
        <v/>
      </c>
      <c r="AL432" s="5">
        <f>IF(AJ432=1,IF(OR(Q432&gt;0,R432&gt;0),1,0),"")</f>
        <v>1</v>
      </c>
    </row>
    <row r="433" spans="1:38">
      <c r="A433">
        <v>425804</v>
      </c>
      <c r="B433" t="s">
        <v>547</v>
      </c>
      <c r="C433" t="s">
        <v>37</v>
      </c>
      <c r="D433" t="s">
        <v>24</v>
      </c>
      <c r="E433">
        <v>895</v>
      </c>
      <c r="F433">
        <v>5600000</v>
      </c>
      <c r="G433" t="s">
        <v>25</v>
      </c>
      <c r="H433" t="s">
        <v>26</v>
      </c>
      <c r="I433" t="s">
        <v>26</v>
      </c>
      <c r="J433" t="s">
        <v>26</v>
      </c>
      <c r="K433" t="s">
        <v>26</v>
      </c>
      <c r="L433" t="s">
        <v>26</v>
      </c>
      <c r="M433" t="s">
        <v>26</v>
      </c>
      <c r="N433" t="s">
        <v>26</v>
      </c>
      <c r="O433" t="s">
        <v>26</v>
      </c>
      <c r="P433">
        <v>1</v>
      </c>
      <c r="Q433">
        <v>0</v>
      </c>
      <c r="R433">
        <v>1</v>
      </c>
      <c r="S433">
        <v>1</v>
      </c>
      <c r="T433">
        <v>0.17860000000000001</v>
      </c>
      <c r="U433">
        <v>1.1000000000000001E-3</v>
      </c>
      <c r="V433">
        <v>1</v>
      </c>
      <c r="W433">
        <f>E433/100</f>
        <v>8.9499999999999993</v>
      </c>
      <c r="X433">
        <f>F433/1000000</f>
        <v>5.6</v>
      </c>
      <c r="Y433">
        <f>IF(D433="C",1,0)</f>
        <v>0</v>
      </c>
      <c r="Z433">
        <f>IF(G433="C",1,0)</f>
        <v>0</v>
      </c>
      <c r="AA433">
        <f>IF(G433="S",1,0)</f>
        <v>1</v>
      </c>
      <c r="AB433">
        <f>IF(G433="U",1,0)</f>
        <v>0</v>
      </c>
      <c r="AC433" s="5">
        <f>IF(AND(ISNUMBER(H433),NOT(ISNUMBER(P433))),1,0)</f>
        <v>0</v>
      </c>
      <c r="AD433" s="5">
        <f>IF(AND(ISNUMBER(H433),ISNUMBER(P433)),1,0)</f>
        <v>0</v>
      </c>
      <c r="AE433" s="5">
        <f>W433</f>
        <v>8.9499999999999993</v>
      </c>
      <c r="AF433" s="5">
        <f>X433</f>
        <v>5.6</v>
      </c>
      <c r="AG433" s="5">
        <f>Y433</f>
        <v>0</v>
      </c>
      <c r="AH433" s="5">
        <f>IF(OR(G433="C",G433="S",G433="U"),1,0)</f>
        <v>1</v>
      </c>
      <c r="AI433" s="5">
        <f>IF(ISNUMBER(H433),1,0)</f>
        <v>0</v>
      </c>
      <c r="AJ433" s="5">
        <f>IF(ISNUMBER(P433),1,0)</f>
        <v>1</v>
      </c>
      <c r="AK433" s="5" t="str">
        <f>IF(AI433=1,IF(J433&gt;0,1,0),"")</f>
        <v/>
      </c>
      <c r="AL433" s="5">
        <f>IF(AJ433=1,IF(OR(Q433&gt;0,R433&gt;0),1,0),"")</f>
        <v>1</v>
      </c>
    </row>
    <row r="434" spans="1:38">
      <c r="A434">
        <v>428030</v>
      </c>
      <c r="B434" t="s">
        <v>549</v>
      </c>
      <c r="C434" t="s">
        <v>42</v>
      </c>
      <c r="D434" t="s">
        <v>24</v>
      </c>
      <c r="E434">
        <v>53</v>
      </c>
      <c r="F434">
        <v>2968894</v>
      </c>
      <c r="H434" t="s">
        <v>26</v>
      </c>
      <c r="I434" t="s">
        <v>26</v>
      </c>
      <c r="J434" t="s">
        <v>26</v>
      </c>
      <c r="K434" t="s">
        <v>26</v>
      </c>
      <c r="L434" t="s">
        <v>26</v>
      </c>
      <c r="M434" t="s">
        <v>26</v>
      </c>
      <c r="N434" t="s">
        <v>26</v>
      </c>
      <c r="O434" t="s">
        <v>26</v>
      </c>
      <c r="P434">
        <v>1</v>
      </c>
      <c r="Q434">
        <v>0</v>
      </c>
      <c r="R434">
        <v>1</v>
      </c>
      <c r="S434">
        <v>1</v>
      </c>
      <c r="T434">
        <v>0.33679999999999999</v>
      </c>
      <c r="U434">
        <v>1.89E-2</v>
      </c>
      <c r="V434">
        <v>1</v>
      </c>
      <c r="W434">
        <f>E434/100</f>
        <v>0.53</v>
      </c>
      <c r="X434">
        <f>F434/1000000</f>
        <v>2.9688940000000001</v>
      </c>
      <c r="Y434">
        <f>IF(D434="C",1,0)</f>
        <v>0</v>
      </c>
      <c r="Z434">
        <f>IF(G434="C",1,0)</f>
        <v>0</v>
      </c>
      <c r="AA434">
        <f>IF(G434="S",1,0)</f>
        <v>0</v>
      </c>
      <c r="AB434">
        <f>IF(G434="U",1,0)</f>
        <v>0</v>
      </c>
      <c r="AC434" s="5">
        <f>IF(AND(ISNUMBER(H434),NOT(ISNUMBER(P434))),1,0)</f>
        <v>0</v>
      </c>
      <c r="AD434" s="5">
        <f>IF(AND(ISNUMBER(H434),ISNUMBER(P434)),1,0)</f>
        <v>0</v>
      </c>
      <c r="AE434" s="5">
        <f>W434</f>
        <v>0.53</v>
      </c>
      <c r="AF434" s="5">
        <f>X434</f>
        <v>2.9688940000000001</v>
      </c>
      <c r="AG434" s="5">
        <f>Y434</f>
        <v>0</v>
      </c>
      <c r="AH434" s="5">
        <f>IF(OR(G434="C",G434="S",G434="U"),1,0)</f>
        <v>0</v>
      </c>
      <c r="AI434" s="5">
        <f>IF(ISNUMBER(H434),1,0)</f>
        <v>0</v>
      </c>
      <c r="AJ434" s="5">
        <f>IF(ISNUMBER(P434),1,0)</f>
        <v>1</v>
      </c>
      <c r="AK434" s="5" t="str">
        <f>IF(AI434=1,IF(J434&gt;0,1,0),"")</f>
        <v/>
      </c>
      <c r="AL434" s="5">
        <f>IF(AJ434=1,IF(OR(Q434&gt;0,R434&gt;0),1,0),"")</f>
        <v>1</v>
      </c>
    </row>
    <row r="435" spans="1:38">
      <c r="A435">
        <v>428243</v>
      </c>
      <c r="B435" t="s">
        <v>550</v>
      </c>
      <c r="C435" t="s">
        <v>37</v>
      </c>
      <c r="D435" t="s">
        <v>24</v>
      </c>
      <c r="E435">
        <v>15</v>
      </c>
      <c r="F435">
        <v>110000</v>
      </c>
      <c r="G435" t="s">
        <v>33</v>
      </c>
      <c r="H435" t="s">
        <v>26</v>
      </c>
      <c r="I435" t="s">
        <v>26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>
        <v>1</v>
      </c>
      <c r="Q435">
        <v>0</v>
      </c>
      <c r="R435">
        <v>1</v>
      </c>
      <c r="S435">
        <v>1</v>
      </c>
      <c r="T435">
        <v>9.0908999999999995</v>
      </c>
      <c r="U435">
        <v>6.6699999999999995E-2</v>
      </c>
      <c r="V435">
        <v>1</v>
      </c>
      <c r="W435">
        <f>E435/100</f>
        <v>0.15</v>
      </c>
      <c r="X435">
        <f>F435/1000000</f>
        <v>0.11</v>
      </c>
      <c r="Y435">
        <f>IF(D435="C",1,0)</f>
        <v>0</v>
      </c>
      <c r="Z435">
        <f>IF(G435="C",1,0)</f>
        <v>1</v>
      </c>
      <c r="AA435">
        <f>IF(G435="S",1,0)</f>
        <v>0</v>
      </c>
      <c r="AB435">
        <f>IF(G435="U",1,0)</f>
        <v>0</v>
      </c>
      <c r="AC435" s="5">
        <f>IF(AND(ISNUMBER(H435),NOT(ISNUMBER(P435))),1,0)</f>
        <v>0</v>
      </c>
      <c r="AD435" s="5">
        <f>IF(AND(ISNUMBER(H435),ISNUMBER(P435)),1,0)</f>
        <v>0</v>
      </c>
      <c r="AE435" s="5">
        <f>W435</f>
        <v>0.15</v>
      </c>
      <c r="AF435" s="5">
        <f>X435</f>
        <v>0.11</v>
      </c>
      <c r="AG435" s="5">
        <f>Y435</f>
        <v>0</v>
      </c>
      <c r="AH435" s="5">
        <f>IF(OR(G435="C",G435="S",G435="U"),1,0)</f>
        <v>1</v>
      </c>
      <c r="AI435" s="5">
        <f>IF(ISNUMBER(H435),1,0)</f>
        <v>0</v>
      </c>
      <c r="AJ435" s="5">
        <f>IF(ISNUMBER(P435),1,0)</f>
        <v>1</v>
      </c>
      <c r="AK435" s="5" t="str">
        <f>IF(AI435=1,IF(J435&gt;0,1,0),"")</f>
        <v/>
      </c>
      <c r="AL435" s="5">
        <f>IF(AJ435=1,IF(OR(Q435&gt;0,R435&gt;0),1,0),"")</f>
        <v>1</v>
      </c>
    </row>
    <row r="436" spans="1:38">
      <c r="A436">
        <v>428278</v>
      </c>
      <c r="B436" t="s">
        <v>551</v>
      </c>
      <c r="C436" t="s">
        <v>174</v>
      </c>
      <c r="D436" t="s">
        <v>24</v>
      </c>
      <c r="E436">
        <v>2</v>
      </c>
      <c r="F436">
        <v>102272</v>
      </c>
      <c r="G436" t="s">
        <v>25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>
        <v>1</v>
      </c>
      <c r="Q436">
        <v>0</v>
      </c>
      <c r="R436">
        <v>0</v>
      </c>
      <c r="S436">
        <v>1</v>
      </c>
      <c r="T436">
        <v>9.7777999999999992</v>
      </c>
      <c r="U436">
        <v>0.5</v>
      </c>
      <c r="V436">
        <v>0</v>
      </c>
      <c r="W436">
        <f>E436/100</f>
        <v>0.02</v>
      </c>
      <c r="X436">
        <f>F436/1000000</f>
        <v>0.102272</v>
      </c>
      <c r="Y436">
        <f>IF(D436="C",1,0)</f>
        <v>0</v>
      </c>
      <c r="Z436">
        <f>IF(G436="C",1,0)</f>
        <v>0</v>
      </c>
      <c r="AA436">
        <f>IF(G436="S",1,0)</f>
        <v>1</v>
      </c>
      <c r="AB436">
        <f>IF(G436="U",1,0)</f>
        <v>0</v>
      </c>
      <c r="AC436" s="5">
        <f>IF(AND(ISNUMBER(H436),NOT(ISNUMBER(P436))),1,0)</f>
        <v>0</v>
      </c>
      <c r="AD436" s="5">
        <f>IF(AND(ISNUMBER(H436),ISNUMBER(P436)),1,0)</f>
        <v>0</v>
      </c>
      <c r="AE436" s="5">
        <f>W436</f>
        <v>0.02</v>
      </c>
      <c r="AF436" s="5">
        <f>X436</f>
        <v>0.102272</v>
      </c>
      <c r="AG436" s="5">
        <f>Y436</f>
        <v>0</v>
      </c>
      <c r="AH436" s="5">
        <f>IF(OR(G436="C",G436="S",G436="U"),1,0)</f>
        <v>1</v>
      </c>
      <c r="AI436" s="5">
        <f>IF(ISNUMBER(H436),1,0)</f>
        <v>0</v>
      </c>
      <c r="AJ436" s="5">
        <f>IF(ISNUMBER(P436),1,0)</f>
        <v>1</v>
      </c>
      <c r="AK436" s="5" t="str">
        <f>IF(AI436=1,IF(J436&gt;0,1,0),"")</f>
        <v/>
      </c>
      <c r="AL436" s="5">
        <f>IF(AJ436=1,IF(OR(Q436&gt;0,R436&gt;0),1,0),"")</f>
        <v>0</v>
      </c>
    </row>
    <row r="437" spans="1:38">
      <c r="A437">
        <v>429306</v>
      </c>
      <c r="B437" t="s">
        <v>553</v>
      </c>
      <c r="C437" t="s">
        <v>82</v>
      </c>
      <c r="D437" t="s">
        <v>24</v>
      </c>
      <c r="E437">
        <v>17</v>
      </c>
      <c r="F437">
        <v>191921</v>
      </c>
      <c r="G437" t="s">
        <v>25</v>
      </c>
      <c r="H437" t="s">
        <v>26</v>
      </c>
      <c r="I437" t="s">
        <v>26</v>
      </c>
      <c r="J437" t="s">
        <v>26</v>
      </c>
      <c r="K437" t="s">
        <v>26</v>
      </c>
      <c r="L437" t="s">
        <v>26</v>
      </c>
      <c r="M437" t="s">
        <v>26</v>
      </c>
      <c r="N437" t="s">
        <v>26</v>
      </c>
      <c r="O437" t="s">
        <v>26</v>
      </c>
      <c r="P437">
        <v>1</v>
      </c>
      <c r="Q437">
        <v>0</v>
      </c>
      <c r="R437">
        <v>1</v>
      </c>
      <c r="S437">
        <v>0</v>
      </c>
      <c r="T437">
        <v>5.2104999999999997</v>
      </c>
      <c r="U437">
        <v>5.8799999999999998E-2</v>
      </c>
      <c r="V437">
        <v>1</v>
      </c>
      <c r="W437">
        <f>E437/100</f>
        <v>0.17</v>
      </c>
      <c r="X437">
        <f>F437/1000000</f>
        <v>0.19192100000000001</v>
      </c>
      <c r="Y437">
        <f>IF(D437="C",1,0)</f>
        <v>0</v>
      </c>
      <c r="Z437">
        <f>IF(G437="C",1,0)</f>
        <v>0</v>
      </c>
      <c r="AA437">
        <f>IF(G437="S",1,0)</f>
        <v>1</v>
      </c>
      <c r="AB437">
        <f>IF(G437="U",1,0)</f>
        <v>0</v>
      </c>
      <c r="AC437" s="5">
        <f>IF(AND(ISNUMBER(H437),NOT(ISNUMBER(P437))),1,0)</f>
        <v>0</v>
      </c>
      <c r="AD437" s="5">
        <f>IF(AND(ISNUMBER(H437),ISNUMBER(P437)),1,0)</f>
        <v>0</v>
      </c>
      <c r="AE437" s="5">
        <f>W437</f>
        <v>0.17</v>
      </c>
      <c r="AF437" s="5">
        <f>X437</f>
        <v>0.19192100000000001</v>
      </c>
      <c r="AG437" s="5">
        <f>Y437</f>
        <v>0</v>
      </c>
      <c r="AH437" s="5">
        <f>IF(OR(G437="C",G437="S",G437="U"),1,0)</f>
        <v>1</v>
      </c>
      <c r="AI437" s="5">
        <f>IF(ISNUMBER(H437),1,0)</f>
        <v>0</v>
      </c>
      <c r="AJ437" s="5">
        <f>IF(ISNUMBER(P437),1,0)</f>
        <v>1</v>
      </c>
      <c r="AK437" s="5" t="str">
        <f>IF(AI437=1,IF(J437&gt;0,1,0),"")</f>
        <v/>
      </c>
      <c r="AL437" s="5">
        <f>IF(AJ437=1,IF(OR(Q437&gt;0,R437&gt;0),1,0),"")</f>
        <v>1</v>
      </c>
    </row>
    <row r="438" spans="1:38">
      <c r="A438">
        <v>430023</v>
      </c>
      <c r="B438" t="s">
        <v>554</v>
      </c>
      <c r="C438" t="s">
        <v>40</v>
      </c>
      <c r="D438" t="s">
        <v>33</v>
      </c>
      <c r="E438">
        <v>4</v>
      </c>
      <c r="F438">
        <v>109504</v>
      </c>
      <c r="G438" t="s">
        <v>33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>
        <v>1</v>
      </c>
      <c r="Q438">
        <v>0</v>
      </c>
      <c r="R438">
        <v>1</v>
      </c>
      <c r="S438">
        <v>0</v>
      </c>
      <c r="T438">
        <v>9.1320999999999994</v>
      </c>
      <c r="U438">
        <v>0.25</v>
      </c>
      <c r="V438">
        <v>1</v>
      </c>
      <c r="W438">
        <f>E438/100</f>
        <v>0.04</v>
      </c>
      <c r="X438">
        <f>F438/1000000</f>
        <v>0.109504</v>
      </c>
      <c r="Y438">
        <f>IF(D438="C",1,0)</f>
        <v>1</v>
      </c>
      <c r="Z438">
        <f>IF(G438="C",1,0)</f>
        <v>1</v>
      </c>
      <c r="AA438">
        <f>IF(G438="S",1,0)</f>
        <v>0</v>
      </c>
      <c r="AB438">
        <f>IF(G438="U",1,0)</f>
        <v>0</v>
      </c>
      <c r="AC438" s="5">
        <f>IF(AND(ISNUMBER(H438),NOT(ISNUMBER(P438))),1,0)</f>
        <v>0</v>
      </c>
      <c r="AD438" s="5">
        <f>IF(AND(ISNUMBER(H438),ISNUMBER(P438)),1,0)</f>
        <v>0</v>
      </c>
      <c r="AE438" s="5">
        <f>W438</f>
        <v>0.04</v>
      </c>
      <c r="AF438" s="5">
        <f>X438</f>
        <v>0.109504</v>
      </c>
      <c r="AG438" s="5">
        <f>Y438</f>
        <v>1</v>
      </c>
      <c r="AH438" s="5">
        <f>IF(OR(G438="C",G438="S",G438="U"),1,0)</f>
        <v>1</v>
      </c>
      <c r="AI438" s="5">
        <f>IF(ISNUMBER(H438),1,0)</f>
        <v>0</v>
      </c>
      <c r="AJ438" s="5">
        <f>IF(ISNUMBER(P438),1,0)</f>
        <v>1</v>
      </c>
      <c r="AK438" s="5" t="str">
        <f>IF(AI438=1,IF(J438&gt;0,1,0),"")</f>
        <v/>
      </c>
      <c r="AL438" s="5">
        <f>IF(AJ438=1,IF(OR(Q438&gt;0,R438&gt;0),1,0),"")</f>
        <v>1</v>
      </c>
    </row>
    <row r="439" spans="1:38">
      <c r="A439">
        <v>433554</v>
      </c>
      <c r="B439" t="s">
        <v>555</v>
      </c>
      <c r="C439" t="s">
        <v>82</v>
      </c>
      <c r="D439" t="s">
        <v>24</v>
      </c>
      <c r="E439">
        <v>5</v>
      </c>
      <c r="F439">
        <v>207891</v>
      </c>
      <c r="H439" t="s">
        <v>26</v>
      </c>
      <c r="I439" t="s">
        <v>26</v>
      </c>
      <c r="J439" t="s">
        <v>26</v>
      </c>
      <c r="K439" t="s">
        <v>26</v>
      </c>
      <c r="L439" t="s">
        <v>26</v>
      </c>
      <c r="M439" t="s">
        <v>26</v>
      </c>
      <c r="N439" t="s">
        <v>26</v>
      </c>
      <c r="O439" t="s">
        <v>26</v>
      </c>
      <c r="P439">
        <v>1</v>
      </c>
      <c r="Q439">
        <v>0</v>
      </c>
      <c r="R439">
        <v>1</v>
      </c>
      <c r="S439">
        <v>0</v>
      </c>
      <c r="T439">
        <v>4.8102</v>
      </c>
      <c r="U439">
        <v>0.2</v>
      </c>
      <c r="V439">
        <v>1</v>
      </c>
      <c r="W439">
        <f>E439/100</f>
        <v>0.05</v>
      </c>
      <c r="X439">
        <f>F439/1000000</f>
        <v>0.20789099999999999</v>
      </c>
      <c r="Y439">
        <f>IF(D439="C",1,0)</f>
        <v>0</v>
      </c>
      <c r="Z439">
        <f>IF(G439="C",1,0)</f>
        <v>0</v>
      </c>
      <c r="AA439">
        <f>IF(G439="S",1,0)</f>
        <v>0</v>
      </c>
      <c r="AB439">
        <f>IF(G439="U",1,0)</f>
        <v>0</v>
      </c>
      <c r="AC439" s="5">
        <f>IF(AND(ISNUMBER(H439),NOT(ISNUMBER(P439))),1,0)</f>
        <v>0</v>
      </c>
      <c r="AD439" s="5">
        <f>IF(AND(ISNUMBER(H439),ISNUMBER(P439)),1,0)</f>
        <v>0</v>
      </c>
      <c r="AE439" s="5">
        <f>W439</f>
        <v>0.05</v>
      </c>
      <c r="AF439" s="5">
        <f>X439</f>
        <v>0.20789099999999999</v>
      </c>
      <c r="AG439" s="5">
        <f>Y439</f>
        <v>0</v>
      </c>
      <c r="AH439" s="5">
        <f>IF(OR(G439="C",G439="S",G439="U"),1,0)</f>
        <v>0</v>
      </c>
      <c r="AI439" s="5">
        <f>IF(ISNUMBER(H439),1,0)</f>
        <v>0</v>
      </c>
      <c r="AJ439" s="5">
        <f>IF(ISNUMBER(P439),1,0)</f>
        <v>1</v>
      </c>
      <c r="AK439" s="5" t="str">
        <f>IF(AI439=1,IF(J439&gt;0,1,0),"")</f>
        <v/>
      </c>
      <c r="AL439" s="5">
        <f>IF(AJ439=1,IF(OR(Q439&gt;0,R439&gt;0),1,0),"")</f>
        <v>1</v>
      </c>
    </row>
    <row r="440" spans="1:38">
      <c r="A440">
        <v>434326</v>
      </c>
      <c r="B440" t="s">
        <v>556</v>
      </c>
      <c r="C440" t="s">
        <v>338</v>
      </c>
      <c r="D440" t="s">
        <v>24</v>
      </c>
      <c r="E440">
        <v>2</v>
      </c>
      <c r="F440">
        <v>70703</v>
      </c>
      <c r="H440" t="s">
        <v>26</v>
      </c>
      <c r="I440" t="s">
        <v>26</v>
      </c>
      <c r="J440" t="s">
        <v>26</v>
      </c>
      <c r="K440" t="s">
        <v>26</v>
      </c>
      <c r="L440" t="s">
        <v>26</v>
      </c>
      <c r="M440" t="s">
        <v>26</v>
      </c>
      <c r="N440" t="s">
        <v>26</v>
      </c>
      <c r="O440" t="s">
        <v>26</v>
      </c>
      <c r="P440">
        <v>1</v>
      </c>
      <c r="Q440">
        <v>0</v>
      </c>
      <c r="R440">
        <v>0</v>
      </c>
      <c r="S440">
        <v>1</v>
      </c>
      <c r="T440">
        <v>14.143700000000001</v>
      </c>
      <c r="U440">
        <v>0.5</v>
      </c>
      <c r="V440">
        <v>0</v>
      </c>
      <c r="W440">
        <f>E440/100</f>
        <v>0.02</v>
      </c>
      <c r="X440">
        <f>F440/1000000</f>
        <v>7.0703000000000002E-2</v>
      </c>
      <c r="Y440">
        <f>IF(D440="C",1,0)</f>
        <v>0</v>
      </c>
      <c r="Z440">
        <f>IF(G440="C",1,0)</f>
        <v>0</v>
      </c>
      <c r="AA440">
        <f>IF(G440="S",1,0)</f>
        <v>0</v>
      </c>
      <c r="AB440">
        <f>IF(G440="U",1,0)</f>
        <v>0</v>
      </c>
      <c r="AC440" s="5">
        <f>IF(AND(ISNUMBER(H440),NOT(ISNUMBER(P440))),1,0)</f>
        <v>0</v>
      </c>
      <c r="AD440" s="5">
        <f>IF(AND(ISNUMBER(H440),ISNUMBER(P440)),1,0)</f>
        <v>0</v>
      </c>
      <c r="AE440" s="5">
        <f>W440</f>
        <v>0.02</v>
      </c>
      <c r="AF440" s="5">
        <f>X440</f>
        <v>7.0703000000000002E-2</v>
      </c>
      <c r="AG440" s="5">
        <f>Y440</f>
        <v>0</v>
      </c>
      <c r="AH440" s="5">
        <f>IF(OR(G440="C",G440="S",G440="U"),1,0)</f>
        <v>0</v>
      </c>
      <c r="AI440" s="5">
        <f>IF(ISNUMBER(H440),1,0)</f>
        <v>0</v>
      </c>
      <c r="AJ440" s="5">
        <f>IF(ISNUMBER(P440),1,0)</f>
        <v>1</v>
      </c>
      <c r="AK440" s="5" t="str">
        <f>IF(AI440=1,IF(J440&gt;0,1,0),"")</f>
        <v/>
      </c>
      <c r="AL440" s="5">
        <f>IF(AJ440=1,IF(OR(Q440&gt;0,R440&gt;0),1,0),"")</f>
        <v>0</v>
      </c>
    </row>
    <row r="441" spans="1:38">
      <c r="A441">
        <v>435461</v>
      </c>
      <c r="B441" t="s">
        <v>557</v>
      </c>
      <c r="C441" t="s">
        <v>190</v>
      </c>
      <c r="D441" t="s">
        <v>24</v>
      </c>
      <c r="E441">
        <v>30</v>
      </c>
      <c r="F441">
        <v>2102890</v>
      </c>
      <c r="G441" t="s">
        <v>25</v>
      </c>
      <c r="H441" t="s">
        <v>26</v>
      </c>
      <c r="I441" t="s">
        <v>26</v>
      </c>
      <c r="J441" t="s">
        <v>26</v>
      </c>
      <c r="K441" t="s">
        <v>26</v>
      </c>
      <c r="L441" t="s">
        <v>26</v>
      </c>
      <c r="M441" t="s">
        <v>26</v>
      </c>
      <c r="N441" t="s">
        <v>26</v>
      </c>
      <c r="O441" t="s">
        <v>26</v>
      </c>
      <c r="P441">
        <v>1</v>
      </c>
      <c r="Q441">
        <v>0</v>
      </c>
      <c r="R441">
        <v>0</v>
      </c>
      <c r="S441">
        <v>1</v>
      </c>
      <c r="T441">
        <v>0.47549999999999998</v>
      </c>
      <c r="U441">
        <v>3.3300000000000003E-2</v>
      </c>
      <c r="V441">
        <v>0</v>
      </c>
      <c r="W441">
        <f>E441/100</f>
        <v>0.3</v>
      </c>
      <c r="X441">
        <f>F441/1000000</f>
        <v>2.1028899999999999</v>
      </c>
      <c r="Y441">
        <f>IF(D441="C",1,0)</f>
        <v>0</v>
      </c>
      <c r="Z441">
        <f>IF(G441="C",1,0)</f>
        <v>0</v>
      </c>
      <c r="AA441">
        <f>IF(G441="S",1,0)</f>
        <v>1</v>
      </c>
      <c r="AB441">
        <f>IF(G441="U",1,0)</f>
        <v>0</v>
      </c>
      <c r="AC441" s="5">
        <f>IF(AND(ISNUMBER(H441),NOT(ISNUMBER(P441))),1,0)</f>
        <v>0</v>
      </c>
      <c r="AD441" s="5">
        <f>IF(AND(ISNUMBER(H441),ISNUMBER(P441)),1,0)</f>
        <v>0</v>
      </c>
      <c r="AE441" s="5">
        <f>W441</f>
        <v>0.3</v>
      </c>
      <c r="AF441" s="5">
        <f>X441</f>
        <v>2.1028899999999999</v>
      </c>
      <c r="AG441" s="5">
        <f>Y441</f>
        <v>0</v>
      </c>
      <c r="AH441" s="5">
        <f>IF(OR(G441="C",G441="S",G441="U"),1,0)</f>
        <v>1</v>
      </c>
      <c r="AI441" s="5">
        <f>IF(ISNUMBER(H441),1,0)</f>
        <v>0</v>
      </c>
      <c r="AJ441" s="5">
        <f>IF(ISNUMBER(P441),1,0)</f>
        <v>1</v>
      </c>
      <c r="AK441" s="5" t="str">
        <f>IF(AI441=1,IF(J441&gt;0,1,0),"")</f>
        <v/>
      </c>
      <c r="AL441" s="5">
        <f>IF(AJ441=1,IF(OR(Q441&gt;0,R441&gt;0),1,0),"")</f>
        <v>0</v>
      </c>
    </row>
    <row r="442" spans="1:38">
      <c r="A442">
        <v>437639</v>
      </c>
      <c r="B442" t="s">
        <v>558</v>
      </c>
      <c r="C442" t="s">
        <v>23</v>
      </c>
      <c r="D442" t="s">
        <v>24</v>
      </c>
      <c r="E442">
        <v>6</v>
      </c>
      <c r="F442">
        <v>90000</v>
      </c>
      <c r="H442" t="s">
        <v>26</v>
      </c>
      <c r="I442" t="s">
        <v>26</v>
      </c>
      <c r="J442" t="s">
        <v>26</v>
      </c>
      <c r="K442" t="s">
        <v>26</v>
      </c>
      <c r="L442" t="s">
        <v>26</v>
      </c>
      <c r="M442" t="s">
        <v>26</v>
      </c>
      <c r="N442" t="s">
        <v>26</v>
      </c>
      <c r="O442" t="s">
        <v>26</v>
      </c>
      <c r="P442">
        <v>1</v>
      </c>
      <c r="Q442">
        <v>1</v>
      </c>
      <c r="R442">
        <v>1</v>
      </c>
      <c r="S442">
        <v>1</v>
      </c>
      <c r="T442">
        <v>11.1111</v>
      </c>
      <c r="U442">
        <v>0.16669999999999999</v>
      </c>
      <c r="V442">
        <v>1</v>
      </c>
      <c r="W442">
        <f>E442/100</f>
        <v>0.06</v>
      </c>
      <c r="X442">
        <f>F442/1000000</f>
        <v>0.09</v>
      </c>
      <c r="Y442">
        <f>IF(D442="C",1,0)</f>
        <v>0</v>
      </c>
      <c r="Z442">
        <f>IF(G442="C",1,0)</f>
        <v>0</v>
      </c>
      <c r="AA442">
        <f>IF(G442="S",1,0)</f>
        <v>0</v>
      </c>
      <c r="AB442">
        <f>IF(G442="U",1,0)</f>
        <v>0</v>
      </c>
      <c r="AC442" s="5">
        <f>IF(AND(ISNUMBER(H442),NOT(ISNUMBER(P442))),1,0)</f>
        <v>0</v>
      </c>
      <c r="AD442" s="5">
        <f>IF(AND(ISNUMBER(H442),ISNUMBER(P442)),1,0)</f>
        <v>0</v>
      </c>
      <c r="AE442" s="5">
        <f>W442</f>
        <v>0.06</v>
      </c>
      <c r="AF442" s="5">
        <f>X442</f>
        <v>0.09</v>
      </c>
      <c r="AG442" s="5">
        <f>Y442</f>
        <v>0</v>
      </c>
      <c r="AH442" s="5">
        <f>IF(OR(G442="C",G442="S",G442="U"),1,0)</f>
        <v>0</v>
      </c>
      <c r="AI442" s="5">
        <f>IF(ISNUMBER(H442),1,0)</f>
        <v>0</v>
      </c>
      <c r="AJ442" s="5">
        <f>IF(ISNUMBER(P442),1,0)</f>
        <v>1</v>
      </c>
      <c r="AK442" s="5" t="str">
        <f>IF(AI442=1,IF(J442&gt;0,1,0),"")</f>
        <v/>
      </c>
      <c r="AL442" s="5">
        <f>IF(AJ442=1,IF(OR(Q442&gt;0,R442&gt;0),1,0),"")</f>
        <v>1</v>
      </c>
    </row>
    <row r="443" spans="1:38">
      <c r="A443">
        <v>440566</v>
      </c>
      <c r="B443" t="s">
        <v>562</v>
      </c>
      <c r="C443" t="s">
        <v>23</v>
      </c>
      <c r="D443" t="s">
        <v>24</v>
      </c>
      <c r="E443">
        <v>11</v>
      </c>
      <c r="F443">
        <v>409735</v>
      </c>
      <c r="H443" t="s">
        <v>26</v>
      </c>
      <c r="I443" t="s">
        <v>26</v>
      </c>
      <c r="J443" t="s">
        <v>26</v>
      </c>
      <c r="K443" t="s">
        <v>26</v>
      </c>
      <c r="L443" t="s">
        <v>26</v>
      </c>
      <c r="M443" t="s">
        <v>26</v>
      </c>
      <c r="N443" t="s">
        <v>26</v>
      </c>
      <c r="O443" t="s">
        <v>26</v>
      </c>
      <c r="P443">
        <v>1</v>
      </c>
      <c r="Q443">
        <v>0</v>
      </c>
      <c r="R443">
        <v>0</v>
      </c>
      <c r="S443">
        <v>1</v>
      </c>
      <c r="T443">
        <v>2.4405999999999999</v>
      </c>
      <c r="U443">
        <v>9.0899999999999995E-2</v>
      </c>
      <c r="V443">
        <v>0</v>
      </c>
      <c r="W443">
        <f>E443/100</f>
        <v>0.11</v>
      </c>
      <c r="X443">
        <f>F443/1000000</f>
        <v>0.40973500000000002</v>
      </c>
      <c r="Y443">
        <f>IF(D443="C",1,0)</f>
        <v>0</v>
      </c>
      <c r="Z443">
        <f>IF(G443="C",1,0)</f>
        <v>0</v>
      </c>
      <c r="AA443">
        <f>IF(G443="S",1,0)</f>
        <v>0</v>
      </c>
      <c r="AB443">
        <f>IF(G443="U",1,0)</f>
        <v>0</v>
      </c>
      <c r="AC443" s="5">
        <f>IF(AND(ISNUMBER(H443),NOT(ISNUMBER(P443))),1,0)</f>
        <v>0</v>
      </c>
      <c r="AD443" s="5">
        <f>IF(AND(ISNUMBER(H443),ISNUMBER(P443)),1,0)</f>
        <v>0</v>
      </c>
      <c r="AE443" s="5">
        <f>W443</f>
        <v>0.11</v>
      </c>
      <c r="AF443" s="5">
        <f>X443</f>
        <v>0.40973500000000002</v>
      </c>
      <c r="AG443" s="5">
        <f>Y443</f>
        <v>0</v>
      </c>
      <c r="AH443" s="5">
        <f>IF(OR(G443="C",G443="S",G443="U"),1,0)</f>
        <v>0</v>
      </c>
      <c r="AI443" s="5">
        <f>IF(ISNUMBER(H443),1,0)</f>
        <v>0</v>
      </c>
      <c r="AJ443" s="5">
        <f>IF(ISNUMBER(P443),1,0)</f>
        <v>1</v>
      </c>
      <c r="AK443" s="5" t="str">
        <f>IF(AI443=1,IF(J443&gt;0,1,0),"")</f>
        <v/>
      </c>
      <c r="AL443" s="5">
        <f>IF(AJ443=1,IF(OR(Q443&gt;0,R443&gt;0),1,0),"")</f>
        <v>0</v>
      </c>
    </row>
    <row r="444" spans="1:38">
      <c r="A444">
        <v>441415</v>
      </c>
      <c r="B444" t="s">
        <v>563</v>
      </c>
      <c r="C444" t="s">
        <v>23</v>
      </c>
      <c r="D444" t="s">
        <v>24</v>
      </c>
      <c r="E444">
        <v>23</v>
      </c>
      <c r="F444">
        <v>620000</v>
      </c>
      <c r="G444" t="s">
        <v>33</v>
      </c>
      <c r="H444" t="s">
        <v>26</v>
      </c>
      <c r="I444" t="s">
        <v>26</v>
      </c>
      <c r="J444" t="s">
        <v>26</v>
      </c>
      <c r="K444" t="s">
        <v>26</v>
      </c>
      <c r="L444" t="s">
        <v>26</v>
      </c>
      <c r="M444" t="s">
        <v>26</v>
      </c>
      <c r="N444" t="s">
        <v>26</v>
      </c>
      <c r="O444" t="s">
        <v>26</v>
      </c>
      <c r="P444">
        <v>1</v>
      </c>
      <c r="Q444">
        <v>0</v>
      </c>
      <c r="R444">
        <v>1</v>
      </c>
      <c r="S444">
        <v>1</v>
      </c>
      <c r="T444">
        <v>1.6129</v>
      </c>
      <c r="U444">
        <v>4.3499999999999997E-2</v>
      </c>
      <c r="V444">
        <v>1</v>
      </c>
      <c r="W444">
        <f>E444/100</f>
        <v>0.23</v>
      </c>
      <c r="X444">
        <f>F444/1000000</f>
        <v>0.62</v>
      </c>
      <c r="Y444">
        <f>IF(D444="C",1,0)</f>
        <v>0</v>
      </c>
      <c r="Z444">
        <f>IF(G444="C",1,0)</f>
        <v>1</v>
      </c>
      <c r="AA444">
        <f>IF(G444="S",1,0)</f>
        <v>0</v>
      </c>
      <c r="AB444">
        <f>IF(G444="U",1,0)</f>
        <v>0</v>
      </c>
      <c r="AC444" s="5">
        <f>IF(AND(ISNUMBER(H444),NOT(ISNUMBER(P444))),1,0)</f>
        <v>0</v>
      </c>
      <c r="AD444" s="5">
        <f>IF(AND(ISNUMBER(H444),ISNUMBER(P444)),1,0)</f>
        <v>0</v>
      </c>
      <c r="AE444" s="5">
        <f>W444</f>
        <v>0.23</v>
      </c>
      <c r="AF444" s="5">
        <f>X444</f>
        <v>0.62</v>
      </c>
      <c r="AG444" s="5">
        <f>Y444</f>
        <v>0</v>
      </c>
      <c r="AH444" s="5">
        <f>IF(OR(G444="C",G444="S",G444="U"),1,0)</f>
        <v>1</v>
      </c>
      <c r="AI444" s="5">
        <f>IF(ISNUMBER(H444),1,0)</f>
        <v>0</v>
      </c>
      <c r="AJ444" s="5">
        <f>IF(ISNUMBER(P444),1,0)</f>
        <v>1</v>
      </c>
      <c r="AK444" s="5" t="str">
        <f>IF(AI444=1,IF(J444&gt;0,1,0),"")</f>
        <v/>
      </c>
      <c r="AL444" s="5">
        <f>IF(AJ444=1,IF(OR(Q444&gt;0,R444&gt;0),1,0),"")</f>
        <v>1</v>
      </c>
    </row>
    <row r="445" spans="1:38">
      <c r="A445">
        <v>443557</v>
      </c>
      <c r="B445" t="s">
        <v>565</v>
      </c>
      <c r="C445" t="s">
        <v>23</v>
      </c>
      <c r="D445" t="s">
        <v>24</v>
      </c>
      <c r="E445">
        <v>4</v>
      </c>
      <c r="F445">
        <v>423700</v>
      </c>
      <c r="G445" t="s">
        <v>25</v>
      </c>
      <c r="H445" t="s">
        <v>26</v>
      </c>
      <c r="I445" t="s">
        <v>26</v>
      </c>
      <c r="J445" t="s">
        <v>26</v>
      </c>
      <c r="K445" t="s">
        <v>26</v>
      </c>
      <c r="L445" t="s">
        <v>26</v>
      </c>
      <c r="M445" t="s">
        <v>26</v>
      </c>
      <c r="N445" t="s">
        <v>26</v>
      </c>
      <c r="O445" t="s">
        <v>26</v>
      </c>
      <c r="P445">
        <v>1</v>
      </c>
      <c r="Q445">
        <v>0</v>
      </c>
      <c r="R445">
        <v>1</v>
      </c>
      <c r="S445">
        <v>1</v>
      </c>
      <c r="T445">
        <v>2.3601999999999999</v>
      </c>
      <c r="U445">
        <v>0.25</v>
      </c>
      <c r="V445">
        <v>1</v>
      </c>
      <c r="W445">
        <f>E445/100</f>
        <v>0.04</v>
      </c>
      <c r="X445">
        <f>F445/1000000</f>
        <v>0.42370000000000002</v>
      </c>
      <c r="Y445">
        <f>IF(D445="C",1,0)</f>
        <v>0</v>
      </c>
      <c r="Z445">
        <f>IF(G445="C",1,0)</f>
        <v>0</v>
      </c>
      <c r="AA445">
        <f>IF(G445="S",1,0)</f>
        <v>1</v>
      </c>
      <c r="AB445">
        <f>IF(G445="U",1,0)</f>
        <v>0</v>
      </c>
      <c r="AC445" s="5">
        <f>IF(AND(ISNUMBER(H445),NOT(ISNUMBER(P445))),1,0)</f>
        <v>0</v>
      </c>
      <c r="AD445" s="5">
        <f>IF(AND(ISNUMBER(H445),ISNUMBER(P445)),1,0)</f>
        <v>0</v>
      </c>
      <c r="AE445" s="5">
        <f>W445</f>
        <v>0.04</v>
      </c>
      <c r="AF445" s="5">
        <f>X445</f>
        <v>0.42370000000000002</v>
      </c>
      <c r="AG445" s="5">
        <f>Y445</f>
        <v>0</v>
      </c>
      <c r="AH445" s="5">
        <f>IF(OR(G445="C",G445="S",G445="U"),1,0)</f>
        <v>1</v>
      </c>
      <c r="AI445" s="5">
        <f>IF(ISNUMBER(H445),1,0)</f>
        <v>0</v>
      </c>
      <c r="AJ445" s="5">
        <f>IF(ISNUMBER(P445),1,0)</f>
        <v>1</v>
      </c>
      <c r="AK445" s="5" t="str">
        <f>IF(AI445=1,IF(J445&gt;0,1,0),"")</f>
        <v/>
      </c>
      <c r="AL445" s="5">
        <f>IF(AJ445=1,IF(OR(Q445&gt;0,R445&gt;0),1,0),"")</f>
        <v>1</v>
      </c>
    </row>
    <row r="446" spans="1:38">
      <c r="A446">
        <v>444171</v>
      </c>
      <c r="B446" t="s">
        <v>566</v>
      </c>
      <c r="C446" t="s">
        <v>23</v>
      </c>
      <c r="D446" t="s">
        <v>24</v>
      </c>
      <c r="E446">
        <v>6</v>
      </c>
      <c r="F446">
        <v>69000</v>
      </c>
      <c r="H446" t="s">
        <v>26</v>
      </c>
      <c r="I446" t="s">
        <v>26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26</v>
      </c>
      <c r="P446">
        <v>1</v>
      </c>
      <c r="Q446">
        <v>0</v>
      </c>
      <c r="R446">
        <v>0</v>
      </c>
      <c r="S446">
        <v>1</v>
      </c>
      <c r="T446">
        <v>14.492800000000001</v>
      </c>
      <c r="U446">
        <v>0.16669999999999999</v>
      </c>
      <c r="V446">
        <v>0</v>
      </c>
      <c r="W446">
        <f>E446/100</f>
        <v>0.06</v>
      </c>
      <c r="X446">
        <f>F446/1000000</f>
        <v>6.9000000000000006E-2</v>
      </c>
      <c r="Y446">
        <f>IF(D446="C",1,0)</f>
        <v>0</v>
      </c>
      <c r="Z446">
        <f>IF(G446="C",1,0)</f>
        <v>0</v>
      </c>
      <c r="AA446">
        <f>IF(G446="S",1,0)</f>
        <v>0</v>
      </c>
      <c r="AB446">
        <f>IF(G446="U",1,0)</f>
        <v>0</v>
      </c>
      <c r="AC446" s="5">
        <f>IF(AND(ISNUMBER(H446),NOT(ISNUMBER(P446))),1,0)</f>
        <v>0</v>
      </c>
      <c r="AD446" s="5">
        <f>IF(AND(ISNUMBER(H446),ISNUMBER(P446)),1,0)</f>
        <v>0</v>
      </c>
      <c r="AE446" s="5">
        <f>W446</f>
        <v>0.06</v>
      </c>
      <c r="AF446" s="5">
        <f>X446</f>
        <v>6.9000000000000006E-2</v>
      </c>
      <c r="AG446" s="5">
        <f>Y446</f>
        <v>0</v>
      </c>
      <c r="AH446" s="5">
        <f>IF(OR(G446="C",G446="S",G446="U"),1,0)</f>
        <v>0</v>
      </c>
      <c r="AI446" s="5">
        <f>IF(ISNUMBER(H446),1,0)</f>
        <v>0</v>
      </c>
      <c r="AJ446" s="5">
        <f>IF(ISNUMBER(P446),1,0)</f>
        <v>1</v>
      </c>
      <c r="AK446" s="5" t="str">
        <f>IF(AI446=1,IF(J446&gt;0,1,0),"")</f>
        <v/>
      </c>
      <c r="AL446" s="5">
        <f>IF(AJ446=1,IF(OR(Q446&gt;0,R446&gt;0),1,0),"")</f>
        <v>0</v>
      </c>
    </row>
    <row r="447" spans="1:38">
      <c r="A447">
        <v>444957</v>
      </c>
      <c r="B447" t="s">
        <v>567</v>
      </c>
      <c r="C447" t="s">
        <v>82</v>
      </c>
      <c r="D447" t="s">
        <v>24</v>
      </c>
      <c r="E447">
        <v>53</v>
      </c>
      <c r="F447">
        <v>2140000</v>
      </c>
      <c r="G447" t="s">
        <v>25</v>
      </c>
      <c r="H447" t="s">
        <v>26</v>
      </c>
      <c r="I447" t="s">
        <v>26</v>
      </c>
      <c r="J447" t="s">
        <v>26</v>
      </c>
      <c r="K447" t="s">
        <v>26</v>
      </c>
      <c r="L447" t="s">
        <v>26</v>
      </c>
      <c r="M447" t="s">
        <v>26</v>
      </c>
      <c r="N447" t="s">
        <v>26</v>
      </c>
      <c r="O447" t="s">
        <v>26</v>
      </c>
      <c r="P447">
        <v>1</v>
      </c>
      <c r="Q447">
        <v>0</v>
      </c>
      <c r="R447">
        <v>1</v>
      </c>
      <c r="S447">
        <v>1</v>
      </c>
      <c r="T447">
        <v>0.46729999999999999</v>
      </c>
      <c r="U447">
        <v>1.89E-2</v>
      </c>
      <c r="V447">
        <v>1</v>
      </c>
      <c r="W447">
        <f>E447/100</f>
        <v>0.53</v>
      </c>
      <c r="X447">
        <f>F447/1000000</f>
        <v>2.14</v>
      </c>
      <c r="Y447">
        <f>IF(D447="C",1,0)</f>
        <v>0</v>
      </c>
      <c r="Z447">
        <f>IF(G447="C",1,0)</f>
        <v>0</v>
      </c>
      <c r="AA447">
        <f>IF(G447="S",1,0)</f>
        <v>1</v>
      </c>
      <c r="AB447">
        <f>IF(G447="U",1,0)</f>
        <v>0</v>
      </c>
      <c r="AC447" s="5">
        <f>IF(AND(ISNUMBER(H447),NOT(ISNUMBER(P447))),1,0)</f>
        <v>0</v>
      </c>
      <c r="AD447" s="5">
        <f>IF(AND(ISNUMBER(H447),ISNUMBER(P447)),1,0)</f>
        <v>0</v>
      </c>
      <c r="AE447" s="5">
        <f>W447</f>
        <v>0.53</v>
      </c>
      <c r="AF447" s="5">
        <f>X447</f>
        <v>2.14</v>
      </c>
      <c r="AG447" s="5">
        <f>Y447</f>
        <v>0</v>
      </c>
      <c r="AH447" s="5">
        <f>IF(OR(G447="C",G447="S",G447="U"),1,0)</f>
        <v>1</v>
      </c>
      <c r="AI447" s="5">
        <f>IF(ISNUMBER(H447),1,0)</f>
        <v>0</v>
      </c>
      <c r="AJ447" s="5">
        <f>IF(ISNUMBER(P447),1,0)</f>
        <v>1</v>
      </c>
      <c r="AK447" s="5" t="str">
        <f>IF(AI447=1,IF(J447&gt;0,1,0),"")</f>
        <v/>
      </c>
      <c r="AL447" s="5">
        <f>IF(AJ447=1,IF(OR(Q447&gt;0,R447&gt;0),1,0),"")</f>
        <v>1</v>
      </c>
    </row>
    <row r="448" spans="1:38">
      <c r="A448">
        <v>446129</v>
      </c>
      <c r="B448" t="s">
        <v>568</v>
      </c>
      <c r="C448" t="s">
        <v>327</v>
      </c>
      <c r="D448" t="s">
        <v>24</v>
      </c>
      <c r="E448">
        <v>21</v>
      </c>
      <c r="F448">
        <v>2895295</v>
      </c>
      <c r="G448" t="s">
        <v>25</v>
      </c>
      <c r="H448" t="s">
        <v>26</v>
      </c>
      <c r="I448" t="s">
        <v>26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>
        <v>1</v>
      </c>
      <c r="Q448">
        <v>0</v>
      </c>
      <c r="R448">
        <v>0</v>
      </c>
      <c r="S448">
        <v>0</v>
      </c>
      <c r="T448">
        <v>0.34539999999999998</v>
      </c>
      <c r="U448">
        <v>4.7600000000000003E-2</v>
      </c>
      <c r="V448">
        <v>0</v>
      </c>
      <c r="W448">
        <f>E448/100</f>
        <v>0.21</v>
      </c>
      <c r="X448">
        <f>F448/1000000</f>
        <v>2.895295</v>
      </c>
      <c r="Y448">
        <f>IF(D448="C",1,0)</f>
        <v>0</v>
      </c>
      <c r="Z448">
        <f>IF(G448="C",1,0)</f>
        <v>0</v>
      </c>
      <c r="AA448">
        <f>IF(G448="S",1,0)</f>
        <v>1</v>
      </c>
      <c r="AB448">
        <f>IF(G448="U",1,0)</f>
        <v>0</v>
      </c>
      <c r="AC448" s="5">
        <f>IF(AND(ISNUMBER(H448),NOT(ISNUMBER(P448))),1,0)</f>
        <v>0</v>
      </c>
      <c r="AD448" s="5">
        <f>IF(AND(ISNUMBER(H448),ISNUMBER(P448)),1,0)</f>
        <v>0</v>
      </c>
      <c r="AE448" s="5">
        <f>W448</f>
        <v>0.21</v>
      </c>
      <c r="AF448" s="5">
        <f>X448</f>
        <v>2.895295</v>
      </c>
      <c r="AG448" s="5">
        <f>Y448</f>
        <v>0</v>
      </c>
      <c r="AH448" s="5">
        <f>IF(OR(G448="C",G448="S",G448="U"),1,0)</f>
        <v>1</v>
      </c>
      <c r="AI448" s="5">
        <f>IF(ISNUMBER(H448),1,0)</f>
        <v>0</v>
      </c>
      <c r="AJ448" s="5">
        <f>IF(ISNUMBER(P448),1,0)</f>
        <v>1</v>
      </c>
      <c r="AK448" s="5" t="str">
        <f>IF(AI448=1,IF(J448&gt;0,1,0),"")</f>
        <v/>
      </c>
      <c r="AL448" s="5">
        <f>IF(AJ448=1,IF(OR(Q448&gt;0,R448&gt;0),1,0),"")</f>
        <v>0</v>
      </c>
    </row>
    <row r="449" spans="1:38">
      <c r="A449">
        <v>446918</v>
      </c>
      <c r="B449" t="s">
        <v>569</v>
      </c>
      <c r="C449" t="s">
        <v>105</v>
      </c>
      <c r="D449" t="s">
        <v>24</v>
      </c>
      <c r="E449">
        <v>14</v>
      </c>
      <c r="F449">
        <v>700000</v>
      </c>
      <c r="G449" t="s">
        <v>33</v>
      </c>
      <c r="H449" t="s">
        <v>26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>
        <v>1</v>
      </c>
      <c r="Q449">
        <v>0</v>
      </c>
      <c r="R449">
        <v>1</v>
      </c>
      <c r="S449">
        <v>1</v>
      </c>
      <c r="T449">
        <v>1.4286000000000001</v>
      </c>
      <c r="U449">
        <v>7.1400000000000005E-2</v>
      </c>
      <c r="V449">
        <v>1</v>
      </c>
      <c r="W449">
        <f>E449/100</f>
        <v>0.14000000000000001</v>
      </c>
      <c r="X449">
        <f>F449/1000000</f>
        <v>0.7</v>
      </c>
      <c r="Y449">
        <f>IF(D449="C",1,0)</f>
        <v>0</v>
      </c>
      <c r="Z449">
        <f>IF(G449="C",1,0)</f>
        <v>1</v>
      </c>
      <c r="AA449">
        <f>IF(G449="S",1,0)</f>
        <v>0</v>
      </c>
      <c r="AB449">
        <f>IF(G449="U",1,0)</f>
        <v>0</v>
      </c>
      <c r="AC449" s="5">
        <f>IF(AND(ISNUMBER(H449),NOT(ISNUMBER(P449))),1,0)</f>
        <v>0</v>
      </c>
      <c r="AD449" s="5">
        <f>IF(AND(ISNUMBER(H449),ISNUMBER(P449)),1,0)</f>
        <v>0</v>
      </c>
      <c r="AE449" s="5">
        <f>W449</f>
        <v>0.14000000000000001</v>
      </c>
      <c r="AF449" s="5">
        <f>X449</f>
        <v>0.7</v>
      </c>
      <c r="AG449" s="5">
        <f>Y449</f>
        <v>0</v>
      </c>
      <c r="AH449" s="5">
        <f>IF(OR(G449="C",G449="S",G449="U"),1,0)</f>
        <v>1</v>
      </c>
      <c r="AI449" s="5">
        <f>IF(ISNUMBER(H449),1,0)</f>
        <v>0</v>
      </c>
      <c r="AJ449" s="5">
        <f>IF(ISNUMBER(P449),1,0)</f>
        <v>1</v>
      </c>
      <c r="AK449" s="5" t="str">
        <f>IF(AI449=1,IF(J449&gt;0,1,0),"")</f>
        <v/>
      </c>
      <c r="AL449" s="5">
        <f>IF(AJ449=1,IF(OR(Q449&gt;0,R449&gt;0),1,0),"")</f>
        <v>1</v>
      </c>
    </row>
    <row r="450" spans="1:38">
      <c r="A450">
        <v>447303</v>
      </c>
      <c r="B450" t="s">
        <v>570</v>
      </c>
      <c r="C450" t="s">
        <v>23</v>
      </c>
      <c r="D450" t="s">
        <v>24</v>
      </c>
      <c r="E450">
        <v>6</v>
      </c>
      <c r="F450">
        <v>361750</v>
      </c>
      <c r="H450" t="s">
        <v>26</v>
      </c>
      <c r="I450" t="s">
        <v>26</v>
      </c>
      <c r="J450" t="s">
        <v>26</v>
      </c>
      <c r="K450" t="s">
        <v>26</v>
      </c>
      <c r="L450" t="s">
        <v>26</v>
      </c>
      <c r="M450" t="s">
        <v>26</v>
      </c>
      <c r="N450" t="s">
        <v>26</v>
      </c>
      <c r="O450" t="s">
        <v>26</v>
      </c>
      <c r="P450">
        <v>1</v>
      </c>
      <c r="Q450">
        <v>0</v>
      </c>
      <c r="R450">
        <v>1</v>
      </c>
      <c r="S450">
        <v>0</v>
      </c>
      <c r="T450">
        <v>2.7643</v>
      </c>
      <c r="U450">
        <v>0.16669999999999999</v>
      </c>
      <c r="V450">
        <v>1</v>
      </c>
      <c r="W450">
        <f>E450/100</f>
        <v>0.06</v>
      </c>
      <c r="X450">
        <f>F450/1000000</f>
        <v>0.36175000000000002</v>
      </c>
      <c r="Y450">
        <f>IF(D450="C",1,0)</f>
        <v>0</v>
      </c>
      <c r="Z450">
        <f>IF(G450="C",1,0)</f>
        <v>0</v>
      </c>
      <c r="AA450">
        <f>IF(G450="S",1,0)</f>
        <v>0</v>
      </c>
      <c r="AB450">
        <f>IF(G450="U",1,0)</f>
        <v>0</v>
      </c>
      <c r="AC450" s="5">
        <f>IF(AND(ISNUMBER(H450),NOT(ISNUMBER(P450))),1,0)</f>
        <v>0</v>
      </c>
      <c r="AD450" s="5">
        <f>IF(AND(ISNUMBER(H450),ISNUMBER(P450)),1,0)</f>
        <v>0</v>
      </c>
      <c r="AE450" s="5">
        <f>W450</f>
        <v>0.06</v>
      </c>
      <c r="AF450" s="5">
        <f>X450</f>
        <v>0.36175000000000002</v>
      </c>
      <c r="AG450" s="5">
        <f>Y450</f>
        <v>0</v>
      </c>
      <c r="AH450" s="5">
        <f>IF(OR(G450="C",G450="S",G450="U"),1,0)</f>
        <v>0</v>
      </c>
      <c r="AI450" s="5">
        <f>IF(ISNUMBER(H450),1,0)</f>
        <v>0</v>
      </c>
      <c r="AJ450" s="5">
        <f>IF(ISNUMBER(P450),1,0)</f>
        <v>1</v>
      </c>
      <c r="AK450" s="5" t="str">
        <f>IF(AI450=1,IF(J450&gt;0,1,0),"")</f>
        <v/>
      </c>
      <c r="AL450" s="5">
        <f>IF(AJ450=1,IF(OR(Q450&gt;0,R450&gt;0),1,0),"")</f>
        <v>1</v>
      </c>
    </row>
    <row r="451" spans="1:38">
      <c r="A451">
        <v>451412</v>
      </c>
      <c r="B451" t="s">
        <v>573</v>
      </c>
      <c r="C451" t="s">
        <v>42</v>
      </c>
      <c r="D451" t="s">
        <v>33</v>
      </c>
      <c r="E451">
        <v>2</v>
      </c>
      <c r="F451">
        <v>20000</v>
      </c>
      <c r="H451" t="s">
        <v>26</v>
      </c>
      <c r="I451" t="s">
        <v>26</v>
      </c>
      <c r="J451" t="s">
        <v>26</v>
      </c>
      <c r="K451" t="s">
        <v>26</v>
      </c>
      <c r="L451" t="s">
        <v>26</v>
      </c>
      <c r="M451" t="s">
        <v>26</v>
      </c>
      <c r="N451" t="s">
        <v>26</v>
      </c>
      <c r="O451" t="s">
        <v>26</v>
      </c>
      <c r="P451">
        <v>1</v>
      </c>
      <c r="Q451">
        <v>0</v>
      </c>
      <c r="R451">
        <v>1</v>
      </c>
      <c r="S451">
        <v>0</v>
      </c>
      <c r="T451">
        <v>50</v>
      </c>
      <c r="U451">
        <v>0.5</v>
      </c>
      <c r="V451">
        <v>1</v>
      </c>
      <c r="W451">
        <f>E451/100</f>
        <v>0.02</v>
      </c>
      <c r="X451">
        <f>F451/1000000</f>
        <v>0.02</v>
      </c>
      <c r="Y451">
        <f>IF(D451="C",1,0)</f>
        <v>1</v>
      </c>
      <c r="Z451">
        <f>IF(G451="C",1,0)</f>
        <v>0</v>
      </c>
      <c r="AA451">
        <f>IF(G451="S",1,0)</f>
        <v>0</v>
      </c>
      <c r="AB451">
        <f>IF(G451="U",1,0)</f>
        <v>0</v>
      </c>
      <c r="AC451" s="5">
        <f>IF(AND(ISNUMBER(H451),NOT(ISNUMBER(P451))),1,0)</f>
        <v>0</v>
      </c>
      <c r="AD451" s="5">
        <f>IF(AND(ISNUMBER(H451),ISNUMBER(P451)),1,0)</f>
        <v>0</v>
      </c>
      <c r="AE451" s="5">
        <f>W451</f>
        <v>0.02</v>
      </c>
      <c r="AF451" s="5">
        <f>X451</f>
        <v>0.02</v>
      </c>
      <c r="AG451" s="5">
        <f>Y451</f>
        <v>1</v>
      </c>
      <c r="AH451" s="5">
        <f>IF(OR(G451="C",G451="S",G451="U"),1,0)</f>
        <v>0</v>
      </c>
      <c r="AI451" s="5">
        <f>IF(ISNUMBER(H451),1,0)</f>
        <v>0</v>
      </c>
      <c r="AJ451" s="5">
        <f>IF(ISNUMBER(P451),1,0)</f>
        <v>1</v>
      </c>
      <c r="AK451" s="5" t="str">
        <f>IF(AI451=1,IF(J451&gt;0,1,0),"")</f>
        <v/>
      </c>
      <c r="AL451" s="5">
        <f>IF(AJ451=1,IF(OR(Q451&gt;0,R451&gt;0),1,0),"")</f>
        <v>1</v>
      </c>
    </row>
    <row r="452" spans="1:38">
      <c r="A452">
        <v>452516</v>
      </c>
      <c r="B452" t="s">
        <v>574</v>
      </c>
      <c r="C452" t="s">
        <v>370</v>
      </c>
      <c r="D452" t="s">
        <v>24</v>
      </c>
      <c r="E452">
        <v>1</v>
      </c>
      <c r="F452">
        <v>10000</v>
      </c>
      <c r="G452" t="s">
        <v>419</v>
      </c>
      <c r="H452" t="s">
        <v>26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>
        <v>1</v>
      </c>
      <c r="Q452">
        <v>0</v>
      </c>
      <c r="R452">
        <v>0</v>
      </c>
      <c r="S452">
        <v>1</v>
      </c>
      <c r="T452">
        <v>100</v>
      </c>
      <c r="U452">
        <v>1</v>
      </c>
      <c r="V452">
        <v>0</v>
      </c>
      <c r="W452">
        <f>E452/100</f>
        <v>0.01</v>
      </c>
      <c r="X452">
        <f>F452/1000000</f>
        <v>0.01</v>
      </c>
      <c r="Y452">
        <f>IF(D452="C",1,0)</f>
        <v>0</v>
      </c>
      <c r="Z452">
        <f>IF(G452="C",1,0)</f>
        <v>0</v>
      </c>
      <c r="AA452">
        <f>IF(G452="S",1,0)</f>
        <v>0</v>
      </c>
      <c r="AB452">
        <f>IF(G452="U",1,0)</f>
        <v>1</v>
      </c>
      <c r="AC452" s="5">
        <f>IF(AND(ISNUMBER(H452),NOT(ISNUMBER(P452))),1,0)</f>
        <v>0</v>
      </c>
      <c r="AD452" s="5">
        <f>IF(AND(ISNUMBER(H452),ISNUMBER(P452)),1,0)</f>
        <v>0</v>
      </c>
      <c r="AE452" s="5">
        <f>W452</f>
        <v>0.01</v>
      </c>
      <c r="AF452" s="5">
        <f>X452</f>
        <v>0.01</v>
      </c>
      <c r="AG452" s="5">
        <f>Y452</f>
        <v>0</v>
      </c>
      <c r="AH452" s="5">
        <f>IF(OR(G452="C",G452="S",G452="U"),1,0)</f>
        <v>1</v>
      </c>
      <c r="AI452" s="5">
        <f>IF(ISNUMBER(H452),1,0)</f>
        <v>0</v>
      </c>
      <c r="AJ452" s="5">
        <f>IF(ISNUMBER(P452),1,0)</f>
        <v>1</v>
      </c>
      <c r="AK452" s="5" t="str">
        <f>IF(AI452=1,IF(J452&gt;0,1,0),"")</f>
        <v/>
      </c>
      <c r="AL452" s="5">
        <f>IF(AJ452=1,IF(OR(Q452&gt;0,R452&gt;0),1,0),"")</f>
        <v>0</v>
      </c>
    </row>
    <row r="453" spans="1:38">
      <c r="A453">
        <v>452771</v>
      </c>
      <c r="B453" t="s">
        <v>575</v>
      </c>
      <c r="C453" t="s">
        <v>77</v>
      </c>
      <c r="D453" t="s">
        <v>24</v>
      </c>
      <c r="E453">
        <v>1</v>
      </c>
      <c r="F453">
        <v>88000</v>
      </c>
      <c r="G453" t="s">
        <v>25</v>
      </c>
      <c r="H453" t="s">
        <v>26</v>
      </c>
      <c r="I453" t="s">
        <v>26</v>
      </c>
      <c r="J453" t="s">
        <v>26</v>
      </c>
      <c r="K453" t="s">
        <v>26</v>
      </c>
      <c r="L453" t="s">
        <v>26</v>
      </c>
      <c r="M453" t="s">
        <v>26</v>
      </c>
      <c r="N453" t="s">
        <v>26</v>
      </c>
      <c r="O453" t="s">
        <v>26</v>
      </c>
      <c r="P453">
        <v>1</v>
      </c>
      <c r="Q453">
        <v>0</v>
      </c>
      <c r="R453">
        <v>0</v>
      </c>
      <c r="S453">
        <v>1</v>
      </c>
      <c r="T453">
        <v>11.3636</v>
      </c>
      <c r="U453">
        <v>1</v>
      </c>
      <c r="V453">
        <v>0</v>
      </c>
      <c r="W453">
        <f>E453/100</f>
        <v>0.01</v>
      </c>
      <c r="X453">
        <f>F453/1000000</f>
        <v>8.7999999999999995E-2</v>
      </c>
      <c r="Y453">
        <f>IF(D453="C",1,0)</f>
        <v>0</v>
      </c>
      <c r="Z453">
        <f>IF(G453="C",1,0)</f>
        <v>0</v>
      </c>
      <c r="AA453">
        <f>IF(G453="S",1,0)</f>
        <v>1</v>
      </c>
      <c r="AB453">
        <f>IF(G453="U",1,0)</f>
        <v>0</v>
      </c>
      <c r="AC453" s="5">
        <f>IF(AND(ISNUMBER(H453),NOT(ISNUMBER(P453))),1,0)</f>
        <v>0</v>
      </c>
      <c r="AD453" s="5">
        <f>IF(AND(ISNUMBER(H453),ISNUMBER(P453)),1,0)</f>
        <v>0</v>
      </c>
      <c r="AE453" s="5">
        <f>W453</f>
        <v>0.01</v>
      </c>
      <c r="AF453" s="5">
        <f>X453</f>
        <v>8.7999999999999995E-2</v>
      </c>
      <c r="AG453" s="5">
        <f>Y453</f>
        <v>0</v>
      </c>
      <c r="AH453" s="5">
        <f>IF(OR(G453="C",G453="S",G453="U"),1,0)</f>
        <v>1</v>
      </c>
      <c r="AI453" s="5">
        <f>IF(ISNUMBER(H453),1,0)</f>
        <v>0</v>
      </c>
      <c r="AJ453" s="5">
        <f>IF(ISNUMBER(P453),1,0)</f>
        <v>1</v>
      </c>
      <c r="AK453" s="5" t="str">
        <f>IF(AI453=1,IF(J453&gt;0,1,0),"")</f>
        <v/>
      </c>
      <c r="AL453" s="5">
        <f>IF(AJ453=1,IF(OR(Q453&gt;0,R453&gt;0),1,0),"")</f>
        <v>0</v>
      </c>
    </row>
    <row r="454" spans="1:38">
      <c r="A454">
        <v>454035</v>
      </c>
      <c r="B454" t="s">
        <v>576</v>
      </c>
      <c r="C454" t="s">
        <v>82</v>
      </c>
      <c r="D454" t="s">
        <v>24</v>
      </c>
      <c r="E454">
        <v>10</v>
      </c>
      <c r="F454">
        <v>500000</v>
      </c>
      <c r="H454" t="s">
        <v>26</v>
      </c>
      <c r="I454" t="s">
        <v>26</v>
      </c>
      <c r="J454" t="s">
        <v>26</v>
      </c>
      <c r="K454" t="s">
        <v>26</v>
      </c>
      <c r="L454" t="s">
        <v>26</v>
      </c>
      <c r="M454" t="s">
        <v>26</v>
      </c>
      <c r="N454" t="s">
        <v>26</v>
      </c>
      <c r="O454" t="s">
        <v>26</v>
      </c>
      <c r="P454">
        <v>1</v>
      </c>
      <c r="Q454">
        <v>0</v>
      </c>
      <c r="R454">
        <v>0</v>
      </c>
      <c r="S454">
        <v>1</v>
      </c>
      <c r="T454">
        <v>2</v>
      </c>
      <c r="U454">
        <v>0.1</v>
      </c>
      <c r="V454">
        <v>0</v>
      </c>
      <c r="W454">
        <f>E454/100</f>
        <v>0.1</v>
      </c>
      <c r="X454">
        <f>F454/1000000</f>
        <v>0.5</v>
      </c>
      <c r="Y454">
        <f>IF(D454="C",1,0)</f>
        <v>0</v>
      </c>
      <c r="Z454">
        <f>IF(G454="C",1,0)</f>
        <v>0</v>
      </c>
      <c r="AA454">
        <f>IF(G454="S",1,0)</f>
        <v>0</v>
      </c>
      <c r="AB454">
        <f>IF(G454="U",1,0)</f>
        <v>0</v>
      </c>
      <c r="AC454" s="5">
        <f>IF(AND(ISNUMBER(H454),NOT(ISNUMBER(P454))),1,0)</f>
        <v>0</v>
      </c>
      <c r="AD454" s="5">
        <f>IF(AND(ISNUMBER(H454),ISNUMBER(P454)),1,0)</f>
        <v>0</v>
      </c>
      <c r="AE454" s="5">
        <f>W454</f>
        <v>0.1</v>
      </c>
      <c r="AF454" s="5">
        <f>X454</f>
        <v>0.5</v>
      </c>
      <c r="AG454" s="5">
        <f>Y454</f>
        <v>0</v>
      </c>
      <c r="AH454" s="5">
        <f>IF(OR(G454="C",G454="S",G454="U"),1,0)</f>
        <v>0</v>
      </c>
      <c r="AI454" s="5">
        <f>IF(ISNUMBER(H454),1,0)</f>
        <v>0</v>
      </c>
      <c r="AJ454" s="5">
        <f>IF(ISNUMBER(P454),1,0)</f>
        <v>1</v>
      </c>
      <c r="AK454" s="5" t="str">
        <f>IF(AI454=1,IF(J454&gt;0,1,0),"")</f>
        <v/>
      </c>
      <c r="AL454" s="5">
        <f>IF(AJ454=1,IF(OR(Q454&gt;0,R454&gt;0),1,0),"")</f>
        <v>0</v>
      </c>
    </row>
    <row r="455" spans="1:38">
      <c r="A455">
        <v>455520</v>
      </c>
      <c r="B455" t="s">
        <v>577</v>
      </c>
      <c r="C455" t="s">
        <v>42</v>
      </c>
      <c r="D455" t="s">
        <v>24</v>
      </c>
      <c r="E455">
        <v>10</v>
      </c>
      <c r="F455">
        <v>324236</v>
      </c>
      <c r="G455" t="s">
        <v>25</v>
      </c>
      <c r="H455" t="s">
        <v>26</v>
      </c>
      <c r="I455" t="s">
        <v>26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26</v>
      </c>
      <c r="P455">
        <v>1</v>
      </c>
      <c r="Q455">
        <v>0</v>
      </c>
      <c r="R455">
        <v>0</v>
      </c>
      <c r="S455">
        <v>1</v>
      </c>
      <c r="T455">
        <v>3.0842000000000001</v>
      </c>
      <c r="U455">
        <v>0.1</v>
      </c>
      <c r="V455">
        <v>0</v>
      </c>
      <c r="W455">
        <f>E455/100</f>
        <v>0.1</v>
      </c>
      <c r="X455">
        <f>F455/1000000</f>
        <v>0.32423600000000002</v>
      </c>
      <c r="Y455">
        <f>IF(D455="C",1,0)</f>
        <v>0</v>
      </c>
      <c r="Z455">
        <f>IF(G455="C",1,0)</f>
        <v>0</v>
      </c>
      <c r="AA455">
        <f>IF(G455="S",1,0)</f>
        <v>1</v>
      </c>
      <c r="AB455">
        <f>IF(G455="U",1,0)</f>
        <v>0</v>
      </c>
      <c r="AC455" s="5">
        <f>IF(AND(ISNUMBER(H455),NOT(ISNUMBER(P455))),1,0)</f>
        <v>0</v>
      </c>
      <c r="AD455" s="5">
        <f>IF(AND(ISNUMBER(H455),ISNUMBER(P455)),1,0)</f>
        <v>0</v>
      </c>
      <c r="AE455" s="5">
        <f>W455</f>
        <v>0.1</v>
      </c>
      <c r="AF455" s="5">
        <f>X455</f>
        <v>0.32423600000000002</v>
      </c>
      <c r="AG455" s="5">
        <f>Y455</f>
        <v>0</v>
      </c>
      <c r="AH455" s="5">
        <f>IF(OR(G455="C",G455="S",G455="U"),1,0)</f>
        <v>1</v>
      </c>
      <c r="AI455" s="5">
        <f>IF(ISNUMBER(H455),1,0)</f>
        <v>0</v>
      </c>
      <c r="AJ455" s="5">
        <f>IF(ISNUMBER(P455),1,0)</f>
        <v>1</v>
      </c>
      <c r="AK455" s="5" t="str">
        <f>IF(AI455=1,IF(J455&gt;0,1,0),"")</f>
        <v/>
      </c>
      <c r="AL455" s="5">
        <f>IF(AJ455=1,IF(OR(Q455&gt;0,R455&gt;0),1,0),"")</f>
        <v>0</v>
      </c>
    </row>
    <row r="456" spans="1:38">
      <c r="A456">
        <v>455771</v>
      </c>
      <c r="B456" t="s">
        <v>578</v>
      </c>
      <c r="C456" t="s">
        <v>84</v>
      </c>
      <c r="D456" t="s">
        <v>24</v>
      </c>
      <c r="E456">
        <v>26</v>
      </c>
      <c r="F456">
        <v>922064</v>
      </c>
      <c r="H456" t="s">
        <v>26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>
        <v>1</v>
      </c>
      <c r="Q456">
        <v>0</v>
      </c>
      <c r="R456">
        <v>0</v>
      </c>
      <c r="S456">
        <v>1</v>
      </c>
      <c r="T456">
        <v>1.0845</v>
      </c>
      <c r="U456">
        <v>3.85E-2</v>
      </c>
      <c r="V456">
        <v>0</v>
      </c>
      <c r="W456">
        <f>E456/100</f>
        <v>0.26</v>
      </c>
      <c r="X456">
        <f>F456/1000000</f>
        <v>0.92206399999999999</v>
      </c>
      <c r="Y456">
        <f>IF(D456="C",1,0)</f>
        <v>0</v>
      </c>
      <c r="Z456">
        <f>IF(G456="C",1,0)</f>
        <v>0</v>
      </c>
      <c r="AA456">
        <f>IF(G456="S",1,0)</f>
        <v>0</v>
      </c>
      <c r="AB456">
        <f>IF(G456="U",1,0)</f>
        <v>0</v>
      </c>
      <c r="AC456" s="5">
        <f>IF(AND(ISNUMBER(H456),NOT(ISNUMBER(P456))),1,0)</f>
        <v>0</v>
      </c>
      <c r="AD456" s="5">
        <f>IF(AND(ISNUMBER(H456),ISNUMBER(P456)),1,0)</f>
        <v>0</v>
      </c>
      <c r="AE456" s="5">
        <f>W456</f>
        <v>0.26</v>
      </c>
      <c r="AF456" s="5">
        <f>X456</f>
        <v>0.92206399999999999</v>
      </c>
      <c r="AG456" s="5">
        <f>Y456</f>
        <v>0</v>
      </c>
      <c r="AH456" s="5">
        <f>IF(OR(G456="C",G456="S",G456="U"),1,0)</f>
        <v>0</v>
      </c>
      <c r="AI456" s="5">
        <f>IF(ISNUMBER(H456),1,0)</f>
        <v>0</v>
      </c>
      <c r="AJ456" s="5">
        <f>IF(ISNUMBER(P456),1,0)</f>
        <v>1</v>
      </c>
      <c r="AK456" s="5" t="str">
        <f>IF(AI456=1,IF(J456&gt;0,1,0),"")</f>
        <v/>
      </c>
      <c r="AL456" s="5">
        <f>IF(AJ456=1,IF(OR(Q456&gt;0,R456&gt;0),1,0),"")</f>
        <v>0</v>
      </c>
    </row>
    <row r="457" spans="1:38">
      <c r="A457">
        <v>456540</v>
      </c>
      <c r="B457" t="s">
        <v>579</v>
      </c>
      <c r="C457" t="s">
        <v>37</v>
      </c>
      <c r="D457" t="s">
        <v>24</v>
      </c>
      <c r="E457">
        <v>52</v>
      </c>
      <c r="F457">
        <v>5000000</v>
      </c>
      <c r="G457" t="s">
        <v>33</v>
      </c>
      <c r="H457" t="s">
        <v>26</v>
      </c>
      <c r="I457" t="s">
        <v>26</v>
      </c>
      <c r="J457" t="s">
        <v>26</v>
      </c>
      <c r="K457" t="s">
        <v>26</v>
      </c>
      <c r="L457" t="s">
        <v>26</v>
      </c>
      <c r="M457" t="s">
        <v>26</v>
      </c>
      <c r="N457" t="s">
        <v>26</v>
      </c>
      <c r="O457" t="s">
        <v>26</v>
      </c>
      <c r="P457">
        <v>1</v>
      </c>
      <c r="Q457">
        <v>0</v>
      </c>
      <c r="R457">
        <v>1</v>
      </c>
      <c r="S457">
        <v>1</v>
      </c>
      <c r="T457">
        <v>0.2</v>
      </c>
      <c r="U457">
        <v>1.9199999999999998E-2</v>
      </c>
      <c r="V457">
        <v>1</v>
      </c>
      <c r="W457">
        <f>E457/100</f>
        <v>0.52</v>
      </c>
      <c r="X457">
        <f>F457/1000000</f>
        <v>5</v>
      </c>
      <c r="Y457">
        <f>IF(D457="C",1,0)</f>
        <v>0</v>
      </c>
      <c r="Z457">
        <f>IF(G457="C",1,0)</f>
        <v>1</v>
      </c>
      <c r="AA457">
        <f>IF(G457="S",1,0)</f>
        <v>0</v>
      </c>
      <c r="AB457">
        <f>IF(G457="U",1,0)</f>
        <v>0</v>
      </c>
      <c r="AC457" s="5">
        <f>IF(AND(ISNUMBER(H457),NOT(ISNUMBER(P457))),1,0)</f>
        <v>0</v>
      </c>
      <c r="AD457" s="5">
        <f>IF(AND(ISNUMBER(H457),ISNUMBER(P457)),1,0)</f>
        <v>0</v>
      </c>
      <c r="AE457" s="5">
        <f>W457</f>
        <v>0.52</v>
      </c>
      <c r="AF457" s="5">
        <f>X457</f>
        <v>5</v>
      </c>
      <c r="AG457" s="5">
        <f>Y457</f>
        <v>0</v>
      </c>
      <c r="AH457" s="5">
        <f>IF(OR(G457="C",G457="S",G457="U"),1,0)</f>
        <v>1</v>
      </c>
      <c r="AI457" s="5">
        <f>IF(ISNUMBER(H457),1,0)</f>
        <v>0</v>
      </c>
      <c r="AJ457" s="5">
        <f>IF(ISNUMBER(P457),1,0)</f>
        <v>1</v>
      </c>
      <c r="AK457" s="5" t="str">
        <f>IF(AI457=1,IF(J457&gt;0,1,0),"")</f>
        <v/>
      </c>
      <c r="AL457" s="5">
        <f>IF(AJ457=1,IF(OR(Q457&gt;0,R457&gt;0),1,0),"")</f>
        <v>1</v>
      </c>
    </row>
    <row r="458" spans="1:38">
      <c r="A458">
        <v>457409</v>
      </c>
      <c r="B458" t="s">
        <v>581</v>
      </c>
      <c r="C458" t="s">
        <v>23</v>
      </c>
      <c r="D458" t="s">
        <v>24</v>
      </c>
      <c r="E458">
        <v>22</v>
      </c>
      <c r="F458">
        <v>263310</v>
      </c>
      <c r="G458" t="s">
        <v>25</v>
      </c>
      <c r="H458" t="s">
        <v>26</v>
      </c>
      <c r="I458" t="s">
        <v>26</v>
      </c>
      <c r="J458" t="s">
        <v>26</v>
      </c>
      <c r="K458" t="s">
        <v>26</v>
      </c>
      <c r="L458" t="s">
        <v>26</v>
      </c>
      <c r="M458" t="s">
        <v>26</v>
      </c>
      <c r="N458" t="s">
        <v>26</v>
      </c>
      <c r="O458" t="s">
        <v>26</v>
      </c>
      <c r="P458">
        <v>1</v>
      </c>
      <c r="Q458">
        <v>0</v>
      </c>
      <c r="R458">
        <v>1</v>
      </c>
      <c r="S458">
        <v>1</v>
      </c>
      <c r="T458">
        <v>3.7978000000000001</v>
      </c>
      <c r="U458">
        <v>4.5499999999999999E-2</v>
      </c>
      <c r="V458">
        <v>1</v>
      </c>
      <c r="W458">
        <f>E458/100</f>
        <v>0.22</v>
      </c>
      <c r="X458">
        <f>F458/1000000</f>
        <v>0.26330999999999999</v>
      </c>
      <c r="Y458">
        <f>IF(D458="C",1,0)</f>
        <v>0</v>
      </c>
      <c r="Z458">
        <f>IF(G458="C",1,0)</f>
        <v>0</v>
      </c>
      <c r="AA458">
        <f>IF(G458="S",1,0)</f>
        <v>1</v>
      </c>
      <c r="AB458">
        <f>IF(G458="U",1,0)</f>
        <v>0</v>
      </c>
      <c r="AC458" s="5">
        <f>IF(AND(ISNUMBER(H458),NOT(ISNUMBER(P458))),1,0)</f>
        <v>0</v>
      </c>
      <c r="AD458" s="5">
        <f>IF(AND(ISNUMBER(H458),ISNUMBER(P458)),1,0)</f>
        <v>0</v>
      </c>
      <c r="AE458" s="5">
        <f>W458</f>
        <v>0.22</v>
      </c>
      <c r="AF458" s="5">
        <f>X458</f>
        <v>0.26330999999999999</v>
      </c>
      <c r="AG458" s="5">
        <f>Y458</f>
        <v>0</v>
      </c>
      <c r="AH458" s="5">
        <f>IF(OR(G458="C",G458="S",G458="U"),1,0)</f>
        <v>1</v>
      </c>
      <c r="AI458" s="5">
        <f>IF(ISNUMBER(H458),1,0)</f>
        <v>0</v>
      </c>
      <c r="AJ458" s="5">
        <f>IF(ISNUMBER(P458),1,0)</f>
        <v>1</v>
      </c>
      <c r="AK458" s="5" t="str">
        <f>IF(AI458=1,IF(J458&gt;0,1,0),"")</f>
        <v/>
      </c>
      <c r="AL458" s="5">
        <f>IF(AJ458=1,IF(OR(Q458&gt;0,R458&gt;0),1,0),"")</f>
        <v>1</v>
      </c>
    </row>
    <row r="459" spans="1:38">
      <c r="A459">
        <v>457516</v>
      </c>
      <c r="B459" t="s">
        <v>582</v>
      </c>
      <c r="C459" t="s">
        <v>37</v>
      </c>
      <c r="D459" t="s">
        <v>33</v>
      </c>
      <c r="E459">
        <v>3</v>
      </c>
      <c r="F459">
        <v>150000</v>
      </c>
      <c r="H459" t="s">
        <v>26</v>
      </c>
      <c r="I459" t="s">
        <v>26</v>
      </c>
      <c r="J459" t="s">
        <v>26</v>
      </c>
      <c r="K459" t="s">
        <v>26</v>
      </c>
      <c r="L459" t="s">
        <v>26</v>
      </c>
      <c r="M459" t="s">
        <v>26</v>
      </c>
      <c r="N459" t="s">
        <v>26</v>
      </c>
      <c r="O459" t="s">
        <v>26</v>
      </c>
      <c r="P459">
        <v>1</v>
      </c>
      <c r="Q459">
        <v>0</v>
      </c>
      <c r="R459">
        <v>0</v>
      </c>
      <c r="S459">
        <v>1</v>
      </c>
      <c r="T459">
        <v>6.6666999999999996</v>
      </c>
      <c r="U459">
        <v>0.33329999999999999</v>
      </c>
      <c r="V459">
        <v>0</v>
      </c>
      <c r="W459">
        <f>E459/100</f>
        <v>0.03</v>
      </c>
      <c r="X459">
        <f>F459/1000000</f>
        <v>0.15</v>
      </c>
      <c r="Y459">
        <f>IF(D459="C",1,0)</f>
        <v>1</v>
      </c>
      <c r="Z459">
        <f>IF(G459="C",1,0)</f>
        <v>0</v>
      </c>
      <c r="AA459">
        <f>IF(G459="S",1,0)</f>
        <v>0</v>
      </c>
      <c r="AB459">
        <f>IF(G459="U",1,0)</f>
        <v>0</v>
      </c>
      <c r="AC459" s="5">
        <f>IF(AND(ISNUMBER(H459),NOT(ISNUMBER(P459))),1,0)</f>
        <v>0</v>
      </c>
      <c r="AD459" s="5">
        <f>IF(AND(ISNUMBER(H459),ISNUMBER(P459)),1,0)</f>
        <v>0</v>
      </c>
      <c r="AE459" s="5">
        <f>W459</f>
        <v>0.03</v>
      </c>
      <c r="AF459" s="5">
        <f>X459</f>
        <v>0.15</v>
      </c>
      <c r="AG459" s="5">
        <f>Y459</f>
        <v>1</v>
      </c>
      <c r="AH459" s="5">
        <f>IF(OR(G459="C",G459="S",G459="U"),1,0)</f>
        <v>0</v>
      </c>
      <c r="AI459" s="5">
        <f>IF(ISNUMBER(H459),1,0)</f>
        <v>0</v>
      </c>
      <c r="AJ459" s="5">
        <f>IF(ISNUMBER(P459),1,0)</f>
        <v>1</v>
      </c>
      <c r="AK459" s="5" t="str">
        <f>IF(AI459=1,IF(J459&gt;0,1,0),"")</f>
        <v/>
      </c>
      <c r="AL459" s="5">
        <f>IF(AJ459=1,IF(OR(Q459&gt;0,R459&gt;0),1,0),"")</f>
        <v>0</v>
      </c>
    </row>
    <row r="460" spans="1:38">
      <c r="A460">
        <v>457780</v>
      </c>
      <c r="B460" t="s">
        <v>583</v>
      </c>
      <c r="C460" t="s">
        <v>190</v>
      </c>
      <c r="D460" t="s">
        <v>24</v>
      </c>
      <c r="E460">
        <v>89</v>
      </c>
      <c r="F460">
        <v>5000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>
        <v>1</v>
      </c>
      <c r="Q460">
        <v>0</v>
      </c>
      <c r="R460">
        <v>1</v>
      </c>
      <c r="S460">
        <v>1</v>
      </c>
      <c r="T460">
        <v>200</v>
      </c>
      <c r="U460">
        <v>1.12E-2</v>
      </c>
      <c r="V460">
        <v>1</v>
      </c>
      <c r="W460">
        <f>E460/100</f>
        <v>0.89</v>
      </c>
      <c r="X460">
        <f>F460/1000000</f>
        <v>5.0000000000000001E-3</v>
      </c>
      <c r="Y460">
        <f>IF(D460="C",1,0)</f>
        <v>0</v>
      </c>
      <c r="Z460">
        <f>IF(G460="C",1,0)</f>
        <v>0</v>
      </c>
      <c r="AA460">
        <f>IF(G460="S",1,0)</f>
        <v>0</v>
      </c>
      <c r="AB460">
        <f>IF(G460="U",1,0)</f>
        <v>0</v>
      </c>
      <c r="AC460" s="5">
        <f>IF(AND(ISNUMBER(H460),NOT(ISNUMBER(P460))),1,0)</f>
        <v>0</v>
      </c>
      <c r="AD460" s="5">
        <f>IF(AND(ISNUMBER(H460),ISNUMBER(P460)),1,0)</f>
        <v>0</v>
      </c>
      <c r="AE460" s="5">
        <f>W460</f>
        <v>0.89</v>
      </c>
      <c r="AF460" s="5">
        <f>X460</f>
        <v>5.0000000000000001E-3</v>
      </c>
      <c r="AG460" s="5">
        <f>Y460</f>
        <v>0</v>
      </c>
      <c r="AH460" s="5">
        <f>IF(OR(G460="C",G460="S",G460="U"),1,0)</f>
        <v>0</v>
      </c>
      <c r="AI460" s="5">
        <f>IF(ISNUMBER(H460),1,0)</f>
        <v>0</v>
      </c>
      <c r="AJ460" s="5">
        <f>IF(ISNUMBER(P460),1,0)</f>
        <v>1</v>
      </c>
      <c r="AK460" s="5" t="str">
        <f>IF(AI460=1,IF(J460&gt;0,1,0),"")</f>
        <v/>
      </c>
      <c r="AL460" s="5">
        <f>IF(AJ460=1,IF(OR(Q460&gt;0,R460&gt;0),1,0),"")</f>
        <v>1</v>
      </c>
    </row>
    <row r="461" spans="1:38">
      <c r="A461">
        <v>457929</v>
      </c>
      <c r="B461" t="s">
        <v>584</v>
      </c>
      <c r="C461" t="s">
        <v>37</v>
      </c>
      <c r="D461" t="s">
        <v>33</v>
      </c>
      <c r="E461">
        <v>9</v>
      </c>
      <c r="F461">
        <v>975000</v>
      </c>
      <c r="H461" t="s">
        <v>26</v>
      </c>
      <c r="I461" t="s">
        <v>26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>
        <v>1</v>
      </c>
      <c r="Q461">
        <v>0</v>
      </c>
      <c r="R461">
        <v>1</v>
      </c>
      <c r="S461">
        <v>1</v>
      </c>
      <c r="T461">
        <v>1.0256000000000001</v>
      </c>
      <c r="U461">
        <v>0.1111</v>
      </c>
      <c r="V461">
        <v>1</v>
      </c>
      <c r="W461">
        <f>E461/100</f>
        <v>0.09</v>
      </c>
      <c r="X461">
        <f>F461/1000000</f>
        <v>0.97499999999999998</v>
      </c>
      <c r="Y461">
        <f>IF(D461="C",1,0)</f>
        <v>1</v>
      </c>
      <c r="Z461">
        <f>IF(G461="C",1,0)</f>
        <v>0</v>
      </c>
      <c r="AA461">
        <f>IF(G461="S",1,0)</f>
        <v>0</v>
      </c>
      <c r="AB461">
        <f>IF(G461="U",1,0)</f>
        <v>0</v>
      </c>
      <c r="AC461" s="5">
        <f>IF(AND(ISNUMBER(H461),NOT(ISNUMBER(P461))),1,0)</f>
        <v>0</v>
      </c>
      <c r="AD461" s="5">
        <f>IF(AND(ISNUMBER(H461),ISNUMBER(P461)),1,0)</f>
        <v>0</v>
      </c>
      <c r="AE461" s="5">
        <f>W461</f>
        <v>0.09</v>
      </c>
      <c r="AF461" s="5">
        <f>X461</f>
        <v>0.97499999999999998</v>
      </c>
      <c r="AG461" s="5">
        <f>Y461</f>
        <v>1</v>
      </c>
      <c r="AH461" s="5">
        <f>IF(OR(G461="C",G461="S",G461="U"),1,0)</f>
        <v>0</v>
      </c>
      <c r="AI461" s="5">
        <f>IF(ISNUMBER(H461),1,0)</f>
        <v>0</v>
      </c>
      <c r="AJ461" s="5">
        <f>IF(ISNUMBER(P461),1,0)</f>
        <v>1</v>
      </c>
      <c r="AK461" s="5" t="str">
        <f>IF(AI461=1,IF(J461&gt;0,1,0),"")</f>
        <v/>
      </c>
      <c r="AL461" s="5">
        <f>IF(AJ461=1,IF(OR(Q461&gt;0,R461&gt;0),1,0),"")</f>
        <v>1</v>
      </c>
    </row>
    <row r="462" spans="1:38">
      <c r="A462">
        <v>459104</v>
      </c>
      <c r="B462" t="s">
        <v>585</v>
      </c>
      <c r="C462" t="s">
        <v>82</v>
      </c>
      <c r="D462" t="s">
        <v>24</v>
      </c>
      <c r="E462">
        <v>8</v>
      </c>
      <c r="F462">
        <v>370000</v>
      </c>
      <c r="G462" t="s">
        <v>25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>
        <v>1</v>
      </c>
      <c r="Q462">
        <v>0</v>
      </c>
      <c r="R462">
        <v>1</v>
      </c>
      <c r="S462">
        <v>0</v>
      </c>
      <c r="T462">
        <v>2.7027000000000001</v>
      </c>
      <c r="U462">
        <v>0.125</v>
      </c>
      <c r="V462">
        <v>1</v>
      </c>
      <c r="W462">
        <f>E462/100</f>
        <v>0.08</v>
      </c>
      <c r="X462">
        <f>F462/1000000</f>
        <v>0.37</v>
      </c>
      <c r="Y462">
        <f>IF(D462="C",1,0)</f>
        <v>0</v>
      </c>
      <c r="Z462">
        <f>IF(G462="C",1,0)</f>
        <v>0</v>
      </c>
      <c r="AA462">
        <f>IF(G462="S",1,0)</f>
        <v>1</v>
      </c>
      <c r="AB462">
        <f>IF(G462="U",1,0)</f>
        <v>0</v>
      </c>
      <c r="AC462" s="5">
        <f>IF(AND(ISNUMBER(H462),NOT(ISNUMBER(P462))),1,0)</f>
        <v>0</v>
      </c>
      <c r="AD462" s="5">
        <f>IF(AND(ISNUMBER(H462),ISNUMBER(P462)),1,0)</f>
        <v>0</v>
      </c>
      <c r="AE462" s="5">
        <f>W462</f>
        <v>0.08</v>
      </c>
      <c r="AF462" s="5">
        <f>X462</f>
        <v>0.37</v>
      </c>
      <c r="AG462" s="5">
        <f>Y462</f>
        <v>0</v>
      </c>
      <c r="AH462" s="5">
        <f>IF(OR(G462="C",G462="S",G462="U"),1,0)</f>
        <v>1</v>
      </c>
      <c r="AI462" s="5">
        <f>IF(ISNUMBER(H462),1,0)</f>
        <v>0</v>
      </c>
      <c r="AJ462" s="5">
        <f>IF(ISNUMBER(P462),1,0)</f>
        <v>1</v>
      </c>
      <c r="AK462" s="5" t="str">
        <f>IF(AI462=1,IF(J462&gt;0,1,0),"")</f>
        <v/>
      </c>
      <c r="AL462" s="5">
        <f>IF(AJ462=1,IF(OR(Q462&gt;0,R462&gt;0),1,0),"")</f>
        <v>1</v>
      </c>
    </row>
    <row r="463" spans="1:38">
      <c r="A463">
        <v>459208</v>
      </c>
      <c r="B463" t="s">
        <v>586</v>
      </c>
      <c r="C463" t="s">
        <v>37</v>
      </c>
      <c r="D463" t="s">
        <v>24</v>
      </c>
      <c r="E463">
        <v>18</v>
      </c>
      <c r="F463">
        <v>260000</v>
      </c>
      <c r="G463" t="s">
        <v>25</v>
      </c>
      <c r="H463" t="s">
        <v>26</v>
      </c>
      <c r="I463" t="s">
        <v>26</v>
      </c>
      <c r="J463" t="s">
        <v>26</v>
      </c>
      <c r="K463" t="s">
        <v>26</v>
      </c>
      <c r="L463" t="s">
        <v>26</v>
      </c>
      <c r="M463" t="s">
        <v>26</v>
      </c>
      <c r="N463" t="s">
        <v>26</v>
      </c>
      <c r="O463" t="s">
        <v>26</v>
      </c>
      <c r="P463">
        <v>1</v>
      </c>
      <c r="Q463">
        <v>0</v>
      </c>
      <c r="R463">
        <v>0</v>
      </c>
      <c r="S463">
        <v>1</v>
      </c>
      <c r="T463">
        <v>3.8462000000000001</v>
      </c>
      <c r="U463">
        <v>5.5599999999999997E-2</v>
      </c>
      <c r="V463">
        <v>0</v>
      </c>
      <c r="W463">
        <f>E463/100</f>
        <v>0.18</v>
      </c>
      <c r="X463">
        <f>F463/1000000</f>
        <v>0.26</v>
      </c>
      <c r="Y463">
        <f>IF(D463="C",1,0)</f>
        <v>0</v>
      </c>
      <c r="Z463">
        <f>IF(G463="C",1,0)</f>
        <v>0</v>
      </c>
      <c r="AA463">
        <f>IF(G463="S",1,0)</f>
        <v>1</v>
      </c>
      <c r="AB463">
        <f>IF(G463="U",1,0)</f>
        <v>0</v>
      </c>
      <c r="AC463" s="5">
        <f>IF(AND(ISNUMBER(H463),NOT(ISNUMBER(P463))),1,0)</f>
        <v>0</v>
      </c>
      <c r="AD463" s="5">
        <f>IF(AND(ISNUMBER(H463),ISNUMBER(P463)),1,0)</f>
        <v>0</v>
      </c>
      <c r="AE463" s="5">
        <f>W463</f>
        <v>0.18</v>
      </c>
      <c r="AF463" s="5">
        <f>X463</f>
        <v>0.26</v>
      </c>
      <c r="AG463" s="5">
        <f>Y463</f>
        <v>0</v>
      </c>
      <c r="AH463" s="5">
        <f>IF(OR(G463="C",G463="S",G463="U"),1,0)</f>
        <v>1</v>
      </c>
      <c r="AI463" s="5">
        <f>IF(ISNUMBER(H463),1,0)</f>
        <v>0</v>
      </c>
      <c r="AJ463" s="5">
        <f>IF(ISNUMBER(P463),1,0)</f>
        <v>1</v>
      </c>
      <c r="AK463" s="5" t="str">
        <f>IF(AI463=1,IF(J463&gt;0,1,0),"")</f>
        <v/>
      </c>
      <c r="AL463" s="5">
        <f>IF(AJ463=1,IF(OR(Q463&gt;0,R463&gt;0),1,0),"")</f>
        <v>0</v>
      </c>
    </row>
    <row r="464" spans="1:38">
      <c r="A464">
        <v>461889</v>
      </c>
      <c r="B464" t="s">
        <v>588</v>
      </c>
      <c r="C464" t="s">
        <v>105</v>
      </c>
      <c r="D464" t="s">
        <v>24</v>
      </c>
      <c r="E464">
        <v>35</v>
      </c>
      <c r="F464">
        <v>1057207</v>
      </c>
      <c r="G464" t="s">
        <v>25</v>
      </c>
      <c r="H464" t="s">
        <v>26</v>
      </c>
      <c r="I464" t="s">
        <v>26</v>
      </c>
      <c r="J464" t="s">
        <v>26</v>
      </c>
      <c r="K464" t="s">
        <v>26</v>
      </c>
      <c r="L464" t="s">
        <v>26</v>
      </c>
      <c r="M464" t="s">
        <v>26</v>
      </c>
      <c r="N464" t="s">
        <v>26</v>
      </c>
      <c r="O464" t="s">
        <v>26</v>
      </c>
      <c r="P464">
        <v>1</v>
      </c>
      <c r="Q464">
        <v>0</v>
      </c>
      <c r="R464">
        <v>0</v>
      </c>
      <c r="S464">
        <v>1</v>
      </c>
      <c r="T464">
        <v>0.94589999999999996</v>
      </c>
      <c r="U464">
        <v>2.86E-2</v>
      </c>
      <c r="V464">
        <v>0</v>
      </c>
      <c r="W464">
        <f>E464/100</f>
        <v>0.35</v>
      </c>
      <c r="X464">
        <f>F464/1000000</f>
        <v>1.057207</v>
      </c>
      <c r="Y464">
        <f>IF(D464="C",1,0)</f>
        <v>0</v>
      </c>
      <c r="Z464">
        <f>IF(G464="C",1,0)</f>
        <v>0</v>
      </c>
      <c r="AA464">
        <f>IF(G464="S",1,0)</f>
        <v>1</v>
      </c>
      <c r="AB464">
        <f>IF(G464="U",1,0)</f>
        <v>0</v>
      </c>
      <c r="AC464" s="5">
        <f>IF(AND(ISNUMBER(H464),NOT(ISNUMBER(P464))),1,0)</f>
        <v>0</v>
      </c>
      <c r="AD464" s="5">
        <f>IF(AND(ISNUMBER(H464),ISNUMBER(P464)),1,0)</f>
        <v>0</v>
      </c>
      <c r="AE464" s="5">
        <f>W464</f>
        <v>0.35</v>
      </c>
      <c r="AF464" s="5">
        <f>X464</f>
        <v>1.057207</v>
      </c>
      <c r="AG464" s="5">
        <f>Y464</f>
        <v>0</v>
      </c>
      <c r="AH464" s="5">
        <f>IF(OR(G464="C",G464="S",G464="U"),1,0)</f>
        <v>1</v>
      </c>
      <c r="AI464" s="5">
        <f>IF(ISNUMBER(H464),1,0)</f>
        <v>0</v>
      </c>
      <c r="AJ464" s="5">
        <f>IF(ISNUMBER(P464),1,0)</f>
        <v>1</v>
      </c>
      <c r="AK464" s="5" t="str">
        <f>IF(AI464=1,IF(J464&gt;0,1,0),"")</f>
        <v/>
      </c>
      <c r="AL464" s="5">
        <f>IF(AJ464=1,IF(OR(Q464&gt;0,R464&gt;0),1,0),"")</f>
        <v>0</v>
      </c>
    </row>
    <row r="465" spans="1:38">
      <c r="A465">
        <v>462083</v>
      </c>
      <c r="B465" t="s">
        <v>589</v>
      </c>
      <c r="C465" t="s">
        <v>82</v>
      </c>
      <c r="D465" t="s">
        <v>24</v>
      </c>
      <c r="E465">
        <v>6</v>
      </c>
      <c r="F465">
        <v>45683</v>
      </c>
      <c r="G465" t="s">
        <v>25</v>
      </c>
      <c r="H465" t="s">
        <v>26</v>
      </c>
      <c r="I465" t="s">
        <v>26</v>
      </c>
      <c r="J465" t="s">
        <v>26</v>
      </c>
      <c r="K465" t="s">
        <v>26</v>
      </c>
      <c r="L465" t="s">
        <v>26</v>
      </c>
      <c r="M465" t="s">
        <v>26</v>
      </c>
      <c r="N465" t="s">
        <v>26</v>
      </c>
      <c r="O465" t="s">
        <v>26</v>
      </c>
      <c r="P465">
        <v>1</v>
      </c>
      <c r="Q465">
        <v>0</v>
      </c>
      <c r="R465">
        <v>1</v>
      </c>
      <c r="S465">
        <v>1</v>
      </c>
      <c r="T465">
        <v>21.89</v>
      </c>
      <c r="U465">
        <v>0.16669999999999999</v>
      </c>
      <c r="V465">
        <v>1</v>
      </c>
      <c r="W465">
        <f>E465/100</f>
        <v>0.06</v>
      </c>
      <c r="X465">
        <f>F465/1000000</f>
        <v>4.5683000000000001E-2</v>
      </c>
      <c r="Y465">
        <f>IF(D465="C",1,0)</f>
        <v>0</v>
      </c>
      <c r="Z465">
        <f>IF(G465="C",1,0)</f>
        <v>0</v>
      </c>
      <c r="AA465">
        <f>IF(G465="S",1,0)</f>
        <v>1</v>
      </c>
      <c r="AB465">
        <f>IF(G465="U",1,0)</f>
        <v>0</v>
      </c>
      <c r="AC465" s="5">
        <f>IF(AND(ISNUMBER(H465),NOT(ISNUMBER(P465))),1,0)</f>
        <v>0</v>
      </c>
      <c r="AD465" s="5">
        <f>IF(AND(ISNUMBER(H465),ISNUMBER(P465)),1,0)</f>
        <v>0</v>
      </c>
      <c r="AE465" s="5">
        <f>W465</f>
        <v>0.06</v>
      </c>
      <c r="AF465" s="5">
        <f>X465</f>
        <v>4.5683000000000001E-2</v>
      </c>
      <c r="AG465" s="5">
        <f>Y465</f>
        <v>0</v>
      </c>
      <c r="AH465" s="5">
        <f>IF(OR(G465="C",G465="S",G465="U"),1,0)</f>
        <v>1</v>
      </c>
      <c r="AI465" s="5">
        <f>IF(ISNUMBER(H465),1,0)</f>
        <v>0</v>
      </c>
      <c r="AJ465" s="5">
        <f>IF(ISNUMBER(P465),1,0)</f>
        <v>1</v>
      </c>
      <c r="AK465" s="5" t="str">
        <f>IF(AI465=1,IF(J465&gt;0,1,0),"")</f>
        <v/>
      </c>
      <c r="AL465" s="5">
        <f>IF(AJ465=1,IF(OR(Q465&gt;0,R465&gt;0),1,0),"")</f>
        <v>1</v>
      </c>
    </row>
    <row r="466" spans="1:38">
      <c r="A466">
        <v>462363</v>
      </c>
      <c r="B466" t="s">
        <v>590</v>
      </c>
      <c r="C466" t="s">
        <v>190</v>
      </c>
      <c r="D466" t="s">
        <v>24</v>
      </c>
      <c r="E466">
        <v>69</v>
      </c>
      <c r="F466">
        <v>2950000</v>
      </c>
      <c r="G466" t="s">
        <v>25</v>
      </c>
      <c r="H466" t="s">
        <v>26</v>
      </c>
      <c r="I466" t="s">
        <v>26</v>
      </c>
      <c r="J466" t="s">
        <v>26</v>
      </c>
      <c r="K466" t="s">
        <v>26</v>
      </c>
      <c r="L466" t="s">
        <v>26</v>
      </c>
      <c r="M466" t="s">
        <v>26</v>
      </c>
      <c r="N466" t="s">
        <v>26</v>
      </c>
      <c r="O466" t="s">
        <v>26</v>
      </c>
      <c r="P466">
        <v>1</v>
      </c>
      <c r="Q466">
        <v>0</v>
      </c>
      <c r="R466">
        <v>0</v>
      </c>
      <c r="S466">
        <v>1</v>
      </c>
      <c r="T466">
        <v>0.33900000000000002</v>
      </c>
      <c r="U466">
        <v>1.4500000000000001E-2</v>
      </c>
      <c r="V466">
        <v>0</v>
      </c>
      <c r="W466">
        <f>E466/100</f>
        <v>0.69</v>
      </c>
      <c r="X466">
        <f>F466/1000000</f>
        <v>2.95</v>
      </c>
      <c r="Y466">
        <f>IF(D466="C",1,0)</f>
        <v>0</v>
      </c>
      <c r="Z466">
        <f>IF(G466="C",1,0)</f>
        <v>0</v>
      </c>
      <c r="AA466">
        <f>IF(G466="S",1,0)</f>
        <v>1</v>
      </c>
      <c r="AB466">
        <f>IF(G466="U",1,0)</f>
        <v>0</v>
      </c>
      <c r="AC466" s="5">
        <f>IF(AND(ISNUMBER(H466),NOT(ISNUMBER(P466))),1,0)</f>
        <v>0</v>
      </c>
      <c r="AD466" s="5">
        <f>IF(AND(ISNUMBER(H466),ISNUMBER(P466)),1,0)</f>
        <v>0</v>
      </c>
      <c r="AE466" s="5">
        <f>W466</f>
        <v>0.69</v>
      </c>
      <c r="AF466" s="5">
        <f>X466</f>
        <v>2.95</v>
      </c>
      <c r="AG466" s="5">
        <f>Y466</f>
        <v>0</v>
      </c>
      <c r="AH466" s="5">
        <f>IF(OR(G466="C",G466="S",G466="U"),1,0)</f>
        <v>1</v>
      </c>
      <c r="AI466" s="5">
        <f>IF(ISNUMBER(H466),1,0)</f>
        <v>0</v>
      </c>
      <c r="AJ466" s="5">
        <f>IF(ISNUMBER(P466),1,0)</f>
        <v>1</v>
      </c>
      <c r="AK466" s="5" t="str">
        <f>IF(AI466=1,IF(J466&gt;0,1,0),"")</f>
        <v/>
      </c>
      <c r="AL466" s="5">
        <f>IF(AJ466=1,IF(OR(Q466&gt;0,R466&gt;0),1,0),"")</f>
        <v>0</v>
      </c>
    </row>
    <row r="467" spans="1:38">
      <c r="A467">
        <v>464771</v>
      </c>
      <c r="B467" t="s">
        <v>592</v>
      </c>
      <c r="C467" t="s">
        <v>23</v>
      </c>
      <c r="D467" t="s">
        <v>24</v>
      </c>
      <c r="E467">
        <v>7</v>
      </c>
      <c r="F467">
        <v>97915</v>
      </c>
      <c r="H467" t="s">
        <v>26</v>
      </c>
      <c r="I467" t="s">
        <v>26</v>
      </c>
      <c r="J467" t="s">
        <v>26</v>
      </c>
      <c r="K467" t="s">
        <v>26</v>
      </c>
      <c r="L467" t="s">
        <v>26</v>
      </c>
      <c r="M467" t="s">
        <v>26</v>
      </c>
      <c r="N467" t="s">
        <v>26</v>
      </c>
      <c r="O467" t="s">
        <v>26</v>
      </c>
      <c r="P467">
        <v>1</v>
      </c>
      <c r="Q467">
        <v>0</v>
      </c>
      <c r="R467">
        <v>1</v>
      </c>
      <c r="S467">
        <v>0</v>
      </c>
      <c r="T467">
        <v>10.212899999999999</v>
      </c>
      <c r="U467">
        <v>0.1429</v>
      </c>
      <c r="V467">
        <v>1</v>
      </c>
      <c r="W467">
        <f>E467/100</f>
        <v>7.0000000000000007E-2</v>
      </c>
      <c r="X467">
        <f>F467/1000000</f>
        <v>9.7915000000000002E-2</v>
      </c>
      <c r="Y467">
        <f>IF(D467="C",1,0)</f>
        <v>0</v>
      </c>
      <c r="Z467">
        <f>IF(G467="C",1,0)</f>
        <v>0</v>
      </c>
      <c r="AA467">
        <f>IF(G467="S",1,0)</f>
        <v>0</v>
      </c>
      <c r="AB467">
        <f>IF(G467="U",1,0)</f>
        <v>0</v>
      </c>
      <c r="AC467" s="5">
        <f>IF(AND(ISNUMBER(H467),NOT(ISNUMBER(P467))),1,0)</f>
        <v>0</v>
      </c>
      <c r="AD467" s="5">
        <f>IF(AND(ISNUMBER(H467),ISNUMBER(P467)),1,0)</f>
        <v>0</v>
      </c>
      <c r="AE467" s="5">
        <f>W467</f>
        <v>7.0000000000000007E-2</v>
      </c>
      <c r="AF467" s="5">
        <f>X467</f>
        <v>9.7915000000000002E-2</v>
      </c>
      <c r="AG467" s="5">
        <f>Y467</f>
        <v>0</v>
      </c>
      <c r="AH467" s="5">
        <f>IF(OR(G467="C",G467="S",G467="U"),1,0)</f>
        <v>0</v>
      </c>
      <c r="AI467" s="5">
        <f>IF(ISNUMBER(H467),1,0)</f>
        <v>0</v>
      </c>
      <c r="AJ467" s="5">
        <f>IF(ISNUMBER(P467),1,0)</f>
        <v>1</v>
      </c>
      <c r="AK467" s="5" t="str">
        <f>IF(AI467=1,IF(J467&gt;0,1,0),"")</f>
        <v/>
      </c>
      <c r="AL467" s="5">
        <f>IF(AJ467=1,IF(OR(Q467&gt;0,R467&gt;0),1,0),"")</f>
        <v>1</v>
      </c>
    </row>
    <row r="468" spans="1:38">
      <c r="A468">
        <v>464828</v>
      </c>
      <c r="B468" t="s">
        <v>593</v>
      </c>
      <c r="C468" t="s">
        <v>330</v>
      </c>
      <c r="D468" t="s">
        <v>24</v>
      </c>
      <c r="E468">
        <v>187</v>
      </c>
      <c r="F468">
        <v>4770000</v>
      </c>
      <c r="G468" t="s">
        <v>33</v>
      </c>
      <c r="H468" t="s">
        <v>26</v>
      </c>
      <c r="I468" t="s">
        <v>26</v>
      </c>
      <c r="J468" t="s">
        <v>26</v>
      </c>
      <c r="K468" t="s">
        <v>26</v>
      </c>
      <c r="L468" t="s">
        <v>26</v>
      </c>
      <c r="M468" t="s">
        <v>26</v>
      </c>
      <c r="N468" t="s">
        <v>26</v>
      </c>
      <c r="O468" t="s">
        <v>26</v>
      </c>
      <c r="P468">
        <v>1</v>
      </c>
      <c r="Q468">
        <v>0</v>
      </c>
      <c r="R468">
        <v>1</v>
      </c>
      <c r="S468">
        <v>1</v>
      </c>
      <c r="T468">
        <v>0.20960000000000001</v>
      </c>
      <c r="U468">
        <v>5.3E-3</v>
      </c>
      <c r="V468">
        <v>1</v>
      </c>
      <c r="W468">
        <f>E468/100</f>
        <v>1.87</v>
      </c>
      <c r="X468">
        <f>F468/1000000</f>
        <v>4.7699999999999996</v>
      </c>
      <c r="Y468">
        <f>IF(D468="C",1,0)</f>
        <v>0</v>
      </c>
      <c r="Z468">
        <f>IF(G468="C",1,0)</f>
        <v>1</v>
      </c>
      <c r="AA468">
        <f>IF(G468="S",1,0)</f>
        <v>0</v>
      </c>
      <c r="AB468">
        <f>IF(G468="U",1,0)</f>
        <v>0</v>
      </c>
      <c r="AC468" s="5">
        <f>IF(AND(ISNUMBER(H468),NOT(ISNUMBER(P468))),1,0)</f>
        <v>0</v>
      </c>
      <c r="AD468" s="5">
        <f>IF(AND(ISNUMBER(H468),ISNUMBER(P468)),1,0)</f>
        <v>0</v>
      </c>
      <c r="AE468" s="5">
        <f>W468</f>
        <v>1.87</v>
      </c>
      <c r="AF468" s="5">
        <f>X468</f>
        <v>4.7699999999999996</v>
      </c>
      <c r="AG468" s="5">
        <f>Y468</f>
        <v>0</v>
      </c>
      <c r="AH468" s="5">
        <f>IF(OR(G468="C",G468="S",G468="U"),1,0)</f>
        <v>1</v>
      </c>
      <c r="AI468" s="5">
        <f>IF(ISNUMBER(H468),1,0)</f>
        <v>0</v>
      </c>
      <c r="AJ468" s="5">
        <f>IF(ISNUMBER(P468),1,0)</f>
        <v>1</v>
      </c>
      <c r="AK468" s="5" t="str">
        <f>IF(AI468=1,IF(J468&gt;0,1,0),"")</f>
        <v/>
      </c>
      <c r="AL468" s="5">
        <f>IF(AJ468=1,IF(OR(Q468&gt;0,R468&gt;0),1,0),"")</f>
        <v>1</v>
      </c>
    </row>
    <row r="469" spans="1:38">
      <c r="A469">
        <v>465142</v>
      </c>
      <c r="B469" t="s">
        <v>594</v>
      </c>
      <c r="C469" t="s">
        <v>23</v>
      </c>
      <c r="D469" t="s">
        <v>33</v>
      </c>
      <c r="E469">
        <v>7</v>
      </c>
      <c r="F469">
        <v>50000</v>
      </c>
      <c r="H469" t="s">
        <v>26</v>
      </c>
      <c r="I469" t="s">
        <v>26</v>
      </c>
      <c r="J469" t="s">
        <v>26</v>
      </c>
      <c r="K469" t="s">
        <v>26</v>
      </c>
      <c r="L469" t="s">
        <v>26</v>
      </c>
      <c r="M469" t="s">
        <v>26</v>
      </c>
      <c r="N469" t="s">
        <v>26</v>
      </c>
      <c r="O469" t="s">
        <v>26</v>
      </c>
      <c r="P469">
        <v>1</v>
      </c>
      <c r="Q469">
        <v>0</v>
      </c>
      <c r="R469">
        <v>0</v>
      </c>
      <c r="S469">
        <v>1</v>
      </c>
      <c r="T469">
        <v>20</v>
      </c>
      <c r="U469">
        <v>0.1429</v>
      </c>
      <c r="V469">
        <v>0</v>
      </c>
      <c r="W469">
        <f>E469/100</f>
        <v>7.0000000000000007E-2</v>
      </c>
      <c r="X469">
        <f>F469/1000000</f>
        <v>0.05</v>
      </c>
      <c r="Y469">
        <f>IF(D469="C",1,0)</f>
        <v>1</v>
      </c>
      <c r="Z469">
        <f>IF(G469="C",1,0)</f>
        <v>0</v>
      </c>
      <c r="AA469">
        <f>IF(G469="S",1,0)</f>
        <v>0</v>
      </c>
      <c r="AB469">
        <f>IF(G469="U",1,0)</f>
        <v>0</v>
      </c>
      <c r="AC469" s="5">
        <f>IF(AND(ISNUMBER(H469),NOT(ISNUMBER(P469))),1,0)</f>
        <v>0</v>
      </c>
      <c r="AD469" s="5">
        <f>IF(AND(ISNUMBER(H469),ISNUMBER(P469)),1,0)</f>
        <v>0</v>
      </c>
      <c r="AE469" s="5">
        <f>W469</f>
        <v>7.0000000000000007E-2</v>
      </c>
      <c r="AF469" s="5">
        <f>X469</f>
        <v>0.05</v>
      </c>
      <c r="AG469" s="5">
        <f>Y469</f>
        <v>1</v>
      </c>
      <c r="AH469" s="5">
        <f>IF(OR(G469="C",G469="S",G469="U"),1,0)</f>
        <v>0</v>
      </c>
      <c r="AI469" s="5">
        <f>IF(ISNUMBER(H469),1,0)</f>
        <v>0</v>
      </c>
      <c r="AJ469" s="5">
        <f>IF(ISNUMBER(P469),1,0)</f>
        <v>1</v>
      </c>
      <c r="AK469" s="5" t="str">
        <f>IF(AI469=1,IF(J469&gt;0,1,0),"")</f>
        <v/>
      </c>
      <c r="AL469" s="5">
        <f>IF(AJ469=1,IF(OR(Q469&gt;0,R469&gt;0),1,0),"")</f>
        <v>0</v>
      </c>
    </row>
    <row r="470" spans="1:38">
      <c r="A470">
        <v>465820</v>
      </c>
      <c r="B470" t="s">
        <v>595</v>
      </c>
      <c r="C470" t="s">
        <v>82</v>
      </c>
      <c r="D470" t="s">
        <v>24</v>
      </c>
      <c r="E470">
        <v>5</v>
      </c>
      <c r="F470">
        <v>70000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>
        <v>1</v>
      </c>
      <c r="Q470">
        <v>0</v>
      </c>
      <c r="R470">
        <v>1</v>
      </c>
      <c r="S470">
        <v>1</v>
      </c>
      <c r="T470">
        <v>14.2857</v>
      </c>
      <c r="U470">
        <v>0.2</v>
      </c>
      <c r="V470">
        <v>1</v>
      </c>
      <c r="W470">
        <f>E470/100</f>
        <v>0.05</v>
      </c>
      <c r="X470">
        <f>F470/1000000</f>
        <v>7.0000000000000007E-2</v>
      </c>
      <c r="Y470">
        <f>IF(D470="C",1,0)</f>
        <v>0</v>
      </c>
      <c r="Z470">
        <f>IF(G470="C",1,0)</f>
        <v>0</v>
      </c>
      <c r="AA470">
        <f>IF(G470="S",1,0)</f>
        <v>0</v>
      </c>
      <c r="AB470">
        <f>IF(G470="U",1,0)</f>
        <v>0</v>
      </c>
      <c r="AC470" s="5">
        <f>IF(AND(ISNUMBER(H470),NOT(ISNUMBER(P470))),1,0)</f>
        <v>0</v>
      </c>
      <c r="AD470" s="5">
        <f>IF(AND(ISNUMBER(H470),ISNUMBER(P470)),1,0)</f>
        <v>0</v>
      </c>
      <c r="AE470" s="5">
        <f>W470</f>
        <v>0.05</v>
      </c>
      <c r="AF470" s="5">
        <f>X470</f>
        <v>7.0000000000000007E-2</v>
      </c>
      <c r="AG470" s="5">
        <f>Y470</f>
        <v>0</v>
      </c>
      <c r="AH470" s="5">
        <f>IF(OR(G470="C",G470="S",G470="U"),1,0)</f>
        <v>0</v>
      </c>
      <c r="AI470" s="5">
        <f>IF(ISNUMBER(H470),1,0)</f>
        <v>0</v>
      </c>
      <c r="AJ470" s="5">
        <f>IF(ISNUMBER(P470),1,0)</f>
        <v>1</v>
      </c>
      <c r="AK470" s="5" t="str">
        <f>IF(AI470=1,IF(J470&gt;0,1,0),"")</f>
        <v/>
      </c>
      <c r="AL470" s="5">
        <f>IF(AJ470=1,IF(OR(Q470&gt;0,R470&gt;0),1,0),"")</f>
        <v>1</v>
      </c>
    </row>
    <row r="471" spans="1:38">
      <c r="A471">
        <v>465833</v>
      </c>
      <c r="B471" t="s">
        <v>596</v>
      </c>
      <c r="C471" t="s">
        <v>40</v>
      </c>
      <c r="D471" t="s">
        <v>24</v>
      </c>
      <c r="E471">
        <v>9</v>
      </c>
      <c r="F471">
        <v>152000</v>
      </c>
      <c r="H471" t="s">
        <v>26</v>
      </c>
      <c r="I471" t="s">
        <v>26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26</v>
      </c>
      <c r="P471">
        <v>1</v>
      </c>
      <c r="Q471">
        <v>0</v>
      </c>
      <c r="R471">
        <v>1</v>
      </c>
      <c r="S471">
        <v>1</v>
      </c>
      <c r="T471">
        <v>6.5789</v>
      </c>
      <c r="U471">
        <v>0.1111</v>
      </c>
      <c r="V471">
        <v>1</v>
      </c>
      <c r="W471">
        <f>E471/100</f>
        <v>0.09</v>
      </c>
      <c r="X471">
        <f>F471/1000000</f>
        <v>0.152</v>
      </c>
      <c r="Y471">
        <f>IF(D471="C",1,0)</f>
        <v>0</v>
      </c>
      <c r="Z471">
        <f>IF(G471="C",1,0)</f>
        <v>0</v>
      </c>
      <c r="AA471">
        <f>IF(G471="S",1,0)</f>
        <v>0</v>
      </c>
      <c r="AB471">
        <f>IF(G471="U",1,0)</f>
        <v>0</v>
      </c>
      <c r="AC471" s="5">
        <f>IF(AND(ISNUMBER(H471),NOT(ISNUMBER(P471))),1,0)</f>
        <v>0</v>
      </c>
      <c r="AD471" s="5">
        <f>IF(AND(ISNUMBER(H471),ISNUMBER(P471)),1,0)</f>
        <v>0</v>
      </c>
      <c r="AE471" s="5">
        <f>W471</f>
        <v>0.09</v>
      </c>
      <c r="AF471" s="5">
        <f>X471</f>
        <v>0.152</v>
      </c>
      <c r="AG471" s="5">
        <f>Y471</f>
        <v>0</v>
      </c>
      <c r="AH471" s="5">
        <f>IF(OR(G471="C",G471="S",G471="U"),1,0)</f>
        <v>0</v>
      </c>
      <c r="AI471" s="5">
        <f>IF(ISNUMBER(H471),1,0)</f>
        <v>0</v>
      </c>
      <c r="AJ471" s="5">
        <f>IF(ISNUMBER(P471),1,0)</f>
        <v>1</v>
      </c>
      <c r="AK471" s="5" t="str">
        <f>IF(AI471=1,IF(J471&gt;0,1,0),"")</f>
        <v/>
      </c>
      <c r="AL471" s="5">
        <f>IF(AJ471=1,IF(OR(Q471&gt;0,R471&gt;0),1,0),"")</f>
        <v>1</v>
      </c>
    </row>
    <row r="472" spans="1:38">
      <c r="A472">
        <v>466762</v>
      </c>
      <c r="B472" t="s">
        <v>597</v>
      </c>
      <c r="C472" t="s">
        <v>23</v>
      </c>
      <c r="D472" t="s">
        <v>24</v>
      </c>
      <c r="E472">
        <v>47</v>
      </c>
      <c r="F472">
        <v>860000</v>
      </c>
      <c r="G472" t="s">
        <v>25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>
        <v>1</v>
      </c>
      <c r="Q472">
        <v>0</v>
      </c>
      <c r="R472">
        <v>0</v>
      </c>
      <c r="S472">
        <v>0</v>
      </c>
      <c r="T472">
        <v>1.1628000000000001</v>
      </c>
      <c r="U472">
        <v>2.1299999999999999E-2</v>
      </c>
      <c r="V472">
        <v>0</v>
      </c>
      <c r="W472">
        <f>E472/100</f>
        <v>0.47</v>
      </c>
      <c r="X472">
        <f>F472/1000000</f>
        <v>0.86</v>
      </c>
      <c r="Y472">
        <f>IF(D472="C",1,0)</f>
        <v>0</v>
      </c>
      <c r="Z472">
        <f>IF(G472="C",1,0)</f>
        <v>0</v>
      </c>
      <c r="AA472">
        <f>IF(G472="S",1,0)</f>
        <v>1</v>
      </c>
      <c r="AB472">
        <f>IF(G472="U",1,0)</f>
        <v>0</v>
      </c>
      <c r="AC472" s="5">
        <f>IF(AND(ISNUMBER(H472),NOT(ISNUMBER(P472))),1,0)</f>
        <v>0</v>
      </c>
      <c r="AD472" s="5">
        <f>IF(AND(ISNUMBER(H472),ISNUMBER(P472)),1,0)</f>
        <v>0</v>
      </c>
      <c r="AE472" s="5">
        <f>W472</f>
        <v>0.47</v>
      </c>
      <c r="AF472" s="5">
        <f>X472</f>
        <v>0.86</v>
      </c>
      <c r="AG472" s="5">
        <f>Y472</f>
        <v>0</v>
      </c>
      <c r="AH472" s="5">
        <f>IF(OR(G472="C",G472="S",G472="U"),1,0)</f>
        <v>1</v>
      </c>
      <c r="AI472" s="5">
        <f>IF(ISNUMBER(H472),1,0)</f>
        <v>0</v>
      </c>
      <c r="AJ472" s="5">
        <f>IF(ISNUMBER(P472),1,0)</f>
        <v>1</v>
      </c>
      <c r="AK472" s="5" t="str">
        <f>IF(AI472=1,IF(J472&gt;0,1,0),"")</f>
        <v/>
      </c>
      <c r="AL472" s="5">
        <f>IF(AJ472=1,IF(OR(Q472&gt;0,R472&gt;0),1,0),"")</f>
        <v>0</v>
      </c>
    </row>
    <row r="473" spans="1:38">
      <c r="A473">
        <v>467920</v>
      </c>
      <c r="B473" t="s">
        <v>598</v>
      </c>
      <c r="C473" t="s">
        <v>338</v>
      </c>
      <c r="D473" t="s">
        <v>24</v>
      </c>
      <c r="E473">
        <v>1</v>
      </c>
      <c r="F473">
        <v>18207</v>
      </c>
      <c r="H473" t="s">
        <v>26</v>
      </c>
      <c r="I473" t="s">
        <v>26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26</v>
      </c>
      <c r="P473">
        <v>1</v>
      </c>
      <c r="Q473">
        <v>0</v>
      </c>
      <c r="R473">
        <v>0</v>
      </c>
      <c r="S473">
        <v>1</v>
      </c>
      <c r="T473">
        <v>54.923900000000003</v>
      </c>
      <c r="U473">
        <v>1</v>
      </c>
      <c r="V473">
        <v>0</v>
      </c>
      <c r="W473">
        <f>E473/100</f>
        <v>0.01</v>
      </c>
      <c r="X473">
        <f>F473/1000000</f>
        <v>1.8207000000000001E-2</v>
      </c>
      <c r="Y473">
        <f>IF(D473="C",1,0)</f>
        <v>0</v>
      </c>
      <c r="Z473">
        <f>IF(G473="C",1,0)</f>
        <v>0</v>
      </c>
      <c r="AA473">
        <f>IF(G473="S",1,0)</f>
        <v>0</v>
      </c>
      <c r="AB473">
        <f>IF(G473="U",1,0)</f>
        <v>0</v>
      </c>
      <c r="AC473" s="5">
        <f>IF(AND(ISNUMBER(H473),NOT(ISNUMBER(P473))),1,0)</f>
        <v>0</v>
      </c>
      <c r="AD473" s="5">
        <f>IF(AND(ISNUMBER(H473),ISNUMBER(P473)),1,0)</f>
        <v>0</v>
      </c>
      <c r="AE473" s="5">
        <f>W473</f>
        <v>0.01</v>
      </c>
      <c r="AF473" s="5">
        <f>X473</f>
        <v>1.8207000000000001E-2</v>
      </c>
      <c r="AG473" s="5">
        <f>Y473</f>
        <v>0</v>
      </c>
      <c r="AH473" s="5">
        <f>IF(OR(G473="C",G473="S",G473="U"),1,0)</f>
        <v>0</v>
      </c>
      <c r="AI473" s="5">
        <f>IF(ISNUMBER(H473),1,0)</f>
        <v>0</v>
      </c>
      <c r="AJ473" s="5">
        <f>IF(ISNUMBER(P473),1,0)</f>
        <v>1</v>
      </c>
      <c r="AK473" s="5" t="str">
        <f>IF(AI473=1,IF(J473&gt;0,1,0),"")</f>
        <v/>
      </c>
      <c r="AL473" s="5">
        <f>IF(AJ473=1,IF(OR(Q473&gt;0,R473&gt;0),1,0),"")</f>
        <v>0</v>
      </c>
    </row>
    <row r="474" spans="1:38">
      <c r="A474">
        <v>469666</v>
      </c>
      <c r="B474" t="s">
        <v>599</v>
      </c>
      <c r="C474" t="s">
        <v>23</v>
      </c>
      <c r="D474" t="s">
        <v>24</v>
      </c>
      <c r="E474">
        <v>7</v>
      </c>
      <c r="F474">
        <v>489954</v>
      </c>
      <c r="G474" t="s">
        <v>25</v>
      </c>
      <c r="H474" t="s">
        <v>26</v>
      </c>
      <c r="I474" t="s">
        <v>26</v>
      </c>
      <c r="J474" t="s">
        <v>26</v>
      </c>
      <c r="K474" t="s">
        <v>26</v>
      </c>
      <c r="L474" t="s">
        <v>26</v>
      </c>
      <c r="M474" t="s">
        <v>26</v>
      </c>
      <c r="N474" t="s">
        <v>26</v>
      </c>
      <c r="O474" t="s">
        <v>26</v>
      </c>
      <c r="P474">
        <v>1</v>
      </c>
      <c r="Q474">
        <v>0</v>
      </c>
      <c r="R474">
        <v>1</v>
      </c>
      <c r="S474">
        <v>1</v>
      </c>
      <c r="T474">
        <v>2.0409999999999999</v>
      </c>
      <c r="U474">
        <v>0.1429</v>
      </c>
      <c r="V474">
        <v>1</v>
      </c>
      <c r="W474">
        <f>E474/100</f>
        <v>7.0000000000000007E-2</v>
      </c>
      <c r="X474">
        <f>F474/1000000</f>
        <v>0.489954</v>
      </c>
      <c r="Y474">
        <f>IF(D474="C",1,0)</f>
        <v>0</v>
      </c>
      <c r="Z474">
        <f>IF(G474="C",1,0)</f>
        <v>0</v>
      </c>
      <c r="AA474">
        <f>IF(G474="S",1,0)</f>
        <v>1</v>
      </c>
      <c r="AB474">
        <f>IF(G474="U",1,0)</f>
        <v>0</v>
      </c>
      <c r="AC474" s="5">
        <f>IF(AND(ISNUMBER(H474),NOT(ISNUMBER(P474))),1,0)</f>
        <v>0</v>
      </c>
      <c r="AD474" s="5">
        <f>IF(AND(ISNUMBER(H474),ISNUMBER(P474)),1,0)</f>
        <v>0</v>
      </c>
      <c r="AE474" s="5">
        <f>W474</f>
        <v>7.0000000000000007E-2</v>
      </c>
      <c r="AF474" s="5">
        <f>X474</f>
        <v>0.489954</v>
      </c>
      <c r="AG474" s="5">
        <f>Y474</f>
        <v>0</v>
      </c>
      <c r="AH474" s="5">
        <f>IF(OR(G474="C",G474="S",G474="U"),1,0)</f>
        <v>1</v>
      </c>
      <c r="AI474" s="5">
        <f>IF(ISNUMBER(H474),1,0)</f>
        <v>0</v>
      </c>
      <c r="AJ474" s="5">
        <f>IF(ISNUMBER(P474),1,0)</f>
        <v>1</v>
      </c>
      <c r="AK474" s="5" t="str">
        <f>IF(AI474=1,IF(J474&gt;0,1,0),"")</f>
        <v/>
      </c>
      <c r="AL474" s="5">
        <f>IF(AJ474=1,IF(OR(Q474&gt;0,R474&gt;0),1,0),"")</f>
        <v>1</v>
      </c>
    </row>
    <row r="475" spans="1:38">
      <c r="A475">
        <v>471554</v>
      </c>
      <c r="B475" t="s">
        <v>600</v>
      </c>
      <c r="C475" t="s">
        <v>23</v>
      </c>
      <c r="D475" t="s">
        <v>24</v>
      </c>
      <c r="E475">
        <v>4</v>
      </c>
      <c r="F475">
        <v>57967</v>
      </c>
      <c r="G475" t="s">
        <v>25</v>
      </c>
      <c r="H475" t="s">
        <v>26</v>
      </c>
      <c r="I475" t="s">
        <v>26</v>
      </c>
      <c r="J475" t="s">
        <v>26</v>
      </c>
      <c r="K475" t="s">
        <v>26</v>
      </c>
      <c r="L475" t="s">
        <v>26</v>
      </c>
      <c r="M475" t="s">
        <v>26</v>
      </c>
      <c r="N475" t="s">
        <v>26</v>
      </c>
      <c r="O475" t="s">
        <v>26</v>
      </c>
      <c r="P475">
        <v>1</v>
      </c>
      <c r="Q475">
        <v>0</v>
      </c>
      <c r="R475">
        <v>1</v>
      </c>
      <c r="S475">
        <v>1</v>
      </c>
      <c r="T475">
        <v>17.251200000000001</v>
      </c>
      <c r="U475">
        <v>0.25</v>
      </c>
      <c r="V475">
        <v>1</v>
      </c>
      <c r="W475">
        <f>E475/100</f>
        <v>0.04</v>
      </c>
      <c r="X475">
        <f>F475/1000000</f>
        <v>5.7966999999999998E-2</v>
      </c>
      <c r="Y475">
        <f>IF(D475="C",1,0)</f>
        <v>0</v>
      </c>
      <c r="Z475">
        <f>IF(G475="C",1,0)</f>
        <v>0</v>
      </c>
      <c r="AA475">
        <f>IF(G475="S",1,0)</f>
        <v>1</v>
      </c>
      <c r="AB475">
        <f>IF(G475="U",1,0)</f>
        <v>0</v>
      </c>
      <c r="AC475" s="5">
        <f>IF(AND(ISNUMBER(H475),NOT(ISNUMBER(P475))),1,0)</f>
        <v>0</v>
      </c>
      <c r="AD475" s="5">
        <f>IF(AND(ISNUMBER(H475),ISNUMBER(P475)),1,0)</f>
        <v>0</v>
      </c>
      <c r="AE475" s="5">
        <f>W475</f>
        <v>0.04</v>
      </c>
      <c r="AF475" s="5">
        <f>X475</f>
        <v>5.7966999999999998E-2</v>
      </c>
      <c r="AG475" s="5">
        <f>Y475</f>
        <v>0</v>
      </c>
      <c r="AH475" s="5">
        <f>IF(OR(G475="C",G475="S",G475="U"),1,0)</f>
        <v>1</v>
      </c>
      <c r="AI475" s="5">
        <f>IF(ISNUMBER(H475),1,0)</f>
        <v>0</v>
      </c>
      <c r="AJ475" s="5">
        <f>IF(ISNUMBER(P475),1,0)</f>
        <v>1</v>
      </c>
      <c r="AK475" s="5" t="str">
        <f>IF(AI475=1,IF(J475&gt;0,1,0),"")</f>
        <v/>
      </c>
      <c r="AL475" s="5">
        <f>IF(AJ475=1,IF(OR(Q475&gt;0,R475&gt;0),1,0),"")</f>
        <v>1</v>
      </c>
    </row>
    <row r="476" spans="1:38">
      <c r="A476">
        <v>472334</v>
      </c>
      <c r="B476" t="s">
        <v>601</v>
      </c>
      <c r="C476" t="s">
        <v>37</v>
      </c>
      <c r="D476" t="s">
        <v>24</v>
      </c>
      <c r="E476">
        <v>16</v>
      </c>
      <c r="F476">
        <v>1136224</v>
      </c>
      <c r="G476" t="s">
        <v>25</v>
      </c>
      <c r="H476" t="s">
        <v>26</v>
      </c>
      <c r="I476" t="s">
        <v>26</v>
      </c>
      <c r="J476" t="s">
        <v>26</v>
      </c>
      <c r="K476" t="s">
        <v>26</v>
      </c>
      <c r="L476" t="s">
        <v>26</v>
      </c>
      <c r="M476" t="s">
        <v>26</v>
      </c>
      <c r="N476" t="s">
        <v>26</v>
      </c>
      <c r="O476" t="s">
        <v>26</v>
      </c>
      <c r="P476">
        <v>1</v>
      </c>
      <c r="Q476">
        <v>0</v>
      </c>
      <c r="R476">
        <v>0</v>
      </c>
      <c r="S476">
        <v>1</v>
      </c>
      <c r="T476">
        <v>0.88009999999999999</v>
      </c>
      <c r="U476">
        <v>6.25E-2</v>
      </c>
      <c r="V476">
        <v>0</v>
      </c>
      <c r="W476">
        <f>E476/100</f>
        <v>0.16</v>
      </c>
      <c r="X476">
        <f>F476/1000000</f>
        <v>1.1362239999999999</v>
      </c>
      <c r="Y476">
        <f>IF(D476="C",1,0)</f>
        <v>0</v>
      </c>
      <c r="Z476">
        <f>IF(G476="C",1,0)</f>
        <v>0</v>
      </c>
      <c r="AA476">
        <f>IF(G476="S",1,0)</f>
        <v>1</v>
      </c>
      <c r="AB476">
        <f>IF(G476="U",1,0)</f>
        <v>0</v>
      </c>
      <c r="AC476" s="5">
        <f>IF(AND(ISNUMBER(H476),NOT(ISNUMBER(P476))),1,0)</f>
        <v>0</v>
      </c>
      <c r="AD476" s="5">
        <f>IF(AND(ISNUMBER(H476),ISNUMBER(P476)),1,0)</f>
        <v>0</v>
      </c>
      <c r="AE476" s="5">
        <f>W476</f>
        <v>0.16</v>
      </c>
      <c r="AF476" s="5">
        <f>X476</f>
        <v>1.1362239999999999</v>
      </c>
      <c r="AG476" s="5">
        <f>Y476</f>
        <v>0</v>
      </c>
      <c r="AH476" s="5">
        <f>IF(OR(G476="C",G476="S",G476="U"),1,0)</f>
        <v>1</v>
      </c>
      <c r="AI476" s="5">
        <f>IF(ISNUMBER(H476),1,0)</f>
        <v>0</v>
      </c>
      <c r="AJ476" s="5">
        <f>IF(ISNUMBER(P476),1,0)</f>
        <v>1</v>
      </c>
      <c r="AK476" s="5" t="str">
        <f>IF(AI476=1,IF(J476&gt;0,1,0),"")</f>
        <v/>
      </c>
      <c r="AL476" s="5">
        <f>IF(AJ476=1,IF(OR(Q476&gt;0,R476&gt;0),1,0),"")</f>
        <v>0</v>
      </c>
    </row>
    <row r="477" spans="1:38">
      <c r="A477">
        <v>472560</v>
      </c>
      <c r="B477" t="s">
        <v>602</v>
      </c>
      <c r="C477" t="s">
        <v>82</v>
      </c>
      <c r="D477" t="s">
        <v>24</v>
      </c>
      <c r="E477">
        <v>56</v>
      </c>
      <c r="F477">
        <v>1540821</v>
      </c>
      <c r="G477" t="s">
        <v>25</v>
      </c>
      <c r="H477" t="s">
        <v>26</v>
      </c>
      <c r="I477" t="s">
        <v>26</v>
      </c>
      <c r="J477" t="s">
        <v>26</v>
      </c>
      <c r="K477" t="s">
        <v>26</v>
      </c>
      <c r="L477" t="s">
        <v>26</v>
      </c>
      <c r="M477" t="s">
        <v>26</v>
      </c>
      <c r="N477" t="s">
        <v>26</v>
      </c>
      <c r="O477" t="s">
        <v>26</v>
      </c>
      <c r="P477">
        <v>1</v>
      </c>
      <c r="Q477">
        <v>0</v>
      </c>
      <c r="R477">
        <v>1</v>
      </c>
      <c r="S477">
        <v>1</v>
      </c>
      <c r="T477">
        <v>0.64900000000000002</v>
      </c>
      <c r="U477">
        <v>1.7899999999999999E-2</v>
      </c>
      <c r="V477">
        <v>1</v>
      </c>
      <c r="W477">
        <f>E477/100</f>
        <v>0.56000000000000005</v>
      </c>
      <c r="X477">
        <f>F477/1000000</f>
        <v>1.540821</v>
      </c>
      <c r="Y477">
        <f>IF(D477="C",1,0)</f>
        <v>0</v>
      </c>
      <c r="Z477">
        <f>IF(G477="C",1,0)</f>
        <v>0</v>
      </c>
      <c r="AA477">
        <f>IF(G477="S",1,0)</f>
        <v>1</v>
      </c>
      <c r="AB477">
        <f>IF(G477="U",1,0)</f>
        <v>0</v>
      </c>
      <c r="AC477" s="5">
        <f>IF(AND(ISNUMBER(H477),NOT(ISNUMBER(P477))),1,0)</f>
        <v>0</v>
      </c>
      <c r="AD477" s="5">
        <f>IF(AND(ISNUMBER(H477),ISNUMBER(P477)),1,0)</f>
        <v>0</v>
      </c>
      <c r="AE477" s="5">
        <f>W477</f>
        <v>0.56000000000000005</v>
      </c>
      <c r="AF477" s="5">
        <f>X477</f>
        <v>1.540821</v>
      </c>
      <c r="AG477" s="5">
        <f>Y477</f>
        <v>0</v>
      </c>
      <c r="AH477" s="5">
        <f>IF(OR(G477="C",G477="S",G477="U"),1,0)</f>
        <v>1</v>
      </c>
      <c r="AI477" s="5">
        <f>IF(ISNUMBER(H477),1,0)</f>
        <v>0</v>
      </c>
      <c r="AJ477" s="5">
        <f>IF(ISNUMBER(P477),1,0)</f>
        <v>1</v>
      </c>
      <c r="AK477" s="5" t="str">
        <f>IF(AI477=1,IF(J477&gt;0,1,0),"")</f>
        <v/>
      </c>
      <c r="AL477" s="5">
        <f>IF(AJ477=1,IF(OR(Q477&gt;0,R477&gt;0),1,0),"")</f>
        <v>1</v>
      </c>
    </row>
    <row r="478" spans="1:38">
      <c r="A478">
        <v>473992</v>
      </c>
      <c r="B478" t="s">
        <v>605</v>
      </c>
      <c r="C478" t="s">
        <v>82</v>
      </c>
      <c r="D478" t="s">
        <v>24</v>
      </c>
      <c r="E478">
        <v>45</v>
      </c>
      <c r="F478">
        <v>787136</v>
      </c>
      <c r="H478" t="s">
        <v>26</v>
      </c>
      <c r="I478" t="s">
        <v>26</v>
      </c>
      <c r="J478" t="s">
        <v>26</v>
      </c>
      <c r="K478" t="s">
        <v>26</v>
      </c>
      <c r="L478" t="s">
        <v>26</v>
      </c>
      <c r="M478" t="s">
        <v>26</v>
      </c>
      <c r="N478" t="s">
        <v>26</v>
      </c>
      <c r="O478" t="s">
        <v>26</v>
      </c>
      <c r="P478">
        <v>1</v>
      </c>
      <c r="Q478">
        <v>0</v>
      </c>
      <c r="R478">
        <v>1</v>
      </c>
      <c r="S478">
        <v>1</v>
      </c>
      <c r="T478">
        <v>1.2704</v>
      </c>
      <c r="U478">
        <v>2.2200000000000001E-2</v>
      </c>
      <c r="V478">
        <v>1</v>
      </c>
      <c r="W478">
        <f>E478/100</f>
        <v>0.45</v>
      </c>
      <c r="X478">
        <f>F478/1000000</f>
        <v>0.78713599999999995</v>
      </c>
      <c r="Y478">
        <f>IF(D478="C",1,0)</f>
        <v>0</v>
      </c>
      <c r="Z478">
        <f>IF(G478="C",1,0)</f>
        <v>0</v>
      </c>
      <c r="AA478">
        <f>IF(G478="S",1,0)</f>
        <v>0</v>
      </c>
      <c r="AB478">
        <f>IF(G478="U",1,0)</f>
        <v>0</v>
      </c>
      <c r="AC478" s="5">
        <f>IF(AND(ISNUMBER(H478),NOT(ISNUMBER(P478))),1,0)</f>
        <v>0</v>
      </c>
      <c r="AD478" s="5">
        <f>IF(AND(ISNUMBER(H478),ISNUMBER(P478)),1,0)</f>
        <v>0</v>
      </c>
      <c r="AE478" s="5">
        <f>W478</f>
        <v>0.45</v>
      </c>
      <c r="AF478" s="5">
        <f>X478</f>
        <v>0.78713599999999995</v>
      </c>
      <c r="AG478" s="5">
        <f>Y478</f>
        <v>0</v>
      </c>
      <c r="AH478" s="5">
        <f>IF(OR(G478="C",G478="S",G478="U"),1,0)</f>
        <v>0</v>
      </c>
      <c r="AI478" s="5">
        <f>IF(ISNUMBER(H478),1,0)</f>
        <v>0</v>
      </c>
      <c r="AJ478" s="5">
        <f>IF(ISNUMBER(P478),1,0)</f>
        <v>1</v>
      </c>
      <c r="AK478" s="5" t="str">
        <f>IF(AI478=1,IF(J478&gt;0,1,0),"")</f>
        <v/>
      </c>
      <c r="AL478" s="5">
        <f>IF(AJ478=1,IF(OR(Q478&gt;0,R478&gt;0),1,0),"")</f>
        <v>1</v>
      </c>
    </row>
    <row r="479" spans="1:38">
      <c r="A479">
        <v>474138</v>
      </c>
      <c r="B479" t="s">
        <v>606</v>
      </c>
      <c r="C479" t="s">
        <v>23</v>
      </c>
      <c r="D479" t="s">
        <v>24</v>
      </c>
      <c r="E479">
        <v>2</v>
      </c>
      <c r="F479">
        <v>3000</v>
      </c>
      <c r="H479" t="s">
        <v>26</v>
      </c>
      <c r="I479" t="s">
        <v>26</v>
      </c>
      <c r="J479" t="s">
        <v>26</v>
      </c>
      <c r="K479" t="s">
        <v>26</v>
      </c>
      <c r="L479" t="s">
        <v>26</v>
      </c>
      <c r="M479" t="s">
        <v>26</v>
      </c>
      <c r="N479" t="s">
        <v>26</v>
      </c>
      <c r="O479" t="s">
        <v>26</v>
      </c>
      <c r="P479">
        <v>1</v>
      </c>
      <c r="Q479">
        <v>0</v>
      </c>
      <c r="R479">
        <v>1</v>
      </c>
      <c r="S479">
        <v>1</v>
      </c>
      <c r="T479">
        <v>333.33330000000001</v>
      </c>
      <c r="U479">
        <v>0.5</v>
      </c>
      <c r="V479">
        <v>1</v>
      </c>
      <c r="W479">
        <f>E479/100</f>
        <v>0.02</v>
      </c>
      <c r="X479">
        <f>F479/1000000</f>
        <v>3.0000000000000001E-3</v>
      </c>
      <c r="Y479">
        <f>IF(D479="C",1,0)</f>
        <v>0</v>
      </c>
      <c r="Z479">
        <f>IF(G479="C",1,0)</f>
        <v>0</v>
      </c>
      <c r="AA479">
        <f>IF(G479="S",1,0)</f>
        <v>0</v>
      </c>
      <c r="AB479">
        <f>IF(G479="U",1,0)</f>
        <v>0</v>
      </c>
      <c r="AC479" s="5">
        <f>IF(AND(ISNUMBER(H479),NOT(ISNUMBER(P479))),1,0)</f>
        <v>0</v>
      </c>
      <c r="AD479" s="5">
        <f>IF(AND(ISNUMBER(H479),ISNUMBER(P479)),1,0)</f>
        <v>0</v>
      </c>
      <c r="AE479" s="5">
        <f>W479</f>
        <v>0.02</v>
      </c>
      <c r="AF479" s="5">
        <f>X479</f>
        <v>3.0000000000000001E-3</v>
      </c>
      <c r="AG479" s="5">
        <f>Y479</f>
        <v>0</v>
      </c>
      <c r="AH479" s="5">
        <f>IF(OR(G479="C",G479="S",G479="U"),1,0)</f>
        <v>0</v>
      </c>
      <c r="AI479" s="5">
        <f>IF(ISNUMBER(H479),1,0)</f>
        <v>0</v>
      </c>
      <c r="AJ479" s="5">
        <f>IF(ISNUMBER(P479),1,0)</f>
        <v>1</v>
      </c>
      <c r="AK479" s="5" t="str">
        <f>IF(AI479=1,IF(J479&gt;0,1,0),"")</f>
        <v/>
      </c>
      <c r="AL479" s="5">
        <f>IF(AJ479=1,IF(OR(Q479&gt;0,R479&gt;0),1,0),"")</f>
        <v>1</v>
      </c>
    </row>
    <row r="480" spans="1:38">
      <c r="A480">
        <v>474158</v>
      </c>
      <c r="B480" t="s">
        <v>607</v>
      </c>
      <c r="C480" t="s">
        <v>23</v>
      </c>
      <c r="D480" t="s">
        <v>24</v>
      </c>
      <c r="E480">
        <v>1</v>
      </c>
      <c r="F480">
        <v>2640153</v>
      </c>
      <c r="G480" t="s">
        <v>25</v>
      </c>
      <c r="H480" t="s">
        <v>26</v>
      </c>
      <c r="I480" t="s">
        <v>26</v>
      </c>
      <c r="J480" t="s">
        <v>26</v>
      </c>
      <c r="K480" t="s">
        <v>26</v>
      </c>
      <c r="L480" t="s">
        <v>26</v>
      </c>
      <c r="M480" t="s">
        <v>26</v>
      </c>
      <c r="N480" t="s">
        <v>26</v>
      </c>
      <c r="O480" t="s">
        <v>26</v>
      </c>
      <c r="P480">
        <v>1</v>
      </c>
      <c r="Q480">
        <v>0</v>
      </c>
      <c r="R480">
        <v>1</v>
      </c>
      <c r="S480">
        <v>1</v>
      </c>
      <c r="T480">
        <v>0.37880000000000003</v>
      </c>
      <c r="U480">
        <v>1</v>
      </c>
      <c r="V480">
        <v>1</v>
      </c>
      <c r="W480">
        <f>E480/100</f>
        <v>0.01</v>
      </c>
      <c r="X480">
        <f>F480/1000000</f>
        <v>2.6401530000000002</v>
      </c>
      <c r="Y480">
        <f>IF(D480="C",1,0)</f>
        <v>0</v>
      </c>
      <c r="Z480">
        <f>IF(G480="C",1,0)</f>
        <v>0</v>
      </c>
      <c r="AA480">
        <f>IF(G480="S",1,0)</f>
        <v>1</v>
      </c>
      <c r="AB480">
        <f>IF(G480="U",1,0)</f>
        <v>0</v>
      </c>
      <c r="AC480" s="5">
        <f>IF(AND(ISNUMBER(H480),NOT(ISNUMBER(P480))),1,0)</f>
        <v>0</v>
      </c>
      <c r="AD480" s="5">
        <f>IF(AND(ISNUMBER(H480),ISNUMBER(P480)),1,0)</f>
        <v>0</v>
      </c>
      <c r="AE480" s="5">
        <f>W480</f>
        <v>0.01</v>
      </c>
      <c r="AF480" s="5">
        <f>X480</f>
        <v>2.6401530000000002</v>
      </c>
      <c r="AG480" s="5">
        <f>Y480</f>
        <v>0</v>
      </c>
      <c r="AH480" s="5">
        <f>IF(OR(G480="C",G480="S",G480="U"),1,0)</f>
        <v>1</v>
      </c>
      <c r="AI480" s="5">
        <f>IF(ISNUMBER(H480),1,0)</f>
        <v>0</v>
      </c>
      <c r="AJ480" s="5">
        <f>IF(ISNUMBER(P480),1,0)</f>
        <v>1</v>
      </c>
      <c r="AK480" s="5" t="str">
        <f>IF(AI480=1,IF(J480&gt;0,1,0),"")</f>
        <v/>
      </c>
      <c r="AL480" s="5">
        <f>IF(AJ480=1,IF(OR(Q480&gt;0,R480&gt;0),1,0),"")</f>
        <v>1</v>
      </c>
    </row>
    <row r="481" spans="1:38">
      <c r="A481">
        <v>475223</v>
      </c>
      <c r="B481" t="s">
        <v>608</v>
      </c>
      <c r="C481" t="s">
        <v>23</v>
      </c>
      <c r="D481" t="s">
        <v>24</v>
      </c>
      <c r="E481">
        <v>10</v>
      </c>
      <c r="F481">
        <v>447277</v>
      </c>
      <c r="G481" t="s">
        <v>25</v>
      </c>
      <c r="H481" t="s">
        <v>26</v>
      </c>
      <c r="I481" t="s">
        <v>26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>
        <v>1</v>
      </c>
      <c r="Q481">
        <v>0</v>
      </c>
      <c r="R481">
        <v>0</v>
      </c>
      <c r="S481">
        <v>1</v>
      </c>
      <c r="T481">
        <v>2.2357999999999998</v>
      </c>
      <c r="U481">
        <v>0.1</v>
      </c>
      <c r="V481">
        <v>0</v>
      </c>
      <c r="W481">
        <f>E481/100</f>
        <v>0.1</v>
      </c>
      <c r="X481">
        <f>F481/1000000</f>
        <v>0.44727699999999998</v>
      </c>
      <c r="Y481">
        <f>IF(D481="C",1,0)</f>
        <v>0</v>
      </c>
      <c r="Z481">
        <f>IF(G481="C",1,0)</f>
        <v>0</v>
      </c>
      <c r="AA481">
        <f>IF(G481="S",1,0)</f>
        <v>1</v>
      </c>
      <c r="AB481">
        <f>IF(G481="U",1,0)</f>
        <v>0</v>
      </c>
      <c r="AC481" s="5">
        <f>IF(AND(ISNUMBER(H481),NOT(ISNUMBER(P481))),1,0)</f>
        <v>0</v>
      </c>
      <c r="AD481" s="5">
        <f>IF(AND(ISNUMBER(H481),ISNUMBER(P481)),1,0)</f>
        <v>0</v>
      </c>
      <c r="AE481" s="5">
        <f>W481</f>
        <v>0.1</v>
      </c>
      <c r="AF481" s="5">
        <f>X481</f>
        <v>0.44727699999999998</v>
      </c>
      <c r="AG481" s="5">
        <f>Y481</f>
        <v>0</v>
      </c>
      <c r="AH481" s="5">
        <f>IF(OR(G481="C",G481="S",G481="U"),1,0)</f>
        <v>1</v>
      </c>
      <c r="AI481" s="5">
        <f>IF(ISNUMBER(H481),1,0)</f>
        <v>0</v>
      </c>
      <c r="AJ481" s="5">
        <f>IF(ISNUMBER(P481),1,0)</f>
        <v>1</v>
      </c>
      <c r="AK481" s="5" t="str">
        <f>IF(AI481=1,IF(J481&gt;0,1,0),"")</f>
        <v/>
      </c>
      <c r="AL481" s="5">
        <f>IF(AJ481=1,IF(OR(Q481&gt;0,R481&gt;0),1,0),"")</f>
        <v>0</v>
      </c>
    </row>
    <row r="482" spans="1:38">
      <c r="A482">
        <v>476998</v>
      </c>
      <c r="B482" t="s">
        <v>609</v>
      </c>
      <c r="C482" t="s">
        <v>84</v>
      </c>
      <c r="D482" t="s">
        <v>24</v>
      </c>
      <c r="E482">
        <v>33</v>
      </c>
      <c r="F482">
        <v>1100000</v>
      </c>
      <c r="G482" t="s">
        <v>25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>
        <v>1</v>
      </c>
      <c r="Q482">
        <v>0</v>
      </c>
      <c r="R482">
        <v>1</v>
      </c>
      <c r="S482">
        <v>1</v>
      </c>
      <c r="T482">
        <v>0.90910000000000002</v>
      </c>
      <c r="U482">
        <v>3.0300000000000001E-2</v>
      </c>
      <c r="V482">
        <v>1</v>
      </c>
      <c r="W482">
        <f>E482/100</f>
        <v>0.33</v>
      </c>
      <c r="X482">
        <f>F482/1000000</f>
        <v>1.1000000000000001</v>
      </c>
      <c r="Y482">
        <f>IF(D482="C",1,0)</f>
        <v>0</v>
      </c>
      <c r="Z482">
        <f>IF(G482="C",1,0)</f>
        <v>0</v>
      </c>
      <c r="AA482">
        <f>IF(G482="S",1,0)</f>
        <v>1</v>
      </c>
      <c r="AB482">
        <f>IF(G482="U",1,0)</f>
        <v>0</v>
      </c>
      <c r="AC482" s="5">
        <f>IF(AND(ISNUMBER(H482),NOT(ISNUMBER(P482))),1,0)</f>
        <v>0</v>
      </c>
      <c r="AD482" s="5">
        <f>IF(AND(ISNUMBER(H482),ISNUMBER(P482)),1,0)</f>
        <v>0</v>
      </c>
      <c r="AE482" s="5">
        <f>W482</f>
        <v>0.33</v>
      </c>
      <c r="AF482" s="5">
        <f>X482</f>
        <v>1.1000000000000001</v>
      </c>
      <c r="AG482" s="5">
        <f>Y482</f>
        <v>0</v>
      </c>
      <c r="AH482" s="5">
        <f>IF(OR(G482="C",G482="S",G482="U"),1,0)</f>
        <v>1</v>
      </c>
      <c r="AI482" s="5">
        <f>IF(ISNUMBER(H482),1,0)</f>
        <v>0</v>
      </c>
      <c r="AJ482" s="5">
        <f>IF(ISNUMBER(P482),1,0)</f>
        <v>1</v>
      </c>
      <c r="AK482" s="5" t="str">
        <f>IF(AI482=1,IF(J482&gt;0,1,0),"")</f>
        <v/>
      </c>
      <c r="AL482" s="5">
        <f>IF(AJ482=1,IF(OR(Q482&gt;0,R482&gt;0),1,0),"")</f>
        <v>1</v>
      </c>
    </row>
    <row r="483" spans="1:38">
      <c r="A483">
        <v>478032</v>
      </c>
      <c r="B483" t="s">
        <v>610</v>
      </c>
      <c r="C483" t="s">
        <v>23</v>
      </c>
      <c r="D483" t="s">
        <v>24</v>
      </c>
      <c r="E483">
        <v>32</v>
      </c>
      <c r="F483">
        <v>2107524</v>
      </c>
      <c r="G483" t="s">
        <v>25</v>
      </c>
      <c r="H483" t="s">
        <v>26</v>
      </c>
      <c r="I483" t="s">
        <v>26</v>
      </c>
      <c r="J483" t="s">
        <v>26</v>
      </c>
      <c r="K483" t="s">
        <v>26</v>
      </c>
      <c r="L483" t="s">
        <v>26</v>
      </c>
      <c r="M483" t="s">
        <v>26</v>
      </c>
      <c r="N483" t="s">
        <v>26</v>
      </c>
      <c r="O483" t="s">
        <v>26</v>
      </c>
      <c r="P483">
        <v>1</v>
      </c>
      <c r="Q483">
        <v>0</v>
      </c>
      <c r="R483">
        <v>0</v>
      </c>
      <c r="S483">
        <v>1</v>
      </c>
      <c r="T483">
        <v>0.47449999999999998</v>
      </c>
      <c r="U483">
        <v>3.1300000000000001E-2</v>
      </c>
      <c r="V483">
        <v>0</v>
      </c>
      <c r="W483">
        <f>E483/100</f>
        <v>0.32</v>
      </c>
      <c r="X483">
        <f>F483/1000000</f>
        <v>2.1075240000000002</v>
      </c>
      <c r="Y483">
        <f>IF(D483="C",1,0)</f>
        <v>0</v>
      </c>
      <c r="Z483">
        <f>IF(G483="C",1,0)</f>
        <v>0</v>
      </c>
      <c r="AA483">
        <f>IF(G483="S",1,0)</f>
        <v>1</v>
      </c>
      <c r="AB483">
        <f>IF(G483="U",1,0)</f>
        <v>0</v>
      </c>
      <c r="AC483" s="5">
        <f>IF(AND(ISNUMBER(H483),NOT(ISNUMBER(P483))),1,0)</f>
        <v>0</v>
      </c>
      <c r="AD483" s="5">
        <f>IF(AND(ISNUMBER(H483),ISNUMBER(P483)),1,0)</f>
        <v>0</v>
      </c>
      <c r="AE483" s="5">
        <f>W483</f>
        <v>0.32</v>
      </c>
      <c r="AF483" s="5">
        <f>X483</f>
        <v>2.1075240000000002</v>
      </c>
      <c r="AG483" s="5">
        <f>Y483</f>
        <v>0</v>
      </c>
      <c r="AH483" s="5">
        <f>IF(OR(G483="C",G483="S",G483="U"),1,0)</f>
        <v>1</v>
      </c>
      <c r="AI483" s="5">
        <f>IF(ISNUMBER(H483),1,0)</f>
        <v>0</v>
      </c>
      <c r="AJ483" s="5">
        <f>IF(ISNUMBER(P483),1,0)</f>
        <v>1</v>
      </c>
      <c r="AK483" s="5" t="str">
        <f>IF(AI483=1,IF(J483&gt;0,1,0),"")</f>
        <v/>
      </c>
      <c r="AL483" s="5">
        <f>IF(AJ483=1,IF(OR(Q483&gt;0,R483&gt;0),1,0),"")</f>
        <v>0</v>
      </c>
    </row>
    <row r="484" spans="1:38">
      <c r="A484">
        <v>479455</v>
      </c>
      <c r="B484" t="s">
        <v>611</v>
      </c>
      <c r="C484" t="s">
        <v>105</v>
      </c>
      <c r="D484" t="s">
        <v>24</v>
      </c>
      <c r="E484">
        <v>10</v>
      </c>
      <c r="F484">
        <v>498325</v>
      </c>
      <c r="G484" t="s">
        <v>33</v>
      </c>
      <c r="H484" t="s">
        <v>26</v>
      </c>
      <c r="I484" t="s">
        <v>26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26</v>
      </c>
      <c r="P484">
        <v>1</v>
      </c>
      <c r="Q484">
        <v>0</v>
      </c>
      <c r="R484">
        <v>0</v>
      </c>
      <c r="S484">
        <v>1</v>
      </c>
      <c r="T484">
        <v>2.0066999999999999</v>
      </c>
      <c r="U484">
        <v>0.1</v>
      </c>
      <c r="V484">
        <v>0</v>
      </c>
      <c r="W484">
        <f>E484/100</f>
        <v>0.1</v>
      </c>
      <c r="X484">
        <f>F484/1000000</f>
        <v>0.49832500000000002</v>
      </c>
      <c r="Y484">
        <f>IF(D484="C",1,0)</f>
        <v>0</v>
      </c>
      <c r="Z484">
        <f>IF(G484="C",1,0)</f>
        <v>1</v>
      </c>
      <c r="AA484">
        <f>IF(G484="S",1,0)</f>
        <v>0</v>
      </c>
      <c r="AB484">
        <f>IF(G484="U",1,0)</f>
        <v>0</v>
      </c>
      <c r="AC484" s="5">
        <f>IF(AND(ISNUMBER(H484),NOT(ISNUMBER(P484))),1,0)</f>
        <v>0</v>
      </c>
      <c r="AD484" s="5">
        <f>IF(AND(ISNUMBER(H484),ISNUMBER(P484)),1,0)</f>
        <v>0</v>
      </c>
      <c r="AE484" s="5">
        <f>W484</f>
        <v>0.1</v>
      </c>
      <c r="AF484" s="5">
        <f>X484</f>
        <v>0.49832500000000002</v>
      </c>
      <c r="AG484" s="5">
        <f>Y484</f>
        <v>0</v>
      </c>
      <c r="AH484" s="5">
        <f>IF(OR(G484="C",G484="S",G484="U"),1,0)</f>
        <v>1</v>
      </c>
      <c r="AI484" s="5">
        <f>IF(ISNUMBER(H484),1,0)</f>
        <v>0</v>
      </c>
      <c r="AJ484" s="5">
        <f>IF(ISNUMBER(P484),1,0)</f>
        <v>1</v>
      </c>
      <c r="AK484" s="5" t="str">
        <f>IF(AI484=1,IF(J484&gt;0,1,0),"")</f>
        <v/>
      </c>
      <c r="AL484" s="5">
        <f>IF(AJ484=1,IF(OR(Q484&gt;0,R484&gt;0),1,0),"")</f>
        <v>0</v>
      </c>
    </row>
    <row r="485" spans="1:38">
      <c r="A485">
        <v>479530</v>
      </c>
      <c r="B485" t="s">
        <v>612</v>
      </c>
      <c r="C485" t="s">
        <v>82</v>
      </c>
      <c r="D485" t="s">
        <v>24</v>
      </c>
      <c r="E485">
        <v>34</v>
      </c>
      <c r="F485">
        <v>790440</v>
      </c>
      <c r="G485" t="s">
        <v>25</v>
      </c>
      <c r="H485" t="s">
        <v>26</v>
      </c>
      <c r="I485" t="s">
        <v>26</v>
      </c>
      <c r="J485" t="s">
        <v>26</v>
      </c>
      <c r="K485" t="s">
        <v>26</v>
      </c>
      <c r="L485" t="s">
        <v>26</v>
      </c>
      <c r="M485" t="s">
        <v>26</v>
      </c>
      <c r="N485" t="s">
        <v>26</v>
      </c>
      <c r="O485" t="s">
        <v>26</v>
      </c>
      <c r="P485">
        <v>1</v>
      </c>
      <c r="Q485">
        <v>0</v>
      </c>
      <c r="R485">
        <v>0</v>
      </c>
      <c r="S485">
        <v>1</v>
      </c>
      <c r="T485">
        <v>1.2650999999999999</v>
      </c>
      <c r="U485">
        <v>2.9399999999999999E-2</v>
      </c>
      <c r="V485">
        <v>0</v>
      </c>
      <c r="W485">
        <f>E485/100</f>
        <v>0.34</v>
      </c>
      <c r="X485">
        <f>F485/1000000</f>
        <v>0.79044000000000003</v>
      </c>
      <c r="Y485">
        <f>IF(D485="C",1,0)</f>
        <v>0</v>
      </c>
      <c r="Z485">
        <f>IF(G485="C",1,0)</f>
        <v>0</v>
      </c>
      <c r="AA485">
        <f>IF(G485="S",1,0)</f>
        <v>1</v>
      </c>
      <c r="AB485">
        <f>IF(G485="U",1,0)</f>
        <v>0</v>
      </c>
      <c r="AC485" s="5">
        <f>IF(AND(ISNUMBER(H485),NOT(ISNUMBER(P485))),1,0)</f>
        <v>0</v>
      </c>
      <c r="AD485" s="5">
        <f>IF(AND(ISNUMBER(H485),ISNUMBER(P485)),1,0)</f>
        <v>0</v>
      </c>
      <c r="AE485" s="5">
        <f>W485</f>
        <v>0.34</v>
      </c>
      <c r="AF485" s="5">
        <f>X485</f>
        <v>0.79044000000000003</v>
      </c>
      <c r="AG485" s="5">
        <f>Y485</f>
        <v>0</v>
      </c>
      <c r="AH485" s="5">
        <f>IF(OR(G485="C",G485="S",G485="U"),1,0)</f>
        <v>1</v>
      </c>
      <c r="AI485" s="5">
        <f>IF(ISNUMBER(H485),1,0)</f>
        <v>0</v>
      </c>
      <c r="AJ485" s="5">
        <f>IF(ISNUMBER(P485),1,0)</f>
        <v>1</v>
      </c>
      <c r="AK485" s="5" t="str">
        <f>IF(AI485=1,IF(J485&gt;0,1,0),"")</f>
        <v/>
      </c>
      <c r="AL485" s="5">
        <f>IF(AJ485=1,IF(OR(Q485&gt;0,R485&gt;0),1,0),"")</f>
        <v>0</v>
      </c>
    </row>
    <row r="486" spans="1:38">
      <c r="A486">
        <v>480173</v>
      </c>
      <c r="B486" t="s">
        <v>613</v>
      </c>
      <c r="C486" t="s">
        <v>82</v>
      </c>
      <c r="D486" t="s">
        <v>24</v>
      </c>
      <c r="E486">
        <v>1</v>
      </c>
      <c r="F486">
        <v>3405000</v>
      </c>
      <c r="G486" t="s">
        <v>25</v>
      </c>
      <c r="H486" t="s">
        <v>26</v>
      </c>
      <c r="I486" t="s">
        <v>26</v>
      </c>
      <c r="J486" t="s">
        <v>26</v>
      </c>
      <c r="K486" t="s">
        <v>26</v>
      </c>
      <c r="L486" t="s">
        <v>26</v>
      </c>
      <c r="M486" t="s">
        <v>26</v>
      </c>
      <c r="N486" t="s">
        <v>26</v>
      </c>
      <c r="O486" t="s">
        <v>26</v>
      </c>
      <c r="P486">
        <v>2</v>
      </c>
      <c r="Q486">
        <v>0</v>
      </c>
      <c r="R486">
        <v>0</v>
      </c>
      <c r="S486">
        <v>2</v>
      </c>
      <c r="T486">
        <v>0.58740000000000003</v>
      </c>
      <c r="U486">
        <v>2</v>
      </c>
      <c r="V486">
        <v>0</v>
      </c>
      <c r="W486">
        <f>E486/100</f>
        <v>0.01</v>
      </c>
      <c r="X486">
        <f>F486/1000000</f>
        <v>3.4049999999999998</v>
      </c>
      <c r="Y486">
        <f>IF(D486="C",1,0)</f>
        <v>0</v>
      </c>
      <c r="Z486">
        <f>IF(G486="C",1,0)</f>
        <v>0</v>
      </c>
      <c r="AA486">
        <f>IF(G486="S",1,0)</f>
        <v>1</v>
      </c>
      <c r="AB486">
        <f>IF(G486="U",1,0)</f>
        <v>0</v>
      </c>
      <c r="AC486" s="5">
        <f>IF(AND(ISNUMBER(H486),NOT(ISNUMBER(P486))),1,0)</f>
        <v>0</v>
      </c>
      <c r="AD486" s="5">
        <f>IF(AND(ISNUMBER(H486),ISNUMBER(P486)),1,0)</f>
        <v>0</v>
      </c>
      <c r="AE486" s="5">
        <f>W486</f>
        <v>0.01</v>
      </c>
      <c r="AF486" s="5">
        <f>X486</f>
        <v>3.4049999999999998</v>
      </c>
      <c r="AG486" s="5">
        <f>Y486</f>
        <v>0</v>
      </c>
      <c r="AH486" s="5">
        <f>IF(OR(G486="C",G486="S",G486="U"),1,0)</f>
        <v>1</v>
      </c>
      <c r="AI486" s="5">
        <f>IF(ISNUMBER(H486),1,0)</f>
        <v>0</v>
      </c>
      <c r="AJ486" s="5">
        <f>IF(ISNUMBER(P486),1,0)</f>
        <v>1</v>
      </c>
      <c r="AK486" s="5" t="str">
        <f>IF(AI486=1,IF(J486&gt;0,1,0),"")</f>
        <v/>
      </c>
      <c r="AL486" s="5">
        <f>IF(AJ486=1,IF(OR(Q486&gt;0,R486&gt;0),1,0),"")</f>
        <v>0</v>
      </c>
    </row>
    <row r="487" spans="1:38">
      <c r="A487">
        <v>486437</v>
      </c>
      <c r="B487" t="s">
        <v>616</v>
      </c>
      <c r="C487" t="s">
        <v>82</v>
      </c>
      <c r="D487" t="s">
        <v>24</v>
      </c>
      <c r="E487">
        <v>2</v>
      </c>
      <c r="F487">
        <v>16287</v>
      </c>
      <c r="H487" t="s">
        <v>26</v>
      </c>
      <c r="I487" t="s">
        <v>26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26</v>
      </c>
      <c r="P487">
        <v>1</v>
      </c>
      <c r="Q487">
        <v>0</v>
      </c>
      <c r="R487">
        <v>0</v>
      </c>
      <c r="S487">
        <v>1</v>
      </c>
      <c r="T487">
        <v>61.398699999999998</v>
      </c>
      <c r="U487">
        <v>0.5</v>
      </c>
      <c r="V487">
        <v>0</v>
      </c>
      <c r="W487">
        <f>E487/100</f>
        <v>0.02</v>
      </c>
      <c r="X487">
        <f>F487/1000000</f>
        <v>1.6286999999999999E-2</v>
      </c>
      <c r="Y487">
        <f>IF(D487="C",1,0)</f>
        <v>0</v>
      </c>
      <c r="Z487">
        <f>IF(G487="C",1,0)</f>
        <v>0</v>
      </c>
      <c r="AA487">
        <f>IF(G487="S",1,0)</f>
        <v>0</v>
      </c>
      <c r="AB487">
        <f>IF(G487="U",1,0)</f>
        <v>0</v>
      </c>
      <c r="AC487" s="5">
        <f>IF(AND(ISNUMBER(H487),NOT(ISNUMBER(P487))),1,0)</f>
        <v>0</v>
      </c>
      <c r="AD487" s="5">
        <f>IF(AND(ISNUMBER(H487),ISNUMBER(P487)),1,0)</f>
        <v>0</v>
      </c>
      <c r="AE487" s="5">
        <f>W487</f>
        <v>0.02</v>
      </c>
      <c r="AF487" s="5">
        <f>X487</f>
        <v>1.6286999999999999E-2</v>
      </c>
      <c r="AG487" s="5">
        <f>Y487</f>
        <v>0</v>
      </c>
      <c r="AH487" s="5">
        <f>IF(OR(G487="C",G487="S",G487="U"),1,0)</f>
        <v>0</v>
      </c>
      <c r="AI487" s="5">
        <f>IF(ISNUMBER(H487),1,0)</f>
        <v>0</v>
      </c>
      <c r="AJ487" s="5">
        <f>IF(ISNUMBER(P487),1,0)</f>
        <v>1</v>
      </c>
      <c r="AK487" s="5" t="str">
        <f>IF(AI487=1,IF(J487&gt;0,1,0),"")</f>
        <v/>
      </c>
      <c r="AL487" s="5">
        <f>IF(AJ487=1,IF(OR(Q487&gt;0,R487&gt;0),1,0),"")</f>
        <v>0</v>
      </c>
    </row>
    <row r="488" spans="1:38">
      <c r="A488">
        <v>487240</v>
      </c>
      <c r="B488" t="s">
        <v>617</v>
      </c>
      <c r="C488" t="s">
        <v>368</v>
      </c>
      <c r="D488" t="s">
        <v>24</v>
      </c>
      <c r="E488">
        <v>2</v>
      </c>
      <c r="F488">
        <v>48597</v>
      </c>
      <c r="G488" t="s">
        <v>25</v>
      </c>
      <c r="H488" t="s">
        <v>26</v>
      </c>
      <c r="I488" t="s">
        <v>26</v>
      </c>
      <c r="J488" t="s">
        <v>26</v>
      </c>
      <c r="K488" t="s">
        <v>26</v>
      </c>
      <c r="L488" t="s">
        <v>26</v>
      </c>
      <c r="M488" t="s">
        <v>26</v>
      </c>
      <c r="N488" t="s">
        <v>26</v>
      </c>
      <c r="O488" t="s">
        <v>26</v>
      </c>
      <c r="P488">
        <v>2</v>
      </c>
      <c r="Q488">
        <v>0</v>
      </c>
      <c r="R488">
        <v>2</v>
      </c>
      <c r="S488">
        <v>2</v>
      </c>
      <c r="T488">
        <v>41.154800000000002</v>
      </c>
      <c r="U488">
        <v>1</v>
      </c>
      <c r="V488">
        <v>1</v>
      </c>
      <c r="W488">
        <f>E488/100</f>
        <v>0.02</v>
      </c>
      <c r="X488">
        <f>F488/1000000</f>
        <v>4.8597000000000001E-2</v>
      </c>
      <c r="Y488">
        <f>IF(D488="C",1,0)</f>
        <v>0</v>
      </c>
      <c r="Z488">
        <f>IF(G488="C",1,0)</f>
        <v>0</v>
      </c>
      <c r="AA488">
        <f>IF(G488="S",1,0)</f>
        <v>1</v>
      </c>
      <c r="AB488">
        <f>IF(G488="U",1,0)</f>
        <v>0</v>
      </c>
      <c r="AC488" s="5">
        <f>IF(AND(ISNUMBER(H488),NOT(ISNUMBER(P488))),1,0)</f>
        <v>0</v>
      </c>
      <c r="AD488" s="5">
        <f>IF(AND(ISNUMBER(H488),ISNUMBER(P488)),1,0)</f>
        <v>0</v>
      </c>
      <c r="AE488" s="5">
        <f>W488</f>
        <v>0.02</v>
      </c>
      <c r="AF488" s="5">
        <f>X488</f>
        <v>4.8597000000000001E-2</v>
      </c>
      <c r="AG488" s="5">
        <f>Y488</f>
        <v>0</v>
      </c>
      <c r="AH488" s="5">
        <f>IF(OR(G488="C",G488="S",G488="U"),1,0)</f>
        <v>1</v>
      </c>
      <c r="AI488" s="5">
        <f>IF(ISNUMBER(H488),1,0)</f>
        <v>0</v>
      </c>
      <c r="AJ488" s="5">
        <f>IF(ISNUMBER(P488),1,0)</f>
        <v>1</v>
      </c>
      <c r="AK488" s="5" t="str">
        <f>IF(AI488=1,IF(J488&gt;0,1,0),"")</f>
        <v/>
      </c>
      <c r="AL488" s="5">
        <f>IF(AJ488=1,IF(OR(Q488&gt;0,R488&gt;0),1,0),"")</f>
        <v>1</v>
      </c>
    </row>
    <row r="489" spans="1:38">
      <c r="A489">
        <v>488088</v>
      </c>
      <c r="B489" t="s">
        <v>618</v>
      </c>
      <c r="C489" t="s">
        <v>23</v>
      </c>
      <c r="D489" t="s">
        <v>24</v>
      </c>
      <c r="E489">
        <v>26</v>
      </c>
      <c r="F489">
        <v>257564</v>
      </c>
      <c r="G489" t="s">
        <v>25</v>
      </c>
      <c r="H489" t="s">
        <v>26</v>
      </c>
      <c r="I489" t="s">
        <v>26</v>
      </c>
      <c r="J489" t="s">
        <v>26</v>
      </c>
      <c r="K489" t="s">
        <v>26</v>
      </c>
      <c r="L489" t="s">
        <v>26</v>
      </c>
      <c r="M489" t="s">
        <v>26</v>
      </c>
      <c r="N489" t="s">
        <v>26</v>
      </c>
      <c r="O489" t="s">
        <v>26</v>
      </c>
      <c r="P489">
        <v>1</v>
      </c>
      <c r="Q489">
        <v>0</v>
      </c>
      <c r="R489">
        <v>1</v>
      </c>
      <c r="S489">
        <v>1</v>
      </c>
      <c r="T489">
        <v>3.8824999999999998</v>
      </c>
      <c r="U489">
        <v>3.85E-2</v>
      </c>
      <c r="V489">
        <v>1</v>
      </c>
      <c r="W489">
        <f>E489/100</f>
        <v>0.26</v>
      </c>
      <c r="X489">
        <f>F489/1000000</f>
        <v>0.25756400000000002</v>
      </c>
      <c r="Y489">
        <f>IF(D489="C",1,0)</f>
        <v>0</v>
      </c>
      <c r="Z489">
        <f>IF(G489="C",1,0)</f>
        <v>0</v>
      </c>
      <c r="AA489">
        <f>IF(G489="S",1,0)</f>
        <v>1</v>
      </c>
      <c r="AB489">
        <f>IF(G489="U",1,0)</f>
        <v>0</v>
      </c>
      <c r="AC489" s="5">
        <f>IF(AND(ISNUMBER(H489),NOT(ISNUMBER(P489))),1,0)</f>
        <v>0</v>
      </c>
      <c r="AD489" s="5">
        <f>IF(AND(ISNUMBER(H489),ISNUMBER(P489)),1,0)</f>
        <v>0</v>
      </c>
      <c r="AE489" s="5">
        <f>W489</f>
        <v>0.26</v>
      </c>
      <c r="AF489" s="5">
        <f>X489</f>
        <v>0.25756400000000002</v>
      </c>
      <c r="AG489" s="5">
        <f>Y489</f>
        <v>0</v>
      </c>
      <c r="AH489" s="5">
        <f>IF(OR(G489="C",G489="S",G489="U"),1,0)</f>
        <v>1</v>
      </c>
      <c r="AI489" s="5">
        <f>IF(ISNUMBER(H489),1,0)</f>
        <v>0</v>
      </c>
      <c r="AJ489" s="5">
        <f>IF(ISNUMBER(P489),1,0)</f>
        <v>1</v>
      </c>
      <c r="AK489" s="5" t="str">
        <f>IF(AI489=1,IF(J489&gt;0,1,0),"")</f>
        <v/>
      </c>
      <c r="AL489" s="5">
        <f>IF(AJ489=1,IF(OR(Q489&gt;0,R489&gt;0),1,0),"")</f>
        <v>1</v>
      </c>
    </row>
    <row r="490" spans="1:38">
      <c r="A490">
        <v>490201</v>
      </c>
      <c r="B490" t="s">
        <v>619</v>
      </c>
      <c r="C490" t="s">
        <v>82</v>
      </c>
      <c r="D490" t="s">
        <v>24</v>
      </c>
      <c r="E490">
        <v>17</v>
      </c>
      <c r="F490">
        <v>169672</v>
      </c>
      <c r="H490" t="s">
        <v>26</v>
      </c>
      <c r="I490" t="s">
        <v>26</v>
      </c>
      <c r="J490" t="s">
        <v>26</v>
      </c>
      <c r="K490" t="s">
        <v>26</v>
      </c>
      <c r="L490" t="s">
        <v>26</v>
      </c>
      <c r="M490" t="s">
        <v>26</v>
      </c>
      <c r="N490" t="s">
        <v>26</v>
      </c>
      <c r="O490" t="s">
        <v>26</v>
      </c>
      <c r="P490">
        <v>1</v>
      </c>
      <c r="Q490">
        <v>0</v>
      </c>
      <c r="R490">
        <v>0</v>
      </c>
      <c r="S490">
        <v>1</v>
      </c>
      <c r="T490">
        <v>5.8936999999999999</v>
      </c>
      <c r="U490">
        <v>5.8799999999999998E-2</v>
      </c>
      <c r="V490">
        <v>0</v>
      </c>
      <c r="W490">
        <f>E490/100</f>
        <v>0.17</v>
      </c>
      <c r="X490">
        <f>F490/1000000</f>
        <v>0.16967199999999999</v>
      </c>
      <c r="Y490">
        <f>IF(D490="C",1,0)</f>
        <v>0</v>
      </c>
      <c r="Z490">
        <f>IF(G490="C",1,0)</f>
        <v>0</v>
      </c>
      <c r="AA490">
        <f>IF(G490="S",1,0)</f>
        <v>0</v>
      </c>
      <c r="AB490">
        <f>IF(G490="U",1,0)</f>
        <v>0</v>
      </c>
      <c r="AC490" s="5">
        <f>IF(AND(ISNUMBER(H490),NOT(ISNUMBER(P490))),1,0)</f>
        <v>0</v>
      </c>
      <c r="AD490" s="5">
        <f>IF(AND(ISNUMBER(H490),ISNUMBER(P490)),1,0)</f>
        <v>0</v>
      </c>
      <c r="AE490" s="5">
        <f>W490</f>
        <v>0.17</v>
      </c>
      <c r="AF490" s="5">
        <f>X490</f>
        <v>0.16967199999999999</v>
      </c>
      <c r="AG490" s="5">
        <f>Y490</f>
        <v>0</v>
      </c>
      <c r="AH490" s="5">
        <f>IF(OR(G490="C",G490="S",G490="U"),1,0)</f>
        <v>0</v>
      </c>
      <c r="AI490" s="5">
        <f>IF(ISNUMBER(H490),1,0)</f>
        <v>0</v>
      </c>
      <c r="AJ490" s="5">
        <f>IF(ISNUMBER(P490),1,0)</f>
        <v>1</v>
      </c>
      <c r="AK490" s="5" t="str">
        <f>IF(AI490=1,IF(J490&gt;0,1,0),"")</f>
        <v/>
      </c>
      <c r="AL490" s="5">
        <f>IF(AJ490=1,IF(OR(Q490&gt;0,R490&gt;0),1,0),"")</f>
        <v>0</v>
      </c>
    </row>
    <row r="491" spans="1:38">
      <c r="A491">
        <v>490900</v>
      </c>
      <c r="B491" t="s">
        <v>620</v>
      </c>
      <c r="C491" t="s">
        <v>23</v>
      </c>
      <c r="D491" t="s">
        <v>24</v>
      </c>
      <c r="E491">
        <v>15</v>
      </c>
      <c r="F491">
        <v>110000</v>
      </c>
      <c r="H491" t="s">
        <v>26</v>
      </c>
      <c r="I491" t="s">
        <v>26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>
        <v>1</v>
      </c>
      <c r="Q491">
        <v>0</v>
      </c>
      <c r="R491">
        <v>1</v>
      </c>
      <c r="S491">
        <v>1</v>
      </c>
      <c r="T491">
        <v>9.0908999999999995</v>
      </c>
      <c r="U491">
        <v>6.6699999999999995E-2</v>
      </c>
      <c r="V491">
        <v>1</v>
      </c>
      <c r="W491">
        <f>E491/100</f>
        <v>0.15</v>
      </c>
      <c r="X491">
        <f>F491/1000000</f>
        <v>0.11</v>
      </c>
      <c r="Y491">
        <f>IF(D491="C",1,0)</f>
        <v>0</v>
      </c>
      <c r="Z491">
        <f>IF(G491="C",1,0)</f>
        <v>0</v>
      </c>
      <c r="AA491">
        <f>IF(G491="S",1,0)</f>
        <v>0</v>
      </c>
      <c r="AB491">
        <f>IF(G491="U",1,0)</f>
        <v>0</v>
      </c>
      <c r="AC491" s="5">
        <f>IF(AND(ISNUMBER(H491),NOT(ISNUMBER(P491))),1,0)</f>
        <v>0</v>
      </c>
      <c r="AD491" s="5">
        <f>IF(AND(ISNUMBER(H491),ISNUMBER(P491)),1,0)</f>
        <v>0</v>
      </c>
      <c r="AE491" s="5">
        <f>W491</f>
        <v>0.15</v>
      </c>
      <c r="AF491" s="5">
        <f>X491</f>
        <v>0.11</v>
      </c>
      <c r="AG491" s="5">
        <f>Y491</f>
        <v>0</v>
      </c>
      <c r="AH491" s="5">
        <f>IF(OR(G491="C",G491="S",G491="U"),1,0)</f>
        <v>0</v>
      </c>
      <c r="AI491" s="5">
        <f>IF(ISNUMBER(H491),1,0)</f>
        <v>0</v>
      </c>
      <c r="AJ491" s="5">
        <f>IF(ISNUMBER(P491),1,0)</f>
        <v>1</v>
      </c>
      <c r="AK491" s="5" t="str">
        <f>IF(AI491=1,IF(J491&gt;0,1,0),"")</f>
        <v/>
      </c>
      <c r="AL491" s="5">
        <f>IF(AJ491=1,IF(OR(Q491&gt;0,R491&gt;0),1,0),"")</f>
        <v>1</v>
      </c>
    </row>
    <row r="492" spans="1:38">
      <c r="A492">
        <v>495173</v>
      </c>
      <c r="B492" t="s">
        <v>622</v>
      </c>
      <c r="C492" t="s">
        <v>40</v>
      </c>
      <c r="D492" t="s">
        <v>24</v>
      </c>
      <c r="E492">
        <v>31</v>
      </c>
      <c r="F492">
        <v>643718</v>
      </c>
      <c r="G492" t="s">
        <v>25</v>
      </c>
      <c r="H492" t="s">
        <v>26</v>
      </c>
      <c r="I492" t="s">
        <v>26</v>
      </c>
      <c r="J492" t="s">
        <v>26</v>
      </c>
      <c r="K492" t="s">
        <v>26</v>
      </c>
      <c r="L492" t="s">
        <v>26</v>
      </c>
      <c r="M492" t="s">
        <v>26</v>
      </c>
      <c r="N492" t="s">
        <v>26</v>
      </c>
      <c r="O492" t="s">
        <v>26</v>
      </c>
      <c r="P492">
        <v>1</v>
      </c>
      <c r="Q492">
        <v>0</v>
      </c>
      <c r="R492">
        <v>1</v>
      </c>
      <c r="S492">
        <v>1</v>
      </c>
      <c r="T492">
        <v>1.5535000000000001</v>
      </c>
      <c r="U492">
        <v>3.2300000000000002E-2</v>
      </c>
      <c r="V492">
        <v>1</v>
      </c>
      <c r="W492">
        <f>E492/100</f>
        <v>0.31</v>
      </c>
      <c r="X492">
        <f>F492/1000000</f>
        <v>0.64371800000000001</v>
      </c>
      <c r="Y492">
        <f>IF(D492="C",1,0)</f>
        <v>0</v>
      </c>
      <c r="Z492">
        <f>IF(G492="C",1,0)</f>
        <v>0</v>
      </c>
      <c r="AA492">
        <f>IF(G492="S",1,0)</f>
        <v>1</v>
      </c>
      <c r="AB492">
        <f>IF(G492="U",1,0)</f>
        <v>0</v>
      </c>
      <c r="AC492" s="5">
        <f>IF(AND(ISNUMBER(H492),NOT(ISNUMBER(P492))),1,0)</f>
        <v>0</v>
      </c>
      <c r="AD492" s="5">
        <f>IF(AND(ISNUMBER(H492),ISNUMBER(P492)),1,0)</f>
        <v>0</v>
      </c>
      <c r="AE492" s="5">
        <f>W492</f>
        <v>0.31</v>
      </c>
      <c r="AF492" s="5">
        <f>X492</f>
        <v>0.64371800000000001</v>
      </c>
      <c r="AG492" s="5">
        <f>Y492</f>
        <v>0</v>
      </c>
      <c r="AH492" s="5">
        <f>IF(OR(G492="C",G492="S",G492="U"),1,0)</f>
        <v>1</v>
      </c>
      <c r="AI492" s="5">
        <f>IF(ISNUMBER(H492),1,0)</f>
        <v>0</v>
      </c>
      <c r="AJ492" s="5">
        <f>IF(ISNUMBER(P492),1,0)</f>
        <v>1</v>
      </c>
      <c r="AK492" s="5" t="str">
        <f>IF(AI492=1,IF(J492&gt;0,1,0),"")</f>
        <v/>
      </c>
      <c r="AL492" s="5">
        <f>IF(AJ492=1,IF(OR(Q492&gt;0,R492&gt;0),1,0),"")</f>
        <v>1</v>
      </c>
    </row>
    <row r="493" spans="1:38">
      <c r="A493">
        <v>498643</v>
      </c>
      <c r="B493" t="s">
        <v>623</v>
      </c>
      <c r="C493" t="s">
        <v>23</v>
      </c>
      <c r="D493" t="s">
        <v>24</v>
      </c>
      <c r="E493">
        <v>7</v>
      </c>
      <c r="F493">
        <v>90000</v>
      </c>
      <c r="H493" t="s">
        <v>26</v>
      </c>
      <c r="I493" t="s">
        <v>26</v>
      </c>
      <c r="J493" t="s">
        <v>26</v>
      </c>
      <c r="K493" t="s">
        <v>26</v>
      </c>
      <c r="L493" t="s">
        <v>26</v>
      </c>
      <c r="M493" t="s">
        <v>26</v>
      </c>
      <c r="N493" t="s">
        <v>26</v>
      </c>
      <c r="O493" t="s">
        <v>26</v>
      </c>
      <c r="P493">
        <v>1</v>
      </c>
      <c r="Q493">
        <v>0</v>
      </c>
      <c r="R493">
        <v>0</v>
      </c>
      <c r="S493">
        <v>1</v>
      </c>
      <c r="T493">
        <v>11.1111</v>
      </c>
      <c r="U493">
        <v>0.1429</v>
      </c>
      <c r="V493">
        <v>0</v>
      </c>
      <c r="W493">
        <f>E493/100</f>
        <v>7.0000000000000007E-2</v>
      </c>
      <c r="X493">
        <f>F493/1000000</f>
        <v>0.09</v>
      </c>
      <c r="Y493">
        <f>IF(D493="C",1,0)</f>
        <v>0</v>
      </c>
      <c r="Z493">
        <f>IF(G493="C",1,0)</f>
        <v>0</v>
      </c>
      <c r="AA493">
        <f>IF(G493="S",1,0)</f>
        <v>0</v>
      </c>
      <c r="AB493">
        <f>IF(G493="U",1,0)</f>
        <v>0</v>
      </c>
      <c r="AC493" s="5">
        <f>IF(AND(ISNUMBER(H493),NOT(ISNUMBER(P493))),1,0)</f>
        <v>0</v>
      </c>
      <c r="AD493" s="5">
        <f>IF(AND(ISNUMBER(H493),ISNUMBER(P493)),1,0)</f>
        <v>0</v>
      </c>
      <c r="AE493" s="5">
        <f>W493</f>
        <v>7.0000000000000007E-2</v>
      </c>
      <c r="AF493" s="5">
        <f>X493</f>
        <v>0.09</v>
      </c>
      <c r="AG493" s="5">
        <f>Y493</f>
        <v>0</v>
      </c>
      <c r="AH493" s="5">
        <f>IF(OR(G493="C",G493="S",G493="U"),1,0)</f>
        <v>0</v>
      </c>
      <c r="AI493" s="5">
        <f>IF(ISNUMBER(H493),1,0)</f>
        <v>0</v>
      </c>
      <c r="AJ493" s="5">
        <f>IF(ISNUMBER(P493),1,0)</f>
        <v>1</v>
      </c>
      <c r="AK493" s="5" t="str">
        <f>IF(AI493=1,IF(J493&gt;0,1,0),"")</f>
        <v/>
      </c>
      <c r="AL493" s="5">
        <f>IF(AJ493=1,IF(OR(Q493&gt;0,R493&gt;0),1,0),"")</f>
        <v>0</v>
      </c>
    </row>
    <row r="494" spans="1:38">
      <c r="A494">
        <v>498648</v>
      </c>
      <c r="B494" t="s">
        <v>624</v>
      </c>
      <c r="C494" t="s">
        <v>37</v>
      </c>
      <c r="D494" t="s">
        <v>24</v>
      </c>
      <c r="E494">
        <v>17</v>
      </c>
      <c r="F494">
        <v>724493</v>
      </c>
      <c r="G494" t="s">
        <v>25</v>
      </c>
      <c r="H494" t="s">
        <v>26</v>
      </c>
      <c r="I494" t="s">
        <v>26</v>
      </c>
      <c r="J494" t="s">
        <v>26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>
        <v>1</v>
      </c>
      <c r="Q494">
        <v>0</v>
      </c>
      <c r="R494">
        <v>1</v>
      </c>
      <c r="S494">
        <v>0</v>
      </c>
      <c r="T494">
        <v>1.3803000000000001</v>
      </c>
      <c r="U494">
        <v>5.8799999999999998E-2</v>
      </c>
      <c r="V494">
        <v>1</v>
      </c>
      <c r="W494">
        <f>E494/100</f>
        <v>0.17</v>
      </c>
      <c r="X494">
        <f>F494/1000000</f>
        <v>0.72449300000000005</v>
      </c>
      <c r="Y494">
        <f>IF(D494="C",1,0)</f>
        <v>0</v>
      </c>
      <c r="Z494">
        <f>IF(G494="C",1,0)</f>
        <v>0</v>
      </c>
      <c r="AA494">
        <f>IF(G494="S",1,0)</f>
        <v>1</v>
      </c>
      <c r="AB494">
        <f>IF(G494="U",1,0)</f>
        <v>0</v>
      </c>
      <c r="AC494" s="5">
        <f>IF(AND(ISNUMBER(H494),NOT(ISNUMBER(P494))),1,0)</f>
        <v>0</v>
      </c>
      <c r="AD494" s="5">
        <f>IF(AND(ISNUMBER(H494),ISNUMBER(P494)),1,0)</f>
        <v>0</v>
      </c>
      <c r="AE494" s="5">
        <f>W494</f>
        <v>0.17</v>
      </c>
      <c r="AF494" s="5">
        <f>X494</f>
        <v>0.72449300000000005</v>
      </c>
      <c r="AG494" s="5">
        <f>Y494</f>
        <v>0</v>
      </c>
      <c r="AH494" s="5">
        <f>IF(OR(G494="C",G494="S",G494="U"),1,0)</f>
        <v>1</v>
      </c>
      <c r="AI494" s="5">
        <f>IF(ISNUMBER(H494),1,0)</f>
        <v>0</v>
      </c>
      <c r="AJ494" s="5">
        <f>IF(ISNUMBER(P494),1,0)</f>
        <v>1</v>
      </c>
      <c r="AK494" s="5" t="str">
        <f>IF(AI494=1,IF(J494&gt;0,1,0),"")</f>
        <v/>
      </c>
      <c r="AL494" s="5">
        <f>IF(AJ494=1,IF(OR(Q494&gt;0,R494&gt;0),1,0),"")</f>
        <v>1</v>
      </c>
    </row>
    <row r="495" spans="1:38">
      <c r="A495">
        <v>500541</v>
      </c>
      <c r="B495" t="s">
        <v>625</v>
      </c>
      <c r="C495" t="s">
        <v>93</v>
      </c>
      <c r="D495" t="s">
        <v>24</v>
      </c>
      <c r="E495">
        <v>26</v>
      </c>
      <c r="F495">
        <v>1810489</v>
      </c>
      <c r="G495" t="s">
        <v>25</v>
      </c>
      <c r="H495" t="s">
        <v>26</v>
      </c>
      <c r="I495" t="s">
        <v>26</v>
      </c>
      <c r="J495" t="s">
        <v>26</v>
      </c>
      <c r="K495" t="s">
        <v>26</v>
      </c>
      <c r="L495" t="s">
        <v>26</v>
      </c>
      <c r="M495" t="s">
        <v>26</v>
      </c>
      <c r="N495" t="s">
        <v>26</v>
      </c>
      <c r="O495" t="s">
        <v>26</v>
      </c>
      <c r="P495">
        <v>1</v>
      </c>
      <c r="Q495">
        <v>0</v>
      </c>
      <c r="R495">
        <v>1</v>
      </c>
      <c r="S495">
        <v>1</v>
      </c>
      <c r="T495">
        <v>0.55230000000000001</v>
      </c>
      <c r="U495">
        <v>3.85E-2</v>
      </c>
      <c r="V495">
        <v>1</v>
      </c>
      <c r="W495">
        <f>E495/100</f>
        <v>0.26</v>
      </c>
      <c r="X495">
        <f>F495/1000000</f>
        <v>1.810489</v>
      </c>
      <c r="Y495">
        <f>IF(D495="C",1,0)</f>
        <v>0</v>
      </c>
      <c r="Z495">
        <f>IF(G495="C",1,0)</f>
        <v>0</v>
      </c>
      <c r="AA495">
        <f>IF(G495="S",1,0)</f>
        <v>1</v>
      </c>
      <c r="AB495">
        <f>IF(G495="U",1,0)</f>
        <v>0</v>
      </c>
      <c r="AC495" s="5">
        <f>IF(AND(ISNUMBER(H495),NOT(ISNUMBER(P495))),1,0)</f>
        <v>0</v>
      </c>
      <c r="AD495" s="5">
        <f>IF(AND(ISNUMBER(H495),ISNUMBER(P495)),1,0)</f>
        <v>0</v>
      </c>
      <c r="AE495" s="5">
        <f>W495</f>
        <v>0.26</v>
      </c>
      <c r="AF495" s="5">
        <f>X495</f>
        <v>1.810489</v>
      </c>
      <c r="AG495" s="5">
        <f>Y495</f>
        <v>0</v>
      </c>
      <c r="AH495" s="5">
        <f>IF(OR(G495="C",G495="S",G495="U"),1,0)</f>
        <v>1</v>
      </c>
      <c r="AI495" s="5">
        <f>IF(ISNUMBER(H495),1,0)</f>
        <v>0</v>
      </c>
      <c r="AJ495" s="5">
        <f>IF(ISNUMBER(P495),1,0)</f>
        <v>1</v>
      </c>
      <c r="AK495" s="5" t="str">
        <f>IF(AI495=1,IF(J495&gt;0,1,0),"")</f>
        <v/>
      </c>
      <c r="AL495" s="5">
        <f>IF(AJ495=1,IF(OR(Q495&gt;0,R495&gt;0),1,0),"")</f>
        <v>1</v>
      </c>
    </row>
    <row r="496" spans="1:38">
      <c r="A496">
        <v>501513</v>
      </c>
      <c r="B496" t="s">
        <v>626</v>
      </c>
      <c r="C496" t="s">
        <v>84</v>
      </c>
      <c r="D496" t="s">
        <v>24</v>
      </c>
      <c r="E496">
        <v>12</v>
      </c>
      <c r="F496">
        <v>1051000</v>
      </c>
      <c r="G496" t="s">
        <v>25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>
        <v>1</v>
      </c>
      <c r="Q496">
        <v>0</v>
      </c>
      <c r="R496">
        <v>1</v>
      </c>
      <c r="S496">
        <v>1</v>
      </c>
      <c r="T496">
        <v>0.95150000000000001</v>
      </c>
      <c r="U496">
        <v>8.3299999999999999E-2</v>
      </c>
      <c r="V496">
        <v>1</v>
      </c>
      <c r="W496">
        <f>E496/100</f>
        <v>0.12</v>
      </c>
      <c r="X496">
        <f>F496/1000000</f>
        <v>1.0509999999999999</v>
      </c>
      <c r="Y496">
        <f>IF(D496="C",1,0)</f>
        <v>0</v>
      </c>
      <c r="Z496">
        <f>IF(G496="C",1,0)</f>
        <v>0</v>
      </c>
      <c r="AA496">
        <f>IF(G496="S",1,0)</f>
        <v>1</v>
      </c>
      <c r="AB496">
        <f>IF(G496="U",1,0)</f>
        <v>0</v>
      </c>
      <c r="AC496" s="5">
        <f>IF(AND(ISNUMBER(H496),NOT(ISNUMBER(P496))),1,0)</f>
        <v>0</v>
      </c>
      <c r="AD496" s="5">
        <f>IF(AND(ISNUMBER(H496),ISNUMBER(P496)),1,0)</f>
        <v>0</v>
      </c>
      <c r="AE496" s="5">
        <f>W496</f>
        <v>0.12</v>
      </c>
      <c r="AF496" s="5">
        <f>X496</f>
        <v>1.0509999999999999</v>
      </c>
      <c r="AG496" s="5">
        <f>Y496</f>
        <v>0</v>
      </c>
      <c r="AH496" s="5">
        <f>IF(OR(G496="C",G496="S",G496="U"),1,0)</f>
        <v>1</v>
      </c>
      <c r="AI496" s="5">
        <f>IF(ISNUMBER(H496),1,0)</f>
        <v>0</v>
      </c>
      <c r="AJ496" s="5">
        <f>IF(ISNUMBER(P496),1,0)</f>
        <v>1</v>
      </c>
      <c r="AK496" s="5" t="str">
        <f>IF(AI496=1,IF(J496&gt;0,1,0),"")</f>
        <v/>
      </c>
      <c r="AL496" s="5">
        <f>IF(AJ496=1,IF(OR(Q496&gt;0,R496&gt;0),1,0),"")</f>
        <v>1</v>
      </c>
    </row>
    <row r="497" spans="1:38">
      <c r="A497">
        <v>501995</v>
      </c>
      <c r="B497" t="s">
        <v>627</v>
      </c>
      <c r="C497" t="s">
        <v>23</v>
      </c>
      <c r="D497" t="s">
        <v>24</v>
      </c>
      <c r="E497">
        <v>39</v>
      </c>
      <c r="F497">
        <v>490000</v>
      </c>
      <c r="G497" t="s">
        <v>25</v>
      </c>
      <c r="H497" t="s">
        <v>26</v>
      </c>
      <c r="I497" t="s">
        <v>26</v>
      </c>
      <c r="J497" t="s">
        <v>26</v>
      </c>
      <c r="K497" t="s">
        <v>26</v>
      </c>
      <c r="L497" t="s">
        <v>26</v>
      </c>
      <c r="M497" t="s">
        <v>26</v>
      </c>
      <c r="N497" t="s">
        <v>26</v>
      </c>
      <c r="O497" t="s">
        <v>26</v>
      </c>
      <c r="P497">
        <v>1</v>
      </c>
      <c r="Q497">
        <v>0</v>
      </c>
      <c r="R497">
        <v>0</v>
      </c>
      <c r="S497">
        <v>1</v>
      </c>
      <c r="T497">
        <v>2.0407999999999999</v>
      </c>
      <c r="U497">
        <v>2.5600000000000001E-2</v>
      </c>
      <c r="V497">
        <v>0</v>
      </c>
      <c r="W497">
        <f>E497/100</f>
        <v>0.39</v>
      </c>
      <c r="X497">
        <f>F497/1000000</f>
        <v>0.49</v>
      </c>
      <c r="Y497">
        <f>IF(D497="C",1,0)</f>
        <v>0</v>
      </c>
      <c r="Z497">
        <f>IF(G497="C",1,0)</f>
        <v>0</v>
      </c>
      <c r="AA497">
        <f>IF(G497="S",1,0)</f>
        <v>1</v>
      </c>
      <c r="AB497">
        <f>IF(G497="U",1,0)</f>
        <v>0</v>
      </c>
      <c r="AC497" s="5">
        <f>IF(AND(ISNUMBER(H497),NOT(ISNUMBER(P497))),1,0)</f>
        <v>0</v>
      </c>
      <c r="AD497" s="5">
        <f>IF(AND(ISNUMBER(H497),ISNUMBER(P497)),1,0)</f>
        <v>0</v>
      </c>
      <c r="AE497" s="5">
        <f>W497</f>
        <v>0.39</v>
      </c>
      <c r="AF497" s="5">
        <f>X497</f>
        <v>0.49</v>
      </c>
      <c r="AG497" s="5">
        <f>Y497</f>
        <v>0</v>
      </c>
      <c r="AH497" s="5">
        <f>IF(OR(G497="C",G497="S",G497="U"),1,0)</f>
        <v>1</v>
      </c>
      <c r="AI497" s="5">
        <f>IF(ISNUMBER(H497),1,0)</f>
        <v>0</v>
      </c>
      <c r="AJ497" s="5">
        <f>IF(ISNUMBER(P497),1,0)</f>
        <v>1</v>
      </c>
      <c r="AK497" s="5" t="str">
        <f>IF(AI497=1,IF(J497&gt;0,1,0),"")</f>
        <v/>
      </c>
      <c r="AL497" s="5">
        <f>IF(AJ497=1,IF(OR(Q497&gt;0,R497&gt;0),1,0),"")</f>
        <v>0</v>
      </c>
    </row>
    <row r="498" spans="1:38">
      <c r="A498">
        <v>503607</v>
      </c>
      <c r="B498" t="s">
        <v>628</v>
      </c>
      <c r="C498" t="s">
        <v>82</v>
      </c>
      <c r="D498" t="s">
        <v>24</v>
      </c>
      <c r="E498">
        <v>6</v>
      </c>
      <c r="F498">
        <v>200000</v>
      </c>
      <c r="H498" t="s">
        <v>26</v>
      </c>
      <c r="I498" t="s">
        <v>26</v>
      </c>
      <c r="J498" t="s">
        <v>26</v>
      </c>
      <c r="K498" t="s">
        <v>26</v>
      </c>
      <c r="L498" t="s">
        <v>26</v>
      </c>
      <c r="M498" t="s">
        <v>26</v>
      </c>
      <c r="N498" t="s">
        <v>26</v>
      </c>
      <c r="O498" t="s">
        <v>26</v>
      </c>
      <c r="P498">
        <v>1</v>
      </c>
      <c r="Q498">
        <v>0</v>
      </c>
      <c r="R498">
        <v>0</v>
      </c>
      <c r="S498">
        <v>1</v>
      </c>
      <c r="T498">
        <v>5</v>
      </c>
      <c r="U498">
        <v>0.16669999999999999</v>
      </c>
      <c r="V498">
        <v>0</v>
      </c>
      <c r="W498">
        <f>E498/100</f>
        <v>0.06</v>
      </c>
      <c r="X498">
        <f>F498/1000000</f>
        <v>0.2</v>
      </c>
      <c r="Y498">
        <f>IF(D498="C",1,0)</f>
        <v>0</v>
      </c>
      <c r="Z498">
        <f>IF(G498="C",1,0)</f>
        <v>0</v>
      </c>
      <c r="AA498">
        <f>IF(G498="S",1,0)</f>
        <v>0</v>
      </c>
      <c r="AB498">
        <f>IF(G498="U",1,0)</f>
        <v>0</v>
      </c>
      <c r="AC498" s="5">
        <f>IF(AND(ISNUMBER(H498),NOT(ISNUMBER(P498))),1,0)</f>
        <v>0</v>
      </c>
      <c r="AD498" s="5">
        <f>IF(AND(ISNUMBER(H498),ISNUMBER(P498)),1,0)</f>
        <v>0</v>
      </c>
      <c r="AE498" s="5">
        <f>W498</f>
        <v>0.06</v>
      </c>
      <c r="AF498" s="5">
        <f>X498</f>
        <v>0.2</v>
      </c>
      <c r="AG498" s="5">
        <f>Y498</f>
        <v>0</v>
      </c>
      <c r="AH498" s="5">
        <f>IF(OR(G498="C",G498="S",G498="U"),1,0)</f>
        <v>0</v>
      </c>
      <c r="AI498" s="5">
        <f>IF(ISNUMBER(H498),1,0)</f>
        <v>0</v>
      </c>
      <c r="AJ498" s="5">
        <f>IF(ISNUMBER(P498),1,0)</f>
        <v>1</v>
      </c>
      <c r="AK498" s="5" t="str">
        <f>IF(AI498=1,IF(J498&gt;0,1,0),"")</f>
        <v/>
      </c>
      <c r="AL498" s="5">
        <f>IF(AJ498=1,IF(OR(Q498&gt;0,R498&gt;0),1,0),"")</f>
        <v>0</v>
      </c>
    </row>
    <row r="499" spans="1:38">
      <c r="A499">
        <v>505517</v>
      </c>
      <c r="B499" t="s">
        <v>630</v>
      </c>
      <c r="C499" t="s">
        <v>82</v>
      </c>
      <c r="D499" t="s">
        <v>24</v>
      </c>
      <c r="E499">
        <v>38</v>
      </c>
      <c r="F499">
        <v>516125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>
        <v>1</v>
      </c>
      <c r="Q499">
        <v>0</v>
      </c>
      <c r="R499">
        <v>1</v>
      </c>
      <c r="S499">
        <v>1</v>
      </c>
      <c r="T499">
        <v>1.9375</v>
      </c>
      <c r="U499">
        <v>2.63E-2</v>
      </c>
      <c r="V499">
        <v>1</v>
      </c>
      <c r="W499">
        <f>E499/100</f>
        <v>0.38</v>
      </c>
      <c r="X499">
        <f>F499/1000000</f>
        <v>0.51612499999999994</v>
      </c>
      <c r="Y499">
        <f>IF(D499="C",1,0)</f>
        <v>0</v>
      </c>
      <c r="Z499">
        <f>IF(G499="C",1,0)</f>
        <v>0</v>
      </c>
      <c r="AA499">
        <f>IF(G499="S",1,0)</f>
        <v>0</v>
      </c>
      <c r="AB499">
        <f>IF(G499="U",1,0)</f>
        <v>0</v>
      </c>
      <c r="AC499" s="5">
        <f>IF(AND(ISNUMBER(H499),NOT(ISNUMBER(P499))),1,0)</f>
        <v>0</v>
      </c>
      <c r="AD499" s="5">
        <f>IF(AND(ISNUMBER(H499),ISNUMBER(P499)),1,0)</f>
        <v>0</v>
      </c>
      <c r="AE499" s="5">
        <f>W499</f>
        <v>0.38</v>
      </c>
      <c r="AF499" s="5">
        <f>X499</f>
        <v>0.51612499999999994</v>
      </c>
      <c r="AG499" s="5">
        <f>Y499</f>
        <v>0</v>
      </c>
      <c r="AH499" s="5">
        <f>IF(OR(G499="C",G499="S",G499="U"),1,0)</f>
        <v>0</v>
      </c>
      <c r="AI499" s="5">
        <f>IF(ISNUMBER(H499),1,0)</f>
        <v>0</v>
      </c>
      <c r="AJ499" s="5">
        <f>IF(ISNUMBER(P499),1,0)</f>
        <v>1</v>
      </c>
      <c r="AK499" s="5" t="str">
        <f>IF(AI499=1,IF(J499&gt;0,1,0),"")</f>
        <v/>
      </c>
      <c r="AL499" s="5">
        <f>IF(AJ499=1,IF(OR(Q499&gt;0,R499&gt;0),1,0),"")</f>
        <v>1</v>
      </c>
    </row>
    <row r="500" spans="1:38">
      <c r="A500">
        <v>507244</v>
      </c>
      <c r="B500" t="s">
        <v>632</v>
      </c>
      <c r="C500" t="s">
        <v>82</v>
      </c>
      <c r="D500" t="s">
        <v>24</v>
      </c>
      <c r="E500">
        <v>40</v>
      </c>
      <c r="F500">
        <v>958772</v>
      </c>
      <c r="H500" t="s">
        <v>26</v>
      </c>
      <c r="I500" t="s">
        <v>26</v>
      </c>
      <c r="J500" t="s">
        <v>26</v>
      </c>
      <c r="K500" t="s">
        <v>26</v>
      </c>
      <c r="L500" t="s">
        <v>26</v>
      </c>
      <c r="M500" t="s">
        <v>26</v>
      </c>
      <c r="N500" t="s">
        <v>26</v>
      </c>
      <c r="O500" t="s">
        <v>26</v>
      </c>
      <c r="P500">
        <v>1</v>
      </c>
      <c r="Q500">
        <v>0</v>
      </c>
      <c r="R500">
        <v>0</v>
      </c>
      <c r="S500">
        <v>1</v>
      </c>
      <c r="T500">
        <v>1.0429999999999999</v>
      </c>
      <c r="U500">
        <v>2.5000000000000001E-2</v>
      </c>
      <c r="V500">
        <v>0</v>
      </c>
      <c r="W500">
        <f>E500/100</f>
        <v>0.4</v>
      </c>
      <c r="X500">
        <f>F500/1000000</f>
        <v>0.95877199999999996</v>
      </c>
      <c r="Y500">
        <f>IF(D500="C",1,0)</f>
        <v>0</v>
      </c>
      <c r="Z500">
        <f>IF(G500="C",1,0)</f>
        <v>0</v>
      </c>
      <c r="AA500">
        <f>IF(G500="S",1,0)</f>
        <v>0</v>
      </c>
      <c r="AB500">
        <f>IF(G500="U",1,0)</f>
        <v>0</v>
      </c>
      <c r="AC500" s="5">
        <f>IF(AND(ISNUMBER(H500),NOT(ISNUMBER(P500))),1,0)</f>
        <v>0</v>
      </c>
      <c r="AD500" s="5">
        <f>IF(AND(ISNUMBER(H500),ISNUMBER(P500)),1,0)</f>
        <v>0</v>
      </c>
      <c r="AE500" s="5">
        <f>W500</f>
        <v>0.4</v>
      </c>
      <c r="AF500" s="5">
        <f>X500</f>
        <v>0.95877199999999996</v>
      </c>
      <c r="AG500" s="5">
        <f>Y500</f>
        <v>0</v>
      </c>
      <c r="AH500" s="5">
        <f>IF(OR(G500="C",G500="S",G500="U"),1,0)</f>
        <v>0</v>
      </c>
      <c r="AI500" s="5">
        <f>IF(ISNUMBER(H500),1,0)</f>
        <v>0</v>
      </c>
      <c r="AJ500" s="5">
        <f>IF(ISNUMBER(P500),1,0)</f>
        <v>1</v>
      </c>
      <c r="AK500" s="5" t="str">
        <f>IF(AI500=1,IF(J500&gt;0,1,0),"")</f>
        <v/>
      </c>
      <c r="AL500" s="5">
        <f>IF(AJ500=1,IF(OR(Q500&gt;0,R500&gt;0),1,0),"")</f>
        <v>0</v>
      </c>
    </row>
    <row r="501" spans="1:38">
      <c r="A501">
        <v>507468</v>
      </c>
      <c r="B501" t="s">
        <v>633</v>
      </c>
      <c r="C501" t="s">
        <v>23</v>
      </c>
      <c r="D501" t="s">
        <v>24</v>
      </c>
      <c r="E501">
        <v>3</v>
      </c>
      <c r="F501">
        <v>43392</v>
      </c>
      <c r="G501" t="s">
        <v>33</v>
      </c>
      <c r="H501" t="s">
        <v>26</v>
      </c>
      <c r="I501" t="s">
        <v>26</v>
      </c>
      <c r="J501" t="s">
        <v>26</v>
      </c>
      <c r="K501" t="s">
        <v>26</v>
      </c>
      <c r="L501" t="s">
        <v>26</v>
      </c>
      <c r="M501" t="s">
        <v>26</v>
      </c>
      <c r="N501" t="s">
        <v>26</v>
      </c>
      <c r="O501" t="s">
        <v>26</v>
      </c>
      <c r="P501">
        <v>1</v>
      </c>
      <c r="Q501">
        <v>1</v>
      </c>
      <c r="R501">
        <v>0</v>
      </c>
      <c r="S501">
        <v>1</v>
      </c>
      <c r="T501">
        <v>23.0457</v>
      </c>
      <c r="U501">
        <v>0.33329999999999999</v>
      </c>
      <c r="V501">
        <v>1</v>
      </c>
      <c r="W501">
        <f>E501/100</f>
        <v>0.03</v>
      </c>
      <c r="X501">
        <f>F501/1000000</f>
        <v>4.3392E-2</v>
      </c>
      <c r="Y501">
        <f>IF(D501="C",1,0)</f>
        <v>0</v>
      </c>
      <c r="Z501">
        <f>IF(G501="C",1,0)</f>
        <v>1</v>
      </c>
      <c r="AA501">
        <f>IF(G501="S",1,0)</f>
        <v>0</v>
      </c>
      <c r="AB501">
        <f>IF(G501="U",1,0)</f>
        <v>0</v>
      </c>
      <c r="AC501" s="5">
        <f>IF(AND(ISNUMBER(H501),NOT(ISNUMBER(P501))),1,0)</f>
        <v>0</v>
      </c>
      <c r="AD501" s="5">
        <f>IF(AND(ISNUMBER(H501),ISNUMBER(P501)),1,0)</f>
        <v>0</v>
      </c>
      <c r="AE501" s="5">
        <f>W501</f>
        <v>0.03</v>
      </c>
      <c r="AF501" s="5">
        <f>X501</f>
        <v>4.3392E-2</v>
      </c>
      <c r="AG501" s="5">
        <f>Y501</f>
        <v>0</v>
      </c>
      <c r="AH501" s="5">
        <f>IF(OR(G501="C",G501="S",G501="U"),1,0)</f>
        <v>1</v>
      </c>
      <c r="AI501" s="5">
        <f>IF(ISNUMBER(H501),1,0)</f>
        <v>0</v>
      </c>
      <c r="AJ501" s="5">
        <f>IF(ISNUMBER(P501),1,0)</f>
        <v>1</v>
      </c>
      <c r="AK501" s="5" t="str">
        <f>IF(AI501=1,IF(J501&gt;0,1,0),"")</f>
        <v/>
      </c>
      <c r="AL501" s="5">
        <f>IF(AJ501=1,IF(OR(Q501&gt;0,R501&gt;0),1,0),"")</f>
        <v>1</v>
      </c>
    </row>
    <row r="502" spans="1:38">
      <c r="A502">
        <v>514648</v>
      </c>
      <c r="B502" t="s">
        <v>635</v>
      </c>
      <c r="C502" t="s">
        <v>23</v>
      </c>
      <c r="D502" t="s">
        <v>24</v>
      </c>
      <c r="E502">
        <v>29</v>
      </c>
      <c r="F502">
        <v>2038234</v>
      </c>
      <c r="G502" t="s">
        <v>419</v>
      </c>
      <c r="H502" t="s">
        <v>26</v>
      </c>
      <c r="I502" t="s">
        <v>26</v>
      </c>
      <c r="J502" t="s">
        <v>26</v>
      </c>
      <c r="K502" t="s">
        <v>26</v>
      </c>
      <c r="L502" t="s">
        <v>26</v>
      </c>
      <c r="M502" t="s">
        <v>26</v>
      </c>
      <c r="N502" t="s">
        <v>26</v>
      </c>
      <c r="O502" t="s">
        <v>26</v>
      </c>
      <c r="P502">
        <v>1</v>
      </c>
      <c r="Q502">
        <v>0</v>
      </c>
      <c r="R502">
        <v>0</v>
      </c>
      <c r="S502">
        <v>1</v>
      </c>
      <c r="T502">
        <v>0.49059999999999998</v>
      </c>
      <c r="U502">
        <v>3.4500000000000003E-2</v>
      </c>
      <c r="V502">
        <v>0</v>
      </c>
      <c r="W502">
        <f>E502/100</f>
        <v>0.28999999999999998</v>
      </c>
      <c r="X502">
        <f>F502/1000000</f>
        <v>2.0382340000000001</v>
      </c>
      <c r="Y502">
        <f>IF(D502="C",1,0)</f>
        <v>0</v>
      </c>
      <c r="Z502">
        <f>IF(G502="C",1,0)</f>
        <v>0</v>
      </c>
      <c r="AA502">
        <f>IF(G502="S",1,0)</f>
        <v>0</v>
      </c>
      <c r="AB502">
        <f>IF(G502="U",1,0)</f>
        <v>1</v>
      </c>
      <c r="AC502" s="5">
        <f>IF(AND(ISNUMBER(H502),NOT(ISNUMBER(P502))),1,0)</f>
        <v>0</v>
      </c>
      <c r="AD502" s="5">
        <f>IF(AND(ISNUMBER(H502),ISNUMBER(P502)),1,0)</f>
        <v>0</v>
      </c>
      <c r="AE502" s="5">
        <f>W502</f>
        <v>0.28999999999999998</v>
      </c>
      <c r="AF502" s="5">
        <f>X502</f>
        <v>2.0382340000000001</v>
      </c>
      <c r="AG502" s="5">
        <f>Y502</f>
        <v>0</v>
      </c>
      <c r="AH502" s="5">
        <f>IF(OR(G502="C",G502="S",G502="U"),1,0)</f>
        <v>1</v>
      </c>
      <c r="AI502" s="5">
        <f>IF(ISNUMBER(H502),1,0)</f>
        <v>0</v>
      </c>
      <c r="AJ502" s="5">
        <f>IF(ISNUMBER(P502),1,0)</f>
        <v>1</v>
      </c>
      <c r="AK502" s="5" t="str">
        <f>IF(AI502=1,IF(J502&gt;0,1,0),"")</f>
        <v/>
      </c>
      <c r="AL502" s="5">
        <f>IF(AJ502=1,IF(OR(Q502&gt;0,R502&gt;0),1,0),"")</f>
        <v>0</v>
      </c>
    </row>
    <row r="503" spans="1:38">
      <c r="A503">
        <v>516954</v>
      </c>
      <c r="B503" t="s">
        <v>639</v>
      </c>
      <c r="C503" t="s">
        <v>37</v>
      </c>
      <c r="D503" t="s">
        <v>24</v>
      </c>
      <c r="E503">
        <v>10</v>
      </c>
      <c r="F503">
        <v>740150</v>
      </c>
      <c r="G503" t="s">
        <v>33</v>
      </c>
      <c r="H503" t="s">
        <v>26</v>
      </c>
      <c r="I503" t="s">
        <v>26</v>
      </c>
      <c r="J503" t="s">
        <v>26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>
        <v>1</v>
      </c>
      <c r="Q503">
        <v>0</v>
      </c>
      <c r="R503">
        <v>0</v>
      </c>
      <c r="S503">
        <v>1</v>
      </c>
      <c r="T503">
        <v>1.3511</v>
      </c>
      <c r="U503">
        <v>0.1</v>
      </c>
      <c r="V503">
        <v>0</v>
      </c>
      <c r="W503">
        <f>E503/100</f>
        <v>0.1</v>
      </c>
      <c r="X503">
        <f>F503/1000000</f>
        <v>0.74014999999999997</v>
      </c>
      <c r="Y503">
        <f>IF(D503="C",1,0)</f>
        <v>0</v>
      </c>
      <c r="Z503">
        <f>IF(G503="C",1,0)</f>
        <v>1</v>
      </c>
      <c r="AA503">
        <f>IF(G503="S",1,0)</f>
        <v>0</v>
      </c>
      <c r="AB503">
        <f>IF(G503="U",1,0)</f>
        <v>0</v>
      </c>
      <c r="AC503" s="5">
        <f>IF(AND(ISNUMBER(H503),NOT(ISNUMBER(P503))),1,0)</f>
        <v>0</v>
      </c>
      <c r="AD503" s="5">
        <f>IF(AND(ISNUMBER(H503),ISNUMBER(P503)),1,0)</f>
        <v>0</v>
      </c>
      <c r="AE503" s="5">
        <f>W503</f>
        <v>0.1</v>
      </c>
      <c r="AF503" s="5">
        <f>X503</f>
        <v>0.74014999999999997</v>
      </c>
      <c r="AG503" s="5">
        <f>Y503</f>
        <v>0</v>
      </c>
      <c r="AH503" s="5">
        <f>IF(OR(G503="C",G503="S",G503="U"),1,0)</f>
        <v>1</v>
      </c>
      <c r="AI503" s="5">
        <f>IF(ISNUMBER(H503),1,0)</f>
        <v>0</v>
      </c>
      <c r="AJ503" s="5">
        <f>IF(ISNUMBER(P503),1,0)</f>
        <v>1</v>
      </c>
      <c r="AK503" s="5" t="str">
        <f>IF(AI503=1,IF(J503&gt;0,1,0),"")</f>
        <v/>
      </c>
      <c r="AL503" s="5">
        <f>IF(AJ503=1,IF(OR(Q503&gt;0,R503&gt;0),1,0),"")</f>
        <v>0</v>
      </c>
    </row>
    <row r="504" spans="1:38">
      <c r="A504">
        <v>519535</v>
      </c>
      <c r="B504" t="s">
        <v>640</v>
      </c>
      <c r="C504" t="s">
        <v>37</v>
      </c>
      <c r="D504" t="s">
        <v>24</v>
      </c>
      <c r="E504">
        <v>15</v>
      </c>
      <c r="F504">
        <v>978099</v>
      </c>
      <c r="G504" t="s">
        <v>25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26</v>
      </c>
      <c r="O504" t="s">
        <v>26</v>
      </c>
      <c r="P504">
        <v>1</v>
      </c>
      <c r="Q504">
        <v>0</v>
      </c>
      <c r="R504">
        <v>0</v>
      </c>
      <c r="S504">
        <v>1</v>
      </c>
      <c r="T504">
        <v>1.0224</v>
      </c>
      <c r="U504">
        <v>6.6699999999999995E-2</v>
      </c>
      <c r="V504">
        <v>0</v>
      </c>
      <c r="W504">
        <f>E504/100</f>
        <v>0.15</v>
      </c>
      <c r="X504">
        <f>F504/1000000</f>
        <v>0.97809900000000005</v>
      </c>
      <c r="Y504">
        <f>IF(D504="C",1,0)</f>
        <v>0</v>
      </c>
      <c r="Z504">
        <f>IF(G504="C",1,0)</f>
        <v>0</v>
      </c>
      <c r="AA504">
        <f>IF(G504="S",1,0)</f>
        <v>1</v>
      </c>
      <c r="AB504">
        <f>IF(G504="U",1,0)</f>
        <v>0</v>
      </c>
      <c r="AC504" s="5">
        <f>IF(AND(ISNUMBER(H504),NOT(ISNUMBER(P504))),1,0)</f>
        <v>0</v>
      </c>
      <c r="AD504" s="5">
        <f>IF(AND(ISNUMBER(H504),ISNUMBER(P504)),1,0)</f>
        <v>0</v>
      </c>
      <c r="AE504" s="5">
        <f>W504</f>
        <v>0.15</v>
      </c>
      <c r="AF504" s="5">
        <f>X504</f>
        <v>0.97809900000000005</v>
      </c>
      <c r="AG504" s="5">
        <f>Y504</f>
        <v>0</v>
      </c>
      <c r="AH504" s="5">
        <f>IF(OR(G504="C",G504="S",G504="U"),1,0)</f>
        <v>1</v>
      </c>
      <c r="AI504" s="5">
        <f>IF(ISNUMBER(H504),1,0)</f>
        <v>0</v>
      </c>
      <c r="AJ504" s="5">
        <f>IF(ISNUMBER(P504),1,0)</f>
        <v>1</v>
      </c>
      <c r="AK504" s="5" t="str">
        <f>IF(AI504=1,IF(J504&gt;0,1,0),"")</f>
        <v/>
      </c>
      <c r="AL504" s="5">
        <f>IF(AJ504=1,IF(OR(Q504&gt;0,R504&gt;0),1,0),"")</f>
        <v>0</v>
      </c>
    </row>
    <row r="505" spans="1:38">
      <c r="A505">
        <v>520247</v>
      </c>
      <c r="B505" t="s">
        <v>641</v>
      </c>
      <c r="C505" t="s">
        <v>82</v>
      </c>
      <c r="D505" t="s">
        <v>24</v>
      </c>
      <c r="E505">
        <v>5</v>
      </c>
      <c r="F505">
        <v>279686</v>
      </c>
      <c r="H505" t="s">
        <v>26</v>
      </c>
      <c r="I505" t="s">
        <v>26</v>
      </c>
      <c r="J505" t="s">
        <v>26</v>
      </c>
      <c r="K505" t="s">
        <v>26</v>
      </c>
      <c r="L505" t="s">
        <v>26</v>
      </c>
      <c r="M505" t="s">
        <v>26</v>
      </c>
      <c r="N505" t="s">
        <v>26</v>
      </c>
      <c r="O505" t="s">
        <v>26</v>
      </c>
      <c r="P505">
        <v>1</v>
      </c>
      <c r="Q505">
        <v>0</v>
      </c>
      <c r="R505">
        <v>1</v>
      </c>
      <c r="S505">
        <v>0</v>
      </c>
      <c r="T505">
        <v>3.5754000000000001</v>
      </c>
      <c r="U505">
        <v>0.2</v>
      </c>
      <c r="V505">
        <v>1</v>
      </c>
      <c r="W505">
        <f>E505/100</f>
        <v>0.05</v>
      </c>
      <c r="X505">
        <f>F505/1000000</f>
        <v>0.27968599999999999</v>
      </c>
      <c r="Y505">
        <f>IF(D505="C",1,0)</f>
        <v>0</v>
      </c>
      <c r="Z505">
        <f>IF(G505="C",1,0)</f>
        <v>0</v>
      </c>
      <c r="AA505">
        <f>IF(G505="S",1,0)</f>
        <v>0</v>
      </c>
      <c r="AB505">
        <f>IF(G505="U",1,0)</f>
        <v>0</v>
      </c>
      <c r="AC505" s="5">
        <f>IF(AND(ISNUMBER(H505),NOT(ISNUMBER(P505))),1,0)</f>
        <v>0</v>
      </c>
      <c r="AD505" s="5">
        <f>IF(AND(ISNUMBER(H505),ISNUMBER(P505)),1,0)</f>
        <v>0</v>
      </c>
      <c r="AE505" s="5">
        <f>W505</f>
        <v>0.05</v>
      </c>
      <c r="AF505" s="5">
        <f>X505</f>
        <v>0.27968599999999999</v>
      </c>
      <c r="AG505" s="5">
        <f>Y505</f>
        <v>0</v>
      </c>
      <c r="AH505" s="5">
        <f>IF(OR(G505="C",G505="S",G505="U"),1,0)</f>
        <v>0</v>
      </c>
      <c r="AI505" s="5">
        <f>IF(ISNUMBER(H505),1,0)</f>
        <v>0</v>
      </c>
      <c r="AJ505" s="5">
        <f>IF(ISNUMBER(P505),1,0)</f>
        <v>1</v>
      </c>
      <c r="AK505" s="5" t="str">
        <f>IF(AI505=1,IF(J505&gt;0,1,0),"")</f>
        <v/>
      </c>
      <c r="AL505" s="5">
        <f>IF(AJ505=1,IF(OR(Q505&gt;0,R505&gt;0),1,0),"")</f>
        <v>1</v>
      </c>
    </row>
    <row r="506" spans="1:38">
      <c r="A506">
        <v>520363</v>
      </c>
      <c r="B506" t="s">
        <v>642</v>
      </c>
      <c r="C506" t="s">
        <v>82</v>
      </c>
      <c r="D506" t="s">
        <v>24</v>
      </c>
      <c r="E506">
        <v>1</v>
      </c>
      <c r="F506">
        <v>40000</v>
      </c>
      <c r="H506" t="s">
        <v>26</v>
      </c>
      <c r="I506" t="s">
        <v>26</v>
      </c>
      <c r="J506" t="s">
        <v>26</v>
      </c>
      <c r="K506" t="s">
        <v>26</v>
      </c>
      <c r="L506" t="s">
        <v>26</v>
      </c>
      <c r="M506" t="s">
        <v>26</v>
      </c>
      <c r="N506" t="s">
        <v>26</v>
      </c>
      <c r="O506" t="s">
        <v>26</v>
      </c>
      <c r="P506">
        <v>1</v>
      </c>
      <c r="Q506">
        <v>0</v>
      </c>
      <c r="R506">
        <v>0</v>
      </c>
      <c r="S506">
        <v>1</v>
      </c>
      <c r="T506">
        <v>25</v>
      </c>
      <c r="U506">
        <v>1</v>
      </c>
      <c r="V506">
        <v>0</v>
      </c>
      <c r="W506">
        <f>E506/100</f>
        <v>0.01</v>
      </c>
      <c r="X506">
        <f>F506/1000000</f>
        <v>0.04</v>
      </c>
      <c r="Y506">
        <f>IF(D506="C",1,0)</f>
        <v>0</v>
      </c>
      <c r="Z506">
        <f>IF(G506="C",1,0)</f>
        <v>0</v>
      </c>
      <c r="AA506">
        <f>IF(G506="S",1,0)</f>
        <v>0</v>
      </c>
      <c r="AB506">
        <f>IF(G506="U",1,0)</f>
        <v>0</v>
      </c>
      <c r="AC506" s="5">
        <f>IF(AND(ISNUMBER(H506),NOT(ISNUMBER(P506))),1,0)</f>
        <v>0</v>
      </c>
      <c r="AD506" s="5">
        <f>IF(AND(ISNUMBER(H506),ISNUMBER(P506)),1,0)</f>
        <v>0</v>
      </c>
      <c r="AE506" s="5">
        <f>W506</f>
        <v>0.01</v>
      </c>
      <c r="AF506" s="5">
        <f>X506</f>
        <v>0.04</v>
      </c>
      <c r="AG506" s="5">
        <f>Y506</f>
        <v>0</v>
      </c>
      <c r="AH506" s="5">
        <f>IF(OR(G506="C",G506="S",G506="U"),1,0)</f>
        <v>0</v>
      </c>
      <c r="AI506" s="5">
        <f>IF(ISNUMBER(H506),1,0)</f>
        <v>0</v>
      </c>
      <c r="AJ506" s="5">
        <f>IF(ISNUMBER(P506),1,0)</f>
        <v>1</v>
      </c>
      <c r="AK506" s="5" t="str">
        <f>IF(AI506=1,IF(J506&gt;0,1,0),"")</f>
        <v/>
      </c>
      <c r="AL506" s="5">
        <f>IF(AJ506=1,IF(OR(Q506&gt;0,R506&gt;0),1,0),"")</f>
        <v>0</v>
      </c>
    </row>
    <row r="507" spans="1:38">
      <c r="A507">
        <v>521371</v>
      </c>
      <c r="B507" t="s">
        <v>643</v>
      </c>
      <c r="C507" t="s">
        <v>23</v>
      </c>
      <c r="D507" t="s">
        <v>24</v>
      </c>
      <c r="E507">
        <v>7</v>
      </c>
      <c r="F507">
        <v>616000</v>
      </c>
      <c r="G507" t="s">
        <v>25</v>
      </c>
      <c r="H507" t="s">
        <v>26</v>
      </c>
      <c r="I507" t="s">
        <v>26</v>
      </c>
      <c r="J507" t="s">
        <v>26</v>
      </c>
      <c r="K507" t="s">
        <v>26</v>
      </c>
      <c r="L507" t="s">
        <v>26</v>
      </c>
      <c r="M507" t="s">
        <v>26</v>
      </c>
      <c r="N507" t="s">
        <v>26</v>
      </c>
      <c r="O507" t="s">
        <v>26</v>
      </c>
      <c r="P507">
        <v>1</v>
      </c>
      <c r="Q507">
        <v>0</v>
      </c>
      <c r="R507">
        <v>1</v>
      </c>
      <c r="S507">
        <v>1</v>
      </c>
      <c r="T507">
        <v>1.6234</v>
      </c>
      <c r="U507">
        <v>0.1429</v>
      </c>
      <c r="V507">
        <v>1</v>
      </c>
      <c r="W507">
        <f>E507/100</f>
        <v>7.0000000000000007E-2</v>
      </c>
      <c r="X507">
        <f>F507/1000000</f>
        <v>0.61599999999999999</v>
      </c>
      <c r="Y507">
        <f>IF(D507="C",1,0)</f>
        <v>0</v>
      </c>
      <c r="Z507">
        <f>IF(G507="C",1,0)</f>
        <v>0</v>
      </c>
      <c r="AA507">
        <f>IF(G507="S",1,0)</f>
        <v>1</v>
      </c>
      <c r="AB507">
        <f>IF(G507="U",1,0)</f>
        <v>0</v>
      </c>
      <c r="AC507" s="5">
        <f>IF(AND(ISNUMBER(H507),NOT(ISNUMBER(P507))),1,0)</f>
        <v>0</v>
      </c>
      <c r="AD507" s="5">
        <f>IF(AND(ISNUMBER(H507),ISNUMBER(P507)),1,0)</f>
        <v>0</v>
      </c>
      <c r="AE507" s="5">
        <f>W507</f>
        <v>7.0000000000000007E-2</v>
      </c>
      <c r="AF507" s="5">
        <f>X507</f>
        <v>0.61599999999999999</v>
      </c>
      <c r="AG507" s="5">
        <f>Y507</f>
        <v>0</v>
      </c>
      <c r="AH507" s="5">
        <f>IF(OR(G507="C",G507="S",G507="U"),1,0)</f>
        <v>1</v>
      </c>
      <c r="AI507" s="5">
        <f>IF(ISNUMBER(H507),1,0)</f>
        <v>0</v>
      </c>
      <c r="AJ507" s="5">
        <f>IF(ISNUMBER(P507),1,0)</f>
        <v>1</v>
      </c>
      <c r="AK507" s="5" t="str">
        <f>IF(AI507=1,IF(J507&gt;0,1,0),"")</f>
        <v/>
      </c>
      <c r="AL507" s="5">
        <f>IF(AJ507=1,IF(OR(Q507&gt;0,R507&gt;0),1,0),"")</f>
        <v>1</v>
      </c>
    </row>
    <row r="508" spans="1:38">
      <c r="A508">
        <v>522703</v>
      </c>
      <c r="B508" t="s">
        <v>644</v>
      </c>
      <c r="C508" t="s">
        <v>23</v>
      </c>
      <c r="D508" t="s">
        <v>24</v>
      </c>
      <c r="E508">
        <v>1</v>
      </c>
      <c r="F508">
        <v>14148</v>
      </c>
      <c r="H508" t="s">
        <v>26</v>
      </c>
      <c r="I508" t="s">
        <v>26</v>
      </c>
      <c r="J508" t="s">
        <v>26</v>
      </c>
      <c r="K508" t="s">
        <v>26</v>
      </c>
      <c r="L508" t="s">
        <v>26</v>
      </c>
      <c r="M508" t="s">
        <v>26</v>
      </c>
      <c r="N508" t="s">
        <v>26</v>
      </c>
      <c r="O508" t="s">
        <v>26</v>
      </c>
      <c r="P508">
        <v>1</v>
      </c>
      <c r="Q508">
        <v>0</v>
      </c>
      <c r="R508">
        <v>1</v>
      </c>
      <c r="S508">
        <v>1</v>
      </c>
      <c r="T508">
        <v>70.681399999999996</v>
      </c>
      <c r="U508">
        <v>1</v>
      </c>
      <c r="V508">
        <v>1</v>
      </c>
      <c r="W508">
        <f>E508/100</f>
        <v>0.01</v>
      </c>
      <c r="X508">
        <f>F508/1000000</f>
        <v>1.4148000000000001E-2</v>
      </c>
      <c r="Y508">
        <f>IF(D508="C",1,0)</f>
        <v>0</v>
      </c>
      <c r="Z508">
        <f>IF(G508="C",1,0)</f>
        <v>0</v>
      </c>
      <c r="AA508">
        <f>IF(G508="S",1,0)</f>
        <v>0</v>
      </c>
      <c r="AB508">
        <f>IF(G508="U",1,0)</f>
        <v>0</v>
      </c>
      <c r="AC508" s="5">
        <f>IF(AND(ISNUMBER(H508),NOT(ISNUMBER(P508))),1,0)</f>
        <v>0</v>
      </c>
      <c r="AD508" s="5">
        <f>IF(AND(ISNUMBER(H508),ISNUMBER(P508)),1,0)</f>
        <v>0</v>
      </c>
      <c r="AE508" s="5">
        <f>W508</f>
        <v>0.01</v>
      </c>
      <c r="AF508" s="5">
        <f>X508</f>
        <v>1.4148000000000001E-2</v>
      </c>
      <c r="AG508" s="5">
        <f>Y508</f>
        <v>0</v>
      </c>
      <c r="AH508" s="5">
        <f>IF(OR(G508="C",G508="S",G508="U"),1,0)</f>
        <v>0</v>
      </c>
      <c r="AI508" s="5">
        <f>IF(ISNUMBER(H508),1,0)</f>
        <v>0</v>
      </c>
      <c r="AJ508" s="5">
        <f>IF(ISNUMBER(P508),1,0)</f>
        <v>1</v>
      </c>
      <c r="AK508" s="5" t="str">
        <f>IF(AI508=1,IF(J508&gt;0,1,0),"")</f>
        <v/>
      </c>
      <c r="AL508" s="5">
        <f>IF(AJ508=1,IF(OR(Q508&gt;0,R508&gt;0),1,0),"")</f>
        <v>1</v>
      </c>
    </row>
    <row r="509" spans="1:38">
      <c r="A509">
        <v>523327</v>
      </c>
      <c r="B509" t="s">
        <v>645</v>
      </c>
      <c r="C509" t="s">
        <v>23</v>
      </c>
      <c r="D509" t="s">
        <v>24</v>
      </c>
      <c r="E509">
        <v>30</v>
      </c>
      <c r="F509">
        <v>3347795</v>
      </c>
      <c r="G509" t="s">
        <v>33</v>
      </c>
      <c r="H509" t="s">
        <v>26</v>
      </c>
      <c r="I509" t="s">
        <v>26</v>
      </c>
      <c r="J509" t="s">
        <v>26</v>
      </c>
      <c r="K509" t="s">
        <v>26</v>
      </c>
      <c r="L509" t="s">
        <v>26</v>
      </c>
      <c r="M509" t="s">
        <v>26</v>
      </c>
      <c r="N509" t="s">
        <v>26</v>
      </c>
      <c r="O509" t="s">
        <v>26</v>
      </c>
      <c r="P509">
        <v>1</v>
      </c>
      <c r="Q509">
        <v>0</v>
      </c>
      <c r="R509">
        <v>1</v>
      </c>
      <c r="S509">
        <v>1</v>
      </c>
      <c r="T509">
        <v>0.29870000000000002</v>
      </c>
      <c r="U509">
        <v>3.3300000000000003E-2</v>
      </c>
      <c r="V509">
        <v>1</v>
      </c>
      <c r="W509">
        <f>E509/100</f>
        <v>0.3</v>
      </c>
      <c r="X509">
        <f>F509/1000000</f>
        <v>3.3477950000000001</v>
      </c>
      <c r="Y509">
        <f>IF(D509="C",1,0)</f>
        <v>0</v>
      </c>
      <c r="Z509">
        <f>IF(G509="C",1,0)</f>
        <v>1</v>
      </c>
      <c r="AA509">
        <f>IF(G509="S",1,0)</f>
        <v>0</v>
      </c>
      <c r="AB509">
        <f>IF(G509="U",1,0)</f>
        <v>0</v>
      </c>
      <c r="AC509" s="5">
        <f>IF(AND(ISNUMBER(H509),NOT(ISNUMBER(P509))),1,0)</f>
        <v>0</v>
      </c>
      <c r="AD509" s="5">
        <f>IF(AND(ISNUMBER(H509),ISNUMBER(P509)),1,0)</f>
        <v>0</v>
      </c>
      <c r="AE509" s="5">
        <f>W509</f>
        <v>0.3</v>
      </c>
      <c r="AF509" s="5">
        <f>X509</f>
        <v>3.3477950000000001</v>
      </c>
      <c r="AG509" s="5">
        <f>Y509</f>
        <v>0</v>
      </c>
      <c r="AH509" s="5">
        <f>IF(OR(G509="C",G509="S",G509="U"),1,0)</f>
        <v>1</v>
      </c>
      <c r="AI509" s="5">
        <f>IF(ISNUMBER(H509),1,0)</f>
        <v>0</v>
      </c>
      <c r="AJ509" s="5">
        <f>IF(ISNUMBER(P509),1,0)</f>
        <v>1</v>
      </c>
      <c r="AK509" s="5" t="str">
        <f>IF(AI509=1,IF(J509&gt;0,1,0),"")</f>
        <v/>
      </c>
      <c r="AL509" s="5">
        <f>IF(AJ509=1,IF(OR(Q509&gt;0,R509&gt;0),1,0),"")</f>
        <v>1</v>
      </c>
    </row>
    <row r="510" spans="1:38">
      <c r="A510">
        <v>523394</v>
      </c>
      <c r="B510" t="s">
        <v>646</v>
      </c>
      <c r="C510" t="s">
        <v>82</v>
      </c>
      <c r="D510" t="s">
        <v>24</v>
      </c>
      <c r="E510">
        <v>24</v>
      </c>
      <c r="F510">
        <v>446925</v>
      </c>
      <c r="H510" t="s">
        <v>26</v>
      </c>
      <c r="I510" t="s">
        <v>26</v>
      </c>
      <c r="J510" t="s">
        <v>26</v>
      </c>
      <c r="K510" t="s">
        <v>26</v>
      </c>
      <c r="L510" t="s">
        <v>26</v>
      </c>
      <c r="M510" t="s">
        <v>26</v>
      </c>
      <c r="N510" t="s">
        <v>26</v>
      </c>
      <c r="O510" t="s">
        <v>26</v>
      </c>
      <c r="P510">
        <v>1</v>
      </c>
      <c r="Q510">
        <v>0</v>
      </c>
      <c r="R510">
        <v>0</v>
      </c>
      <c r="S510">
        <v>1</v>
      </c>
      <c r="T510">
        <v>2.2374999999999998</v>
      </c>
      <c r="U510">
        <v>4.1700000000000001E-2</v>
      </c>
      <c r="V510">
        <v>0</v>
      </c>
      <c r="W510">
        <f>E510/100</f>
        <v>0.24</v>
      </c>
      <c r="X510">
        <f>F510/1000000</f>
        <v>0.44692500000000002</v>
      </c>
      <c r="Y510">
        <f>IF(D510="C",1,0)</f>
        <v>0</v>
      </c>
      <c r="Z510">
        <f>IF(G510="C",1,0)</f>
        <v>0</v>
      </c>
      <c r="AA510">
        <f>IF(G510="S",1,0)</f>
        <v>0</v>
      </c>
      <c r="AB510">
        <f>IF(G510="U",1,0)</f>
        <v>0</v>
      </c>
      <c r="AC510" s="5">
        <f>IF(AND(ISNUMBER(H510),NOT(ISNUMBER(P510))),1,0)</f>
        <v>0</v>
      </c>
      <c r="AD510" s="5">
        <f>IF(AND(ISNUMBER(H510),ISNUMBER(P510)),1,0)</f>
        <v>0</v>
      </c>
      <c r="AE510" s="5">
        <f>W510</f>
        <v>0.24</v>
      </c>
      <c r="AF510" s="5">
        <f>X510</f>
        <v>0.44692500000000002</v>
      </c>
      <c r="AG510" s="5">
        <f>Y510</f>
        <v>0</v>
      </c>
      <c r="AH510" s="5">
        <f>IF(OR(G510="C",G510="S",G510="U"),1,0)</f>
        <v>0</v>
      </c>
      <c r="AI510" s="5">
        <f>IF(ISNUMBER(H510),1,0)</f>
        <v>0</v>
      </c>
      <c r="AJ510" s="5">
        <f>IF(ISNUMBER(P510),1,0)</f>
        <v>1</v>
      </c>
      <c r="AK510" s="5" t="str">
        <f>IF(AI510=1,IF(J510&gt;0,1,0),"")</f>
        <v/>
      </c>
      <c r="AL510" s="5">
        <f>IF(AJ510=1,IF(OR(Q510&gt;0,R510&gt;0),1,0),"")</f>
        <v>0</v>
      </c>
    </row>
    <row r="511" spans="1:38">
      <c r="A511">
        <v>523946</v>
      </c>
      <c r="B511" t="s">
        <v>648</v>
      </c>
      <c r="C511" t="s">
        <v>37</v>
      </c>
      <c r="D511" t="s">
        <v>24</v>
      </c>
      <c r="E511">
        <v>84</v>
      </c>
      <c r="F511">
        <v>8500000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>
        <v>1</v>
      </c>
      <c r="Q511">
        <v>0</v>
      </c>
      <c r="R511">
        <v>1</v>
      </c>
      <c r="S511">
        <v>1</v>
      </c>
      <c r="T511">
        <v>0.1176</v>
      </c>
      <c r="U511">
        <v>1.1900000000000001E-2</v>
      </c>
      <c r="V511">
        <v>1</v>
      </c>
      <c r="W511">
        <f>E511/100</f>
        <v>0.84</v>
      </c>
      <c r="X511">
        <f>F511/1000000</f>
        <v>8.5</v>
      </c>
      <c r="Y511">
        <f>IF(D511="C",1,0)</f>
        <v>0</v>
      </c>
      <c r="Z511">
        <f>IF(G511="C",1,0)</f>
        <v>0</v>
      </c>
      <c r="AA511">
        <f>IF(G511="S",1,0)</f>
        <v>0</v>
      </c>
      <c r="AB511">
        <f>IF(G511="U",1,0)</f>
        <v>0</v>
      </c>
      <c r="AC511" s="5">
        <f>IF(AND(ISNUMBER(H511),NOT(ISNUMBER(P511))),1,0)</f>
        <v>0</v>
      </c>
      <c r="AD511" s="5">
        <f>IF(AND(ISNUMBER(H511),ISNUMBER(P511)),1,0)</f>
        <v>0</v>
      </c>
      <c r="AE511" s="5">
        <f>W511</f>
        <v>0.84</v>
      </c>
      <c r="AF511" s="5">
        <f>X511</f>
        <v>8.5</v>
      </c>
      <c r="AG511" s="5">
        <f>Y511</f>
        <v>0</v>
      </c>
      <c r="AH511" s="5">
        <f>IF(OR(G511="C",G511="S",G511="U"),1,0)</f>
        <v>0</v>
      </c>
      <c r="AI511" s="5">
        <f>IF(ISNUMBER(H511),1,0)</f>
        <v>0</v>
      </c>
      <c r="AJ511" s="5">
        <f>IF(ISNUMBER(P511),1,0)</f>
        <v>1</v>
      </c>
      <c r="AK511" s="5" t="str">
        <f>IF(AI511=1,IF(J511&gt;0,1,0),"")</f>
        <v/>
      </c>
      <c r="AL511" s="5">
        <f>IF(AJ511=1,IF(OR(Q511&gt;0,R511&gt;0),1,0),"")</f>
        <v>1</v>
      </c>
    </row>
    <row r="512" spans="1:38">
      <c r="A512">
        <v>523978</v>
      </c>
      <c r="B512" t="s">
        <v>649</v>
      </c>
      <c r="C512" t="s">
        <v>338</v>
      </c>
      <c r="D512" t="s">
        <v>24</v>
      </c>
      <c r="E512">
        <v>22</v>
      </c>
      <c r="F512">
        <v>2368000</v>
      </c>
      <c r="G512" t="s">
        <v>33</v>
      </c>
      <c r="H512" t="s">
        <v>26</v>
      </c>
      <c r="I512" t="s">
        <v>26</v>
      </c>
      <c r="J512" t="s">
        <v>26</v>
      </c>
      <c r="K512" t="s">
        <v>26</v>
      </c>
      <c r="L512" t="s">
        <v>26</v>
      </c>
      <c r="M512" t="s">
        <v>26</v>
      </c>
      <c r="N512" t="s">
        <v>26</v>
      </c>
      <c r="O512" t="s">
        <v>26</v>
      </c>
      <c r="P512">
        <v>1</v>
      </c>
      <c r="Q512">
        <v>0</v>
      </c>
      <c r="R512">
        <v>1</v>
      </c>
      <c r="S512">
        <v>1</v>
      </c>
      <c r="T512">
        <v>0.42230000000000001</v>
      </c>
      <c r="U512">
        <v>4.5499999999999999E-2</v>
      </c>
      <c r="V512">
        <v>1</v>
      </c>
      <c r="W512">
        <f>E512/100</f>
        <v>0.22</v>
      </c>
      <c r="X512">
        <f>F512/1000000</f>
        <v>2.3679999999999999</v>
      </c>
      <c r="Y512">
        <f>IF(D512="C",1,0)</f>
        <v>0</v>
      </c>
      <c r="Z512">
        <f>IF(G512="C",1,0)</f>
        <v>1</v>
      </c>
      <c r="AA512">
        <f>IF(G512="S",1,0)</f>
        <v>0</v>
      </c>
      <c r="AB512">
        <f>IF(G512="U",1,0)</f>
        <v>0</v>
      </c>
      <c r="AC512" s="5">
        <f>IF(AND(ISNUMBER(H512),NOT(ISNUMBER(P512))),1,0)</f>
        <v>0</v>
      </c>
      <c r="AD512" s="5">
        <f>IF(AND(ISNUMBER(H512),ISNUMBER(P512)),1,0)</f>
        <v>0</v>
      </c>
      <c r="AE512" s="5">
        <f>W512</f>
        <v>0.22</v>
      </c>
      <c r="AF512" s="5">
        <f>X512</f>
        <v>2.3679999999999999</v>
      </c>
      <c r="AG512" s="5">
        <f>Y512</f>
        <v>0</v>
      </c>
      <c r="AH512" s="5">
        <f>IF(OR(G512="C",G512="S",G512="U"),1,0)</f>
        <v>1</v>
      </c>
      <c r="AI512" s="5">
        <f>IF(ISNUMBER(H512),1,0)</f>
        <v>0</v>
      </c>
      <c r="AJ512" s="5">
        <f>IF(ISNUMBER(P512),1,0)</f>
        <v>1</v>
      </c>
      <c r="AK512" s="5" t="str">
        <f>IF(AI512=1,IF(J512&gt;0,1,0),"")</f>
        <v/>
      </c>
      <c r="AL512" s="5">
        <f>IF(AJ512=1,IF(OR(Q512&gt;0,R512&gt;0),1,0),"")</f>
        <v>1</v>
      </c>
    </row>
    <row r="513" spans="1:38">
      <c r="A513">
        <v>524811</v>
      </c>
      <c r="B513" t="s">
        <v>650</v>
      </c>
      <c r="C513" t="s">
        <v>23</v>
      </c>
      <c r="D513" t="s">
        <v>24</v>
      </c>
      <c r="E513">
        <v>1</v>
      </c>
      <c r="F513">
        <v>40000</v>
      </c>
      <c r="G513" t="s">
        <v>25</v>
      </c>
      <c r="H513" t="s">
        <v>26</v>
      </c>
      <c r="I513" t="s">
        <v>26</v>
      </c>
      <c r="J513" t="s">
        <v>26</v>
      </c>
      <c r="K513" t="s">
        <v>26</v>
      </c>
      <c r="L513" t="s">
        <v>26</v>
      </c>
      <c r="M513" t="s">
        <v>26</v>
      </c>
      <c r="N513" t="s">
        <v>26</v>
      </c>
      <c r="O513" t="s">
        <v>26</v>
      </c>
      <c r="P513">
        <v>1</v>
      </c>
      <c r="Q513">
        <v>0</v>
      </c>
      <c r="R513">
        <v>1</v>
      </c>
      <c r="S513">
        <v>1</v>
      </c>
      <c r="T513">
        <v>25</v>
      </c>
      <c r="U513">
        <v>1</v>
      </c>
      <c r="V513">
        <v>1</v>
      </c>
      <c r="W513">
        <f>E513/100</f>
        <v>0.01</v>
      </c>
      <c r="X513">
        <f>F513/1000000</f>
        <v>0.04</v>
      </c>
      <c r="Y513">
        <f>IF(D513="C",1,0)</f>
        <v>0</v>
      </c>
      <c r="Z513">
        <f>IF(G513="C",1,0)</f>
        <v>0</v>
      </c>
      <c r="AA513">
        <f>IF(G513="S",1,0)</f>
        <v>1</v>
      </c>
      <c r="AB513">
        <f>IF(G513="U",1,0)</f>
        <v>0</v>
      </c>
      <c r="AC513" s="5">
        <f>IF(AND(ISNUMBER(H513),NOT(ISNUMBER(P513))),1,0)</f>
        <v>0</v>
      </c>
      <c r="AD513" s="5">
        <f>IF(AND(ISNUMBER(H513),ISNUMBER(P513)),1,0)</f>
        <v>0</v>
      </c>
      <c r="AE513" s="5">
        <f>W513</f>
        <v>0.01</v>
      </c>
      <c r="AF513" s="5">
        <f>X513</f>
        <v>0.04</v>
      </c>
      <c r="AG513" s="5">
        <f>Y513</f>
        <v>0</v>
      </c>
      <c r="AH513" s="5">
        <f>IF(OR(G513="C",G513="S",G513="U"),1,0)</f>
        <v>1</v>
      </c>
      <c r="AI513" s="5">
        <f>IF(ISNUMBER(H513),1,0)</f>
        <v>0</v>
      </c>
      <c r="AJ513" s="5">
        <f>IF(ISNUMBER(P513),1,0)</f>
        <v>1</v>
      </c>
      <c r="AK513" s="5" t="str">
        <f>IF(AI513=1,IF(J513&gt;0,1,0),"")</f>
        <v/>
      </c>
      <c r="AL513" s="5">
        <f>IF(AJ513=1,IF(OR(Q513&gt;0,R513&gt;0),1,0),"")</f>
        <v>1</v>
      </c>
    </row>
    <row r="514" spans="1:38">
      <c r="A514">
        <v>525409</v>
      </c>
      <c r="B514" t="s">
        <v>651</v>
      </c>
      <c r="C514" t="s">
        <v>37</v>
      </c>
      <c r="D514" t="s">
        <v>24</v>
      </c>
      <c r="E514">
        <v>32</v>
      </c>
      <c r="F514">
        <v>1856635</v>
      </c>
      <c r="H514" t="s">
        <v>26</v>
      </c>
      <c r="I514" t="s">
        <v>26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>
        <v>1</v>
      </c>
      <c r="Q514">
        <v>0</v>
      </c>
      <c r="R514">
        <v>1</v>
      </c>
      <c r="S514">
        <v>1</v>
      </c>
      <c r="T514">
        <v>0.53859999999999997</v>
      </c>
      <c r="U514">
        <v>3.1300000000000001E-2</v>
      </c>
      <c r="V514">
        <v>1</v>
      </c>
      <c r="W514">
        <f>E514/100</f>
        <v>0.32</v>
      </c>
      <c r="X514">
        <f>F514/1000000</f>
        <v>1.856635</v>
      </c>
      <c r="Y514">
        <f>IF(D514="C",1,0)</f>
        <v>0</v>
      </c>
      <c r="Z514">
        <f>IF(G514="C",1,0)</f>
        <v>0</v>
      </c>
      <c r="AA514">
        <f>IF(G514="S",1,0)</f>
        <v>0</v>
      </c>
      <c r="AB514">
        <f>IF(G514="U",1,0)</f>
        <v>0</v>
      </c>
      <c r="AC514" s="5">
        <f>IF(AND(ISNUMBER(H514),NOT(ISNUMBER(P514))),1,0)</f>
        <v>0</v>
      </c>
      <c r="AD514" s="5">
        <f>IF(AND(ISNUMBER(H514),ISNUMBER(P514)),1,0)</f>
        <v>0</v>
      </c>
      <c r="AE514" s="5">
        <f>W514</f>
        <v>0.32</v>
      </c>
      <c r="AF514" s="5">
        <f>X514</f>
        <v>1.856635</v>
      </c>
      <c r="AG514" s="5">
        <f>Y514</f>
        <v>0</v>
      </c>
      <c r="AH514" s="5">
        <f>IF(OR(G514="C",G514="S",G514="U"),1,0)</f>
        <v>0</v>
      </c>
      <c r="AI514" s="5">
        <f>IF(ISNUMBER(H514),1,0)</f>
        <v>0</v>
      </c>
      <c r="AJ514" s="5">
        <f>IF(ISNUMBER(P514),1,0)</f>
        <v>1</v>
      </c>
      <c r="AK514" s="5" t="str">
        <f>IF(AI514=1,IF(J514&gt;0,1,0),"")</f>
        <v/>
      </c>
      <c r="AL514" s="5">
        <f>IF(AJ514=1,IF(OR(Q514&gt;0,R514&gt;0),1,0),"")</f>
        <v>1</v>
      </c>
    </row>
    <row r="515" spans="1:38">
      <c r="A515">
        <v>526191</v>
      </c>
      <c r="B515" t="s">
        <v>652</v>
      </c>
      <c r="C515" t="s">
        <v>23</v>
      </c>
      <c r="D515" t="s">
        <v>24</v>
      </c>
      <c r="E515">
        <v>11</v>
      </c>
      <c r="F515">
        <v>225000</v>
      </c>
      <c r="H515" t="s">
        <v>26</v>
      </c>
      <c r="I515" t="s">
        <v>26</v>
      </c>
      <c r="J515" t="s">
        <v>26</v>
      </c>
      <c r="K515" t="s">
        <v>26</v>
      </c>
      <c r="L515" t="s">
        <v>26</v>
      </c>
      <c r="M515" t="s">
        <v>26</v>
      </c>
      <c r="N515" t="s">
        <v>26</v>
      </c>
      <c r="O515" t="s">
        <v>26</v>
      </c>
      <c r="P515">
        <v>1</v>
      </c>
      <c r="Q515">
        <v>0</v>
      </c>
      <c r="R515">
        <v>0</v>
      </c>
      <c r="S515">
        <v>1</v>
      </c>
      <c r="T515">
        <v>4.4443999999999999</v>
      </c>
      <c r="U515">
        <v>9.0899999999999995E-2</v>
      </c>
      <c r="V515">
        <v>0</v>
      </c>
      <c r="W515">
        <f>E515/100</f>
        <v>0.11</v>
      </c>
      <c r="X515">
        <f>F515/1000000</f>
        <v>0.22500000000000001</v>
      </c>
      <c r="Y515">
        <f>IF(D515="C",1,0)</f>
        <v>0</v>
      </c>
      <c r="Z515">
        <f>IF(G515="C",1,0)</f>
        <v>0</v>
      </c>
      <c r="AA515">
        <f>IF(G515="S",1,0)</f>
        <v>0</v>
      </c>
      <c r="AB515">
        <f>IF(G515="U",1,0)</f>
        <v>0</v>
      </c>
      <c r="AC515" s="5">
        <f>IF(AND(ISNUMBER(H515),NOT(ISNUMBER(P515))),1,0)</f>
        <v>0</v>
      </c>
      <c r="AD515" s="5">
        <f>IF(AND(ISNUMBER(H515),ISNUMBER(P515)),1,0)</f>
        <v>0</v>
      </c>
      <c r="AE515" s="5">
        <f>W515</f>
        <v>0.11</v>
      </c>
      <c r="AF515" s="5">
        <f>X515</f>
        <v>0.22500000000000001</v>
      </c>
      <c r="AG515" s="5">
        <f>Y515</f>
        <v>0</v>
      </c>
      <c r="AH515" s="5">
        <f>IF(OR(G515="C",G515="S",G515="U"),1,0)</f>
        <v>0</v>
      </c>
      <c r="AI515" s="5">
        <f>IF(ISNUMBER(H515),1,0)</f>
        <v>0</v>
      </c>
      <c r="AJ515" s="5">
        <f>IF(ISNUMBER(P515),1,0)</f>
        <v>1</v>
      </c>
      <c r="AK515" s="5" t="str">
        <f>IF(AI515=1,IF(J515&gt;0,1,0),"")</f>
        <v/>
      </c>
      <c r="AL515" s="5">
        <f>IF(AJ515=1,IF(OR(Q515&gt;0,R515&gt;0),1,0),"")</f>
        <v>0</v>
      </c>
    </row>
    <row r="516" spans="1:38">
      <c r="A516">
        <v>528234</v>
      </c>
      <c r="B516" t="s">
        <v>654</v>
      </c>
      <c r="C516" t="s">
        <v>140</v>
      </c>
      <c r="D516" t="s">
        <v>24</v>
      </c>
      <c r="E516">
        <v>2</v>
      </c>
      <c r="F516">
        <v>81696</v>
      </c>
      <c r="G516" t="s">
        <v>25</v>
      </c>
      <c r="H516" t="s">
        <v>26</v>
      </c>
      <c r="I516" t="s">
        <v>26</v>
      </c>
      <c r="J516" t="s">
        <v>26</v>
      </c>
      <c r="K516" t="s">
        <v>26</v>
      </c>
      <c r="L516" t="s">
        <v>26</v>
      </c>
      <c r="M516" t="s">
        <v>26</v>
      </c>
      <c r="N516" t="s">
        <v>26</v>
      </c>
      <c r="O516" t="s">
        <v>26</v>
      </c>
      <c r="P516">
        <v>1</v>
      </c>
      <c r="Q516">
        <v>0</v>
      </c>
      <c r="R516">
        <v>0</v>
      </c>
      <c r="S516">
        <v>1</v>
      </c>
      <c r="T516">
        <v>12.240500000000001</v>
      </c>
      <c r="U516">
        <v>0.5</v>
      </c>
      <c r="V516">
        <v>0</v>
      </c>
      <c r="W516">
        <f>E516/100</f>
        <v>0.02</v>
      </c>
      <c r="X516">
        <f>F516/1000000</f>
        <v>8.1696000000000005E-2</v>
      </c>
      <c r="Y516">
        <f>IF(D516="C",1,0)</f>
        <v>0</v>
      </c>
      <c r="Z516">
        <f>IF(G516="C",1,0)</f>
        <v>0</v>
      </c>
      <c r="AA516">
        <f>IF(G516="S",1,0)</f>
        <v>1</v>
      </c>
      <c r="AB516">
        <f>IF(G516="U",1,0)</f>
        <v>0</v>
      </c>
      <c r="AC516" s="5">
        <f>IF(AND(ISNUMBER(H516),NOT(ISNUMBER(P516))),1,0)</f>
        <v>0</v>
      </c>
      <c r="AD516" s="5">
        <f>IF(AND(ISNUMBER(H516),ISNUMBER(P516)),1,0)</f>
        <v>0</v>
      </c>
      <c r="AE516" s="5">
        <f>W516</f>
        <v>0.02</v>
      </c>
      <c r="AF516" s="5">
        <f>X516</f>
        <v>8.1696000000000005E-2</v>
      </c>
      <c r="AG516" s="5">
        <f>Y516</f>
        <v>0</v>
      </c>
      <c r="AH516" s="5">
        <f>IF(OR(G516="C",G516="S",G516="U"),1,0)</f>
        <v>1</v>
      </c>
      <c r="AI516" s="5">
        <f>IF(ISNUMBER(H516),1,0)</f>
        <v>0</v>
      </c>
      <c r="AJ516" s="5">
        <f>IF(ISNUMBER(P516),1,0)</f>
        <v>1</v>
      </c>
      <c r="AK516" s="5" t="str">
        <f>IF(AI516=1,IF(J516&gt;0,1,0),"")</f>
        <v/>
      </c>
      <c r="AL516" s="5">
        <f>IF(AJ516=1,IF(OR(Q516&gt;0,R516&gt;0),1,0),"")</f>
        <v>0</v>
      </c>
    </row>
    <row r="517" spans="1:38">
      <c r="A517">
        <v>528889</v>
      </c>
      <c r="B517" t="s">
        <v>655</v>
      </c>
      <c r="C517" t="s">
        <v>330</v>
      </c>
      <c r="D517" t="s">
        <v>33</v>
      </c>
      <c r="E517">
        <v>5</v>
      </c>
      <c r="F517">
        <v>20000</v>
      </c>
      <c r="H517" t="s">
        <v>26</v>
      </c>
      <c r="I517" t="s">
        <v>26</v>
      </c>
      <c r="J517" t="s">
        <v>26</v>
      </c>
      <c r="K517" t="s">
        <v>26</v>
      </c>
      <c r="L517" t="s">
        <v>26</v>
      </c>
      <c r="M517" t="s">
        <v>26</v>
      </c>
      <c r="N517" t="s">
        <v>26</v>
      </c>
      <c r="O517" t="s">
        <v>26</v>
      </c>
      <c r="P517">
        <v>1</v>
      </c>
      <c r="Q517">
        <v>0</v>
      </c>
      <c r="R517">
        <v>1</v>
      </c>
      <c r="S517">
        <v>1</v>
      </c>
      <c r="T517">
        <v>50</v>
      </c>
      <c r="U517">
        <v>0.2</v>
      </c>
      <c r="V517">
        <v>1</v>
      </c>
      <c r="W517">
        <f>E517/100</f>
        <v>0.05</v>
      </c>
      <c r="X517">
        <f>F517/1000000</f>
        <v>0.02</v>
      </c>
      <c r="Y517">
        <f>IF(D517="C",1,0)</f>
        <v>1</v>
      </c>
      <c r="Z517">
        <f>IF(G517="C",1,0)</f>
        <v>0</v>
      </c>
      <c r="AA517">
        <f>IF(G517="S",1,0)</f>
        <v>0</v>
      </c>
      <c r="AB517">
        <f>IF(G517="U",1,0)</f>
        <v>0</v>
      </c>
      <c r="AC517" s="5">
        <f>IF(AND(ISNUMBER(H517),NOT(ISNUMBER(P517))),1,0)</f>
        <v>0</v>
      </c>
      <c r="AD517" s="5">
        <f>IF(AND(ISNUMBER(H517),ISNUMBER(P517)),1,0)</f>
        <v>0</v>
      </c>
      <c r="AE517" s="5">
        <f>W517</f>
        <v>0.05</v>
      </c>
      <c r="AF517" s="5">
        <f>X517</f>
        <v>0.02</v>
      </c>
      <c r="AG517" s="5">
        <f>Y517</f>
        <v>1</v>
      </c>
      <c r="AH517" s="5">
        <f>IF(OR(G517="C",G517="S",G517="U"),1,0)</f>
        <v>0</v>
      </c>
      <c r="AI517" s="5">
        <f>IF(ISNUMBER(H517),1,0)</f>
        <v>0</v>
      </c>
      <c r="AJ517" s="5">
        <f>IF(ISNUMBER(P517),1,0)</f>
        <v>1</v>
      </c>
      <c r="AK517" s="5" t="str">
        <f>IF(AI517=1,IF(J517&gt;0,1,0),"")</f>
        <v/>
      </c>
      <c r="AL517" s="5">
        <f>IF(AJ517=1,IF(OR(Q517&gt;0,R517&gt;0),1,0),"")</f>
        <v>1</v>
      </c>
    </row>
    <row r="518" spans="1:38">
      <c r="A518">
        <v>531296</v>
      </c>
      <c r="B518" t="s">
        <v>656</v>
      </c>
      <c r="C518" t="s">
        <v>82</v>
      </c>
      <c r="D518" t="s">
        <v>24</v>
      </c>
      <c r="E518">
        <v>16</v>
      </c>
      <c r="F518">
        <v>700000</v>
      </c>
      <c r="G518" t="s">
        <v>25</v>
      </c>
      <c r="H518" t="s">
        <v>26</v>
      </c>
      <c r="I518" t="s">
        <v>26</v>
      </c>
      <c r="J518" t="s">
        <v>26</v>
      </c>
      <c r="K518" t="s">
        <v>26</v>
      </c>
      <c r="L518" t="s">
        <v>26</v>
      </c>
      <c r="M518" t="s">
        <v>26</v>
      </c>
      <c r="N518" t="s">
        <v>26</v>
      </c>
      <c r="O518" t="s">
        <v>26</v>
      </c>
      <c r="P518">
        <v>1</v>
      </c>
      <c r="Q518">
        <v>0</v>
      </c>
      <c r="R518">
        <v>0</v>
      </c>
      <c r="S518">
        <v>1</v>
      </c>
      <c r="T518">
        <v>1.4286000000000001</v>
      </c>
      <c r="U518">
        <v>6.25E-2</v>
      </c>
      <c r="V518">
        <v>0</v>
      </c>
      <c r="W518">
        <f>E518/100</f>
        <v>0.16</v>
      </c>
      <c r="X518">
        <f>F518/1000000</f>
        <v>0.7</v>
      </c>
      <c r="Y518">
        <f>IF(D518="C",1,0)</f>
        <v>0</v>
      </c>
      <c r="Z518">
        <f>IF(G518="C",1,0)</f>
        <v>0</v>
      </c>
      <c r="AA518">
        <f>IF(G518="S",1,0)</f>
        <v>1</v>
      </c>
      <c r="AB518">
        <f>IF(G518="U",1,0)</f>
        <v>0</v>
      </c>
      <c r="AC518" s="5">
        <f>IF(AND(ISNUMBER(H518),NOT(ISNUMBER(P518))),1,0)</f>
        <v>0</v>
      </c>
      <c r="AD518" s="5">
        <f>IF(AND(ISNUMBER(H518),ISNUMBER(P518)),1,0)</f>
        <v>0</v>
      </c>
      <c r="AE518" s="5">
        <f>W518</f>
        <v>0.16</v>
      </c>
      <c r="AF518" s="5">
        <f>X518</f>
        <v>0.7</v>
      </c>
      <c r="AG518" s="5">
        <f>Y518</f>
        <v>0</v>
      </c>
      <c r="AH518" s="5">
        <f>IF(OR(G518="C",G518="S",G518="U"),1,0)</f>
        <v>1</v>
      </c>
      <c r="AI518" s="5">
        <f>IF(ISNUMBER(H518),1,0)</f>
        <v>0</v>
      </c>
      <c r="AJ518" s="5">
        <f>IF(ISNUMBER(P518),1,0)</f>
        <v>1</v>
      </c>
      <c r="AK518" s="5" t="str">
        <f>IF(AI518=1,IF(J518&gt;0,1,0),"")</f>
        <v/>
      </c>
      <c r="AL518" s="5">
        <f>IF(AJ518=1,IF(OR(Q518&gt;0,R518&gt;0),1,0),"")</f>
        <v>0</v>
      </c>
    </row>
    <row r="519" spans="1:38">
      <c r="A519">
        <v>535153</v>
      </c>
      <c r="B519" t="s">
        <v>657</v>
      </c>
      <c r="C519" t="s">
        <v>23</v>
      </c>
      <c r="D519" t="s">
        <v>24</v>
      </c>
      <c r="E519">
        <v>15</v>
      </c>
      <c r="F519">
        <v>4070000</v>
      </c>
      <c r="G519" t="s">
        <v>25</v>
      </c>
      <c r="H519" t="s">
        <v>26</v>
      </c>
      <c r="I519" t="s">
        <v>26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>
        <v>1</v>
      </c>
      <c r="Q519">
        <v>0</v>
      </c>
      <c r="R519">
        <v>0</v>
      </c>
      <c r="S519">
        <v>1</v>
      </c>
      <c r="T519">
        <v>0.2457</v>
      </c>
      <c r="U519">
        <v>6.6699999999999995E-2</v>
      </c>
      <c r="V519">
        <v>0</v>
      </c>
      <c r="W519">
        <f>E519/100</f>
        <v>0.15</v>
      </c>
      <c r="X519">
        <f>F519/1000000</f>
        <v>4.07</v>
      </c>
      <c r="Y519">
        <f>IF(D519="C",1,0)</f>
        <v>0</v>
      </c>
      <c r="Z519">
        <f>IF(G519="C",1,0)</f>
        <v>0</v>
      </c>
      <c r="AA519">
        <f>IF(G519="S",1,0)</f>
        <v>1</v>
      </c>
      <c r="AB519">
        <f>IF(G519="U",1,0)</f>
        <v>0</v>
      </c>
      <c r="AC519" s="5">
        <f>IF(AND(ISNUMBER(H519),NOT(ISNUMBER(P519))),1,0)</f>
        <v>0</v>
      </c>
      <c r="AD519" s="5">
        <f>IF(AND(ISNUMBER(H519),ISNUMBER(P519)),1,0)</f>
        <v>0</v>
      </c>
      <c r="AE519" s="5">
        <f>W519</f>
        <v>0.15</v>
      </c>
      <c r="AF519" s="5">
        <f>X519</f>
        <v>4.07</v>
      </c>
      <c r="AG519" s="5">
        <f>Y519</f>
        <v>0</v>
      </c>
      <c r="AH519" s="5">
        <f>IF(OR(G519="C",G519="S",G519="U"),1,0)</f>
        <v>1</v>
      </c>
      <c r="AI519" s="5">
        <f>IF(ISNUMBER(H519),1,0)</f>
        <v>0</v>
      </c>
      <c r="AJ519" s="5">
        <f>IF(ISNUMBER(P519),1,0)</f>
        <v>1</v>
      </c>
      <c r="AK519" s="5" t="str">
        <f>IF(AI519=1,IF(J519&gt;0,1,0),"")</f>
        <v/>
      </c>
      <c r="AL519" s="5">
        <f>IF(AJ519=1,IF(OR(Q519&gt;0,R519&gt;0),1,0),"")</f>
        <v>0</v>
      </c>
    </row>
    <row r="520" spans="1:38">
      <c r="A520">
        <v>535565</v>
      </c>
      <c r="B520" t="s">
        <v>658</v>
      </c>
      <c r="C520" t="s">
        <v>37</v>
      </c>
      <c r="D520" t="s">
        <v>24</v>
      </c>
      <c r="E520">
        <v>24</v>
      </c>
      <c r="F520">
        <v>2080678</v>
      </c>
      <c r="G520" t="s">
        <v>25</v>
      </c>
      <c r="H520" t="s">
        <v>26</v>
      </c>
      <c r="I520" t="s">
        <v>26</v>
      </c>
      <c r="J520" t="s">
        <v>26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>
        <v>1</v>
      </c>
      <c r="Q520">
        <v>0</v>
      </c>
      <c r="R520">
        <v>1</v>
      </c>
      <c r="S520">
        <v>1</v>
      </c>
      <c r="T520">
        <v>0.48060000000000003</v>
      </c>
      <c r="U520">
        <v>4.1700000000000001E-2</v>
      </c>
      <c r="V520">
        <v>1</v>
      </c>
      <c r="W520">
        <f>E520/100</f>
        <v>0.24</v>
      </c>
      <c r="X520">
        <f>F520/1000000</f>
        <v>2.0806779999999998</v>
      </c>
      <c r="Y520">
        <f>IF(D520="C",1,0)</f>
        <v>0</v>
      </c>
      <c r="Z520">
        <f>IF(G520="C",1,0)</f>
        <v>0</v>
      </c>
      <c r="AA520">
        <f>IF(G520="S",1,0)</f>
        <v>1</v>
      </c>
      <c r="AB520">
        <f>IF(G520="U",1,0)</f>
        <v>0</v>
      </c>
      <c r="AC520" s="5">
        <f>IF(AND(ISNUMBER(H520),NOT(ISNUMBER(P520))),1,0)</f>
        <v>0</v>
      </c>
      <c r="AD520" s="5">
        <f>IF(AND(ISNUMBER(H520),ISNUMBER(P520)),1,0)</f>
        <v>0</v>
      </c>
      <c r="AE520" s="5">
        <f>W520</f>
        <v>0.24</v>
      </c>
      <c r="AF520" s="5">
        <f>X520</f>
        <v>2.0806779999999998</v>
      </c>
      <c r="AG520" s="5">
        <f>Y520</f>
        <v>0</v>
      </c>
      <c r="AH520" s="5">
        <f>IF(OR(G520="C",G520="S",G520="U"),1,0)</f>
        <v>1</v>
      </c>
      <c r="AI520" s="5">
        <f>IF(ISNUMBER(H520),1,0)</f>
        <v>0</v>
      </c>
      <c r="AJ520" s="5">
        <f>IF(ISNUMBER(P520),1,0)</f>
        <v>1</v>
      </c>
      <c r="AK520" s="5" t="str">
        <f>IF(AI520=1,IF(J520&gt;0,1,0),"")</f>
        <v/>
      </c>
      <c r="AL520" s="5">
        <f>IF(AJ520=1,IF(OR(Q520&gt;0,R520&gt;0),1,0),"")</f>
        <v>1</v>
      </c>
    </row>
    <row r="521" spans="1:38">
      <c r="A521">
        <v>536089</v>
      </c>
      <c r="B521" t="s">
        <v>659</v>
      </c>
      <c r="C521" t="s">
        <v>37</v>
      </c>
      <c r="D521" t="s">
        <v>33</v>
      </c>
      <c r="E521">
        <v>8</v>
      </c>
      <c r="F521">
        <v>153309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>
        <v>1</v>
      </c>
      <c r="Q521">
        <v>0</v>
      </c>
      <c r="R521">
        <v>0</v>
      </c>
      <c r="S521">
        <v>1</v>
      </c>
      <c r="T521">
        <v>6.5228000000000002</v>
      </c>
      <c r="U521">
        <v>0.125</v>
      </c>
      <c r="V521">
        <v>0</v>
      </c>
      <c r="W521">
        <f>E521/100</f>
        <v>0.08</v>
      </c>
      <c r="X521">
        <f>F521/1000000</f>
        <v>0.153309</v>
      </c>
      <c r="Y521">
        <f>IF(D521="C",1,0)</f>
        <v>1</v>
      </c>
      <c r="Z521">
        <f>IF(G521="C",1,0)</f>
        <v>0</v>
      </c>
      <c r="AA521">
        <f>IF(G521="S",1,0)</f>
        <v>0</v>
      </c>
      <c r="AB521">
        <f>IF(G521="U",1,0)</f>
        <v>0</v>
      </c>
      <c r="AC521" s="5">
        <f>IF(AND(ISNUMBER(H521),NOT(ISNUMBER(P521))),1,0)</f>
        <v>0</v>
      </c>
      <c r="AD521" s="5">
        <f>IF(AND(ISNUMBER(H521),ISNUMBER(P521)),1,0)</f>
        <v>0</v>
      </c>
      <c r="AE521" s="5">
        <f>W521</f>
        <v>0.08</v>
      </c>
      <c r="AF521" s="5">
        <f>X521</f>
        <v>0.153309</v>
      </c>
      <c r="AG521" s="5">
        <f>Y521</f>
        <v>1</v>
      </c>
      <c r="AH521" s="5">
        <f>IF(OR(G521="C",G521="S",G521="U"),1,0)</f>
        <v>0</v>
      </c>
      <c r="AI521" s="5">
        <f>IF(ISNUMBER(H521),1,0)</f>
        <v>0</v>
      </c>
      <c r="AJ521" s="5">
        <f>IF(ISNUMBER(P521),1,0)</f>
        <v>1</v>
      </c>
      <c r="AK521" s="5" t="str">
        <f>IF(AI521=1,IF(J521&gt;0,1,0),"")</f>
        <v/>
      </c>
      <c r="AL521" s="5">
        <f>IF(AJ521=1,IF(OR(Q521&gt;0,R521&gt;0),1,0),"")</f>
        <v>0</v>
      </c>
    </row>
    <row r="522" spans="1:38">
      <c r="A522">
        <v>536668</v>
      </c>
      <c r="B522" t="s">
        <v>660</v>
      </c>
      <c r="C522" t="s">
        <v>30</v>
      </c>
      <c r="D522" t="s">
        <v>24</v>
      </c>
      <c r="E522">
        <v>14</v>
      </c>
      <c r="F522">
        <v>1000000</v>
      </c>
      <c r="G522" t="s">
        <v>25</v>
      </c>
      <c r="H522" t="s">
        <v>26</v>
      </c>
      <c r="I522" t="s">
        <v>26</v>
      </c>
      <c r="J522" t="s">
        <v>26</v>
      </c>
      <c r="K522" t="s">
        <v>26</v>
      </c>
      <c r="L522" t="s">
        <v>26</v>
      </c>
      <c r="M522" t="s">
        <v>26</v>
      </c>
      <c r="N522" t="s">
        <v>26</v>
      </c>
      <c r="O522" t="s">
        <v>26</v>
      </c>
      <c r="P522">
        <v>1</v>
      </c>
      <c r="Q522">
        <v>0</v>
      </c>
      <c r="R522">
        <v>1</v>
      </c>
      <c r="S522">
        <v>1</v>
      </c>
      <c r="T522">
        <v>1</v>
      </c>
      <c r="U522">
        <v>7.1400000000000005E-2</v>
      </c>
      <c r="V522">
        <v>1</v>
      </c>
      <c r="W522">
        <f>E522/100</f>
        <v>0.14000000000000001</v>
      </c>
      <c r="X522">
        <f>F522/1000000</f>
        <v>1</v>
      </c>
      <c r="Y522">
        <f>IF(D522="C",1,0)</f>
        <v>0</v>
      </c>
      <c r="Z522">
        <f>IF(G522="C",1,0)</f>
        <v>0</v>
      </c>
      <c r="AA522">
        <f>IF(G522="S",1,0)</f>
        <v>1</v>
      </c>
      <c r="AB522">
        <f>IF(G522="U",1,0)</f>
        <v>0</v>
      </c>
      <c r="AC522" s="5">
        <f>IF(AND(ISNUMBER(H522),NOT(ISNUMBER(P522))),1,0)</f>
        <v>0</v>
      </c>
      <c r="AD522" s="5">
        <f>IF(AND(ISNUMBER(H522),ISNUMBER(P522)),1,0)</f>
        <v>0</v>
      </c>
      <c r="AE522" s="5">
        <f>W522</f>
        <v>0.14000000000000001</v>
      </c>
      <c r="AF522" s="5">
        <f>X522</f>
        <v>1</v>
      </c>
      <c r="AG522" s="5">
        <f>Y522</f>
        <v>0</v>
      </c>
      <c r="AH522" s="5">
        <f>IF(OR(G522="C",G522="S",G522="U"),1,0)</f>
        <v>1</v>
      </c>
      <c r="AI522" s="5">
        <f>IF(ISNUMBER(H522),1,0)</f>
        <v>0</v>
      </c>
      <c r="AJ522" s="5">
        <f>IF(ISNUMBER(P522),1,0)</f>
        <v>1</v>
      </c>
      <c r="AK522" s="5" t="str">
        <f>IF(AI522=1,IF(J522&gt;0,1,0),"")</f>
        <v/>
      </c>
      <c r="AL522" s="5">
        <f>IF(AJ522=1,IF(OR(Q522&gt;0,R522&gt;0),1,0),"")</f>
        <v>1</v>
      </c>
    </row>
    <row r="523" spans="1:38">
      <c r="A523">
        <v>538987</v>
      </c>
      <c r="B523" t="s">
        <v>661</v>
      </c>
      <c r="C523" t="s">
        <v>23</v>
      </c>
      <c r="D523" t="s">
        <v>24</v>
      </c>
      <c r="E523">
        <v>1</v>
      </c>
      <c r="F523">
        <v>4371570</v>
      </c>
      <c r="G523" t="s">
        <v>25</v>
      </c>
      <c r="H523" t="s">
        <v>26</v>
      </c>
      <c r="I523" t="s">
        <v>26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>
        <v>1</v>
      </c>
      <c r="Q523">
        <v>0</v>
      </c>
      <c r="R523">
        <v>1</v>
      </c>
      <c r="S523">
        <v>1</v>
      </c>
      <c r="T523">
        <v>0.2288</v>
      </c>
      <c r="U523">
        <v>1</v>
      </c>
      <c r="V523">
        <v>1</v>
      </c>
      <c r="W523">
        <f>E523/100</f>
        <v>0.01</v>
      </c>
      <c r="X523">
        <f>F523/1000000</f>
        <v>4.3715700000000002</v>
      </c>
      <c r="Y523">
        <f>IF(D523="C",1,0)</f>
        <v>0</v>
      </c>
      <c r="Z523">
        <f>IF(G523="C",1,0)</f>
        <v>0</v>
      </c>
      <c r="AA523">
        <f>IF(G523="S",1,0)</f>
        <v>1</v>
      </c>
      <c r="AB523">
        <f>IF(G523="U",1,0)</f>
        <v>0</v>
      </c>
      <c r="AC523" s="5">
        <f>IF(AND(ISNUMBER(H523),NOT(ISNUMBER(P523))),1,0)</f>
        <v>0</v>
      </c>
      <c r="AD523" s="5">
        <f>IF(AND(ISNUMBER(H523),ISNUMBER(P523)),1,0)</f>
        <v>0</v>
      </c>
      <c r="AE523" s="5">
        <f>W523</f>
        <v>0.01</v>
      </c>
      <c r="AF523" s="5">
        <f>X523</f>
        <v>4.3715700000000002</v>
      </c>
      <c r="AG523" s="5">
        <f>Y523</f>
        <v>0</v>
      </c>
      <c r="AH523" s="5">
        <f>IF(OR(G523="C",G523="S",G523="U"),1,0)</f>
        <v>1</v>
      </c>
      <c r="AI523" s="5">
        <f>IF(ISNUMBER(H523),1,0)</f>
        <v>0</v>
      </c>
      <c r="AJ523" s="5">
        <f>IF(ISNUMBER(P523),1,0)</f>
        <v>1</v>
      </c>
      <c r="AK523" s="5" t="str">
        <f>IF(AI523=1,IF(J523&gt;0,1,0),"")</f>
        <v/>
      </c>
      <c r="AL523" s="5">
        <f>IF(AJ523=1,IF(OR(Q523&gt;0,R523&gt;0),1,0),"")</f>
        <v>1</v>
      </c>
    </row>
    <row r="524" spans="1:38">
      <c r="A524">
        <v>540354</v>
      </c>
      <c r="B524" t="s">
        <v>662</v>
      </c>
      <c r="C524" t="s">
        <v>82</v>
      </c>
      <c r="D524" t="s">
        <v>24</v>
      </c>
      <c r="E524">
        <v>8</v>
      </c>
      <c r="F524">
        <v>290000</v>
      </c>
      <c r="G524" t="s">
        <v>25</v>
      </c>
      <c r="H524" t="s">
        <v>26</v>
      </c>
      <c r="I524" t="s">
        <v>26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26</v>
      </c>
      <c r="P524">
        <v>1</v>
      </c>
      <c r="Q524">
        <v>0</v>
      </c>
      <c r="R524">
        <v>1</v>
      </c>
      <c r="S524">
        <v>0</v>
      </c>
      <c r="T524">
        <v>3.4483000000000001</v>
      </c>
      <c r="U524">
        <v>0.125</v>
      </c>
      <c r="V524">
        <v>1</v>
      </c>
      <c r="W524">
        <f>E524/100</f>
        <v>0.08</v>
      </c>
      <c r="X524">
        <f>F524/1000000</f>
        <v>0.28999999999999998</v>
      </c>
      <c r="Y524">
        <f>IF(D524="C",1,0)</f>
        <v>0</v>
      </c>
      <c r="Z524">
        <f>IF(G524="C",1,0)</f>
        <v>0</v>
      </c>
      <c r="AA524">
        <f>IF(G524="S",1,0)</f>
        <v>1</v>
      </c>
      <c r="AB524">
        <f>IF(G524="U",1,0)</f>
        <v>0</v>
      </c>
      <c r="AC524" s="5">
        <f>IF(AND(ISNUMBER(H524),NOT(ISNUMBER(P524))),1,0)</f>
        <v>0</v>
      </c>
      <c r="AD524" s="5">
        <f>IF(AND(ISNUMBER(H524),ISNUMBER(P524)),1,0)</f>
        <v>0</v>
      </c>
      <c r="AE524" s="5">
        <f>W524</f>
        <v>0.08</v>
      </c>
      <c r="AF524" s="5">
        <f>X524</f>
        <v>0.28999999999999998</v>
      </c>
      <c r="AG524" s="5">
        <f>Y524</f>
        <v>0</v>
      </c>
      <c r="AH524" s="5">
        <f>IF(OR(G524="C",G524="S",G524="U"),1,0)</f>
        <v>1</v>
      </c>
      <c r="AI524" s="5">
        <f>IF(ISNUMBER(H524),1,0)</f>
        <v>0</v>
      </c>
      <c r="AJ524" s="5">
        <f>IF(ISNUMBER(P524),1,0)</f>
        <v>1</v>
      </c>
      <c r="AK524" s="5" t="str">
        <f>IF(AI524=1,IF(J524&gt;0,1,0),"")</f>
        <v/>
      </c>
      <c r="AL524" s="5">
        <f>IF(AJ524=1,IF(OR(Q524&gt;0,R524&gt;0),1,0),"")</f>
        <v>1</v>
      </c>
    </row>
    <row r="525" spans="1:38">
      <c r="A525">
        <v>541813</v>
      </c>
      <c r="B525" t="s">
        <v>663</v>
      </c>
      <c r="C525" t="s">
        <v>37</v>
      </c>
      <c r="D525" t="s">
        <v>33</v>
      </c>
      <c r="E525">
        <v>27</v>
      </c>
      <c r="F525">
        <v>2800000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>
        <v>1</v>
      </c>
      <c r="Q525">
        <v>0</v>
      </c>
      <c r="R525">
        <v>0</v>
      </c>
      <c r="S525">
        <v>1</v>
      </c>
      <c r="T525">
        <v>0.35709999999999997</v>
      </c>
      <c r="U525">
        <v>3.6999999999999998E-2</v>
      </c>
      <c r="V525">
        <v>0</v>
      </c>
      <c r="W525">
        <f>E525/100</f>
        <v>0.27</v>
      </c>
      <c r="X525">
        <f>F525/1000000</f>
        <v>2.8</v>
      </c>
      <c r="Y525">
        <f>IF(D525="C",1,0)</f>
        <v>1</v>
      </c>
      <c r="Z525">
        <f>IF(G525="C",1,0)</f>
        <v>0</v>
      </c>
      <c r="AA525">
        <f>IF(G525="S",1,0)</f>
        <v>0</v>
      </c>
      <c r="AB525">
        <f>IF(G525="U",1,0)</f>
        <v>0</v>
      </c>
      <c r="AC525" s="5">
        <f>IF(AND(ISNUMBER(H525),NOT(ISNUMBER(P525))),1,0)</f>
        <v>0</v>
      </c>
      <c r="AD525" s="5">
        <f>IF(AND(ISNUMBER(H525),ISNUMBER(P525)),1,0)</f>
        <v>0</v>
      </c>
      <c r="AE525" s="5">
        <f>W525</f>
        <v>0.27</v>
      </c>
      <c r="AF525" s="5">
        <f>X525</f>
        <v>2.8</v>
      </c>
      <c r="AG525" s="5">
        <f>Y525</f>
        <v>1</v>
      </c>
      <c r="AH525" s="5">
        <f>IF(OR(G525="C",G525="S",G525="U"),1,0)</f>
        <v>0</v>
      </c>
      <c r="AI525" s="5">
        <f>IF(ISNUMBER(H525),1,0)</f>
        <v>0</v>
      </c>
      <c r="AJ525" s="5">
        <f>IF(ISNUMBER(P525),1,0)</f>
        <v>1</v>
      </c>
      <c r="AK525" s="5" t="str">
        <f>IF(AI525=1,IF(J525&gt;0,1,0),"")</f>
        <v/>
      </c>
      <c r="AL525" s="5">
        <f>IF(AJ525=1,IF(OR(Q525&gt;0,R525&gt;0),1,0),"")</f>
        <v>0</v>
      </c>
    </row>
    <row r="526" spans="1:38">
      <c r="A526">
        <v>541907</v>
      </c>
      <c r="B526" t="s">
        <v>664</v>
      </c>
      <c r="C526" t="s">
        <v>37</v>
      </c>
      <c r="D526" t="s">
        <v>24</v>
      </c>
      <c r="E526">
        <v>7</v>
      </c>
      <c r="F526">
        <v>123995</v>
      </c>
      <c r="G526" t="s">
        <v>25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26</v>
      </c>
      <c r="O526" t="s">
        <v>26</v>
      </c>
      <c r="P526">
        <v>1</v>
      </c>
      <c r="Q526">
        <v>0</v>
      </c>
      <c r="R526">
        <v>0</v>
      </c>
      <c r="S526">
        <v>1</v>
      </c>
      <c r="T526">
        <v>8.0648</v>
      </c>
      <c r="U526">
        <v>0.1429</v>
      </c>
      <c r="V526">
        <v>0</v>
      </c>
      <c r="W526">
        <f>E526/100</f>
        <v>7.0000000000000007E-2</v>
      </c>
      <c r="X526">
        <f>F526/1000000</f>
        <v>0.12399499999999999</v>
      </c>
      <c r="Y526">
        <f>IF(D526="C",1,0)</f>
        <v>0</v>
      </c>
      <c r="Z526">
        <f>IF(G526="C",1,0)</f>
        <v>0</v>
      </c>
      <c r="AA526">
        <f>IF(G526="S",1,0)</f>
        <v>1</v>
      </c>
      <c r="AB526">
        <f>IF(G526="U",1,0)</f>
        <v>0</v>
      </c>
      <c r="AC526" s="5">
        <f>IF(AND(ISNUMBER(H526),NOT(ISNUMBER(P526))),1,0)</f>
        <v>0</v>
      </c>
      <c r="AD526" s="5">
        <f>IF(AND(ISNUMBER(H526),ISNUMBER(P526)),1,0)</f>
        <v>0</v>
      </c>
      <c r="AE526" s="5">
        <f>W526</f>
        <v>7.0000000000000007E-2</v>
      </c>
      <c r="AF526" s="5">
        <f>X526</f>
        <v>0.12399499999999999</v>
      </c>
      <c r="AG526" s="5">
        <f>Y526</f>
        <v>0</v>
      </c>
      <c r="AH526" s="5">
        <f>IF(OR(G526="C",G526="S",G526="U"),1,0)</f>
        <v>1</v>
      </c>
      <c r="AI526" s="5">
        <f>IF(ISNUMBER(H526),1,0)</f>
        <v>0</v>
      </c>
      <c r="AJ526" s="5">
        <f>IF(ISNUMBER(P526),1,0)</f>
        <v>1</v>
      </c>
      <c r="AK526" s="5" t="str">
        <f>IF(AI526=1,IF(J526&gt;0,1,0),"")</f>
        <v/>
      </c>
      <c r="AL526" s="5">
        <f>IF(AJ526=1,IF(OR(Q526&gt;0,R526&gt;0),1,0),"")</f>
        <v>0</v>
      </c>
    </row>
    <row r="527" spans="1:38">
      <c r="A527">
        <v>542189</v>
      </c>
      <c r="B527" t="s">
        <v>665</v>
      </c>
      <c r="C527" t="s">
        <v>159</v>
      </c>
      <c r="D527" t="s">
        <v>24</v>
      </c>
      <c r="E527">
        <v>46</v>
      </c>
      <c r="F527">
        <v>1901138</v>
      </c>
      <c r="G527" t="s">
        <v>25</v>
      </c>
      <c r="H527" t="s">
        <v>26</v>
      </c>
      <c r="I527" t="s">
        <v>26</v>
      </c>
      <c r="J527" t="s">
        <v>26</v>
      </c>
      <c r="K527" t="s">
        <v>26</v>
      </c>
      <c r="L527" t="s">
        <v>26</v>
      </c>
      <c r="M527" t="s">
        <v>26</v>
      </c>
      <c r="N527" t="s">
        <v>26</v>
      </c>
      <c r="O527" t="s">
        <v>26</v>
      </c>
      <c r="P527">
        <v>2</v>
      </c>
      <c r="Q527">
        <v>0</v>
      </c>
      <c r="R527">
        <v>1</v>
      </c>
      <c r="S527">
        <v>2</v>
      </c>
      <c r="T527">
        <v>1.052</v>
      </c>
      <c r="U527">
        <v>4.3499999999999997E-2</v>
      </c>
      <c r="V527">
        <v>1</v>
      </c>
      <c r="W527">
        <f>E527/100</f>
        <v>0.46</v>
      </c>
      <c r="X527">
        <f>F527/1000000</f>
        <v>1.901138</v>
      </c>
      <c r="Y527">
        <f>IF(D527="C",1,0)</f>
        <v>0</v>
      </c>
      <c r="Z527">
        <f>IF(G527="C",1,0)</f>
        <v>0</v>
      </c>
      <c r="AA527">
        <f>IF(G527="S",1,0)</f>
        <v>1</v>
      </c>
      <c r="AB527">
        <f>IF(G527="U",1,0)</f>
        <v>0</v>
      </c>
      <c r="AC527" s="5">
        <f>IF(AND(ISNUMBER(H527),NOT(ISNUMBER(P527))),1,0)</f>
        <v>0</v>
      </c>
      <c r="AD527" s="5">
        <f>IF(AND(ISNUMBER(H527),ISNUMBER(P527)),1,0)</f>
        <v>0</v>
      </c>
      <c r="AE527" s="5">
        <f>W527</f>
        <v>0.46</v>
      </c>
      <c r="AF527" s="5">
        <f>X527</f>
        <v>1.901138</v>
      </c>
      <c r="AG527" s="5">
        <f>Y527</f>
        <v>0</v>
      </c>
      <c r="AH527" s="5">
        <f>IF(OR(G527="C",G527="S",G527="U"),1,0)</f>
        <v>1</v>
      </c>
      <c r="AI527" s="5">
        <f>IF(ISNUMBER(H527),1,0)</f>
        <v>0</v>
      </c>
      <c r="AJ527" s="5">
        <f>IF(ISNUMBER(P527),1,0)</f>
        <v>1</v>
      </c>
      <c r="AK527" s="5" t="str">
        <f>IF(AI527=1,IF(J527&gt;0,1,0),"")</f>
        <v/>
      </c>
      <c r="AL527" s="5">
        <f>IF(AJ527=1,IF(OR(Q527&gt;0,R527&gt;0),1,0),"")</f>
        <v>1</v>
      </c>
    </row>
    <row r="528" spans="1:38">
      <c r="A528">
        <v>542457</v>
      </c>
      <c r="B528" t="s">
        <v>666</v>
      </c>
      <c r="C528" t="s">
        <v>82</v>
      </c>
      <c r="D528" t="s">
        <v>24</v>
      </c>
      <c r="E528">
        <v>1</v>
      </c>
      <c r="F528">
        <v>1200</v>
      </c>
      <c r="G528" t="s">
        <v>25</v>
      </c>
      <c r="H528" t="s">
        <v>26</v>
      </c>
      <c r="I528" t="s">
        <v>26</v>
      </c>
      <c r="J528" t="s">
        <v>26</v>
      </c>
      <c r="K528" t="s">
        <v>26</v>
      </c>
      <c r="L528" t="s">
        <v>26</v>
      </c>
      <c r="M528" t="s">
        <v>26</v>
      </c>
      <c r="N528" t="s">
        <v>26</v>
      </c>
      <c r="O528" t="s">
        <v>26</v>
      </c>
      <c r="P528">
        <v>1</v>
      </c>
      <c r="Q528">
        <v>0</v>
      </c>
      <c r="R528">
        <v>1</v>
      </c>
      <c r="S528">
        <v>1</v>
      </c>
      <c r="T528">
        <v>833.33330000000001</v>
      </c>
      <c r="U528">
        <v>1</v>
      </c>
      <c r="V528">
        <v>1</v>
      </c>
      <c r="W528">
        <f>E528/100</f>
        <v>0.01</v>
      </c>
      <c r="X528">
        <f>F528/1000000</f>
        <v>1.1999999999999999E-3</v>
      </c>
      <c r="Y528">
        <f>IF(D528="C",1,0)</f>
        <v>0</v>
      </c>
      <c r="Z528">
        <f>IF(G528="C",1,0)</f>
        <v>0</v>
      </c>
      <c r="AA528">
        <f>IF(G528="S",1,0)</f>
        <v>1</v>
      </c>
      <c r="AB528">
        <f>IF(G528="U",1,0)</f>
        <v>0</v>
      </c>
      <c r="AC528" s="5">
        <f>IF(AND(ISNUMBER(H528),NOT(ISNUMBER(P528))),1,0)</f>
        <v>0</v>
      </c>
      <c r="AD528" s="5">
        <f>IF(AND(ISNUMBER(H528),ISNUMBER(P528)),1,0)</f>
        <v>0</v>
      </c>
      <c r="AE528" s="5">
        <f>W528</f>
        <v>0.01</v>
      </c>
      <c r="AF528" s="5">
        <f>X528</f>
        <v>1.1999999999999999E-3</v>
      </c>
      <c r="AG528" s="5">
        <f>Y528</f>
        <v>0</v>
      </c>
      <c r="AH528" s="5">
        <f>IF(OR(G528="C",G528="S",G528="U"),1,0)</f>
        <v>1</v>
      </c>
      <c r="AI528" s="5">
        <f>IF(ISNUMBER(H528),1,0)</f>
        <v>0</v>
      </c>
      <c r="AJ528" s="5">
        <f>IF(ISNUMBER(P528),1,0)</f>
        <v>1</v>
      </c>
      <c r="AK528" s="5" t="str">
        <f>IF(AI528=1,IF(J528&gt;0,1,0),"")</f>
        <v/>
      </c>
      <c r="AL528" s="5">
        <f>IF(AJ528=1,IF(OR(Q528&gt;0,R528&gt;0),1,0),"")</f>
        <v>1</v>
      </c>
    </row>
    <row r="529" spans="1:38">
      <c r="A529">
        <v>542902</v>
      </c>
      <c r="B529" t="s">
        <v>667</v>
      </c>
      <c r="C529" t="s">
        <v>37</v>
      </c>
      <c r="D529" t="s">
        <v>24</v>
      </c>
      <c r="E529">
        <v>1</v>
      </c>
      <c r="F529">
        <v>93222</v>
      </c>
      <c r="G529" t="s">
        <v>33</v>
      </c>
      <c r="H529" t="s">
        <v>26</v>
      </c>
      <c r="I529" t="s">
        <v>26</v>
      </c>
      <c r="J529" t="s">
        <v>26</v>
      </c>
      <c r="K529" t="s">
        <v>26</v>
      </c>
      <c r="L529" t="s">
        <v>26</v>
      </c>
      <c r="M529" t="s">
        <v>26</v>
      </c>
      <c r="N529" t="s">
        <v>26</v>
      </c>
      <c r="O529" t="s">
        <v>26</v>
      </c>
      <c r="P529">
        <v>1</v>
      </c>
      <c r="Q529">
        <v>0</v>
      </c>
      <c r="R529">
        <v>1</v>
      </c>
      <c r="S529">
        <v>1</v>
      </c>
      <c r="T529">
        <v>10.7271</v>
      </c>
      <c r="U529">
        <v>1</v>
      </c>
      <c r="V529">
        <v>1</v>
      </c>
      <c r="W529">
        <f>E529/100</f>
        <v>0.01</v>
      </c>
      <c r="X529">
        <f>F529/1000000</f>
        <v>9.3221999999999999E-2</v>
      </c>
      <c r="Y529">
        <f>IF(D529="C",1,0)</f>
        <v>0</v>
      </c>
      <c r="Z529">
        <f>IF(G529="C",1,0)</f>
        <v>1</v>
      </c>
      <c r="AA529">
        <f>IF(G529="S",1,0)</f>
        <v>0</v>
      </c>
      <c r="AB529">
        <f>IF(G529="U",1,0)</f>
        <v>0</v>
      </c>
      <c r="AC529" s="5">
        <f>IF(AND(ISNUMBER(H529),NOT(ISNUMBER(P529))),1,0)</f>
        <v>0</v>
      </c>
      <c r="AD529" s="5">
        <f>IF(AND(ISNUMBER(H529),ISNUMBER(P529)),1,0)</f>
        <v>0</v>
      </c>
      <c r="AE529" s="5">
        <f>W529</f>
        <v>0.01</v>
      </c>
      <c r="AF529" s="5">
        <f>X529</f>
        <v>9.3221999999999999E-2</v>
      </c>
      <c r="AG529" s="5">
        <f>Y529</f>
        <v>0</v>
      </c>
      <c r="AH529" s="5">
        <f>IF(OR(G529="C",G529="S",G529="U"),1,0)</f>
        <v>1</v>
      </c>
      <c r="AI529" s="5">
        <f>IF(ISNUMBER(H529),1,0)</f>
        <v>0</v>
      </c>
      <c r="AJ529" s="5">
        <f>IF(ISNUMBER(P529),1,0)</f>
        <v>1</v>
      </c>
      <c r="AK529" s="5" t="str">
        <f>IF(AI529=1,IF(J529&gt;0,1,0),"")</f>
        <v/>
      </c>
      <c r="AL529" s="5">
        <f>IF(AJ529=1,IF(OR(Q529&gt;0,R529&gt;0),1,0),"")</f>
        <v>1</v>
      </c>
    </row>
    <row r="530" spans="1:38">
      <c r="A530">
        <v>549848</v>
      </c>
      <c r="B530" t="s">
        <v>670</v>
      </c>
      <c r="C530" t="s">
        <v>82</v>
      </c>
      <c r="D530" t="s">
        <v>33</v>
      </c>
      <c r="E530">
        <v>15</v>
      </c>
      <c r="F530">
        <v>70000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>
        <v>1</v>
      </c>
      <c r="Q530">
        <v>0</v>
      </c>
      <c r="R530">
        <v>1</v>
      </c>
      <c r="S530">
        <v>1</v>
      </c>
      <c r="T530">
        <v>14.2857</v>
      </c>
      <c r="U530">
        <v>6.6699999999999995E-2</v>
      </c>
      <c r="V530">
        <v>1</v>
      </c>
      <c r="W530">
        <f>E530/100</f>
        <v>0.15</v>
      </c>
      <c r="X530">
        <f>F530/1000000</f>
        <v>7.0000000000000007E-2</v>
      </c>
      <c r="Y530">
        <f>IF(D530="C",1,0)</f>
        <v>1</v>
      </c>
      <c r="Z530">
        <f>IF(G530="C",1,0)</f>
        <v>0</v>
      </c>
      <c r="AA530">
        <f>IF(G530="S",1,0)</f>
        <v>0</v>
      </c>
      <c r="AB530">
        <f>IF(G530="U",1,0)</f>
        <v>0</v>
      </c>
      <c r="AC530" s="5">
        <f>IF(AND(ISNUMBER(H530),NOT(ISNUMBER(P530))),1,0)</f>
        <v>0</v>
      </c>
      <c r="AD530" s="5">
        <f>IF(AND(ISNUMBER(H530),ISNUMBER(P530)),1,0)</f>
        <v>0</v>
      </c>
      <c r="AE530" s="5">
        <f>W530</f>
        <v>0.15</v>
      </c>
      <c r="AF530" s="5">
        <f>X530</f>
        <v>7.0000000000000007E-2</v>
      </c>
      <c r="AG530" s="5">
        <f>Y530</f>
        <v>1</v>
      </c>
      <c r="AH530" s="5">
        <f>IF(OR(G530="C",G530="S",G530="U"),1,0)</f>
        <v>0</v>
      </c>
      <c r="AI530" s="5">
        <f>IF(ISNUMBER(H530),1,0)</f>
        <v>0</v>
      </c>
      <c r="AJ530" s="5">
        <f>IF(ISNUMBER(P530),1,0)</f>
        <v>1</v>
      </c>
      <c r="AK530" s="5" t="str">
        <f>IF(AI530=1,IF(J530&gt;0,1,0),"")</f>
        <v/>
      </c>
      <c r="AL530" s="5">
        <f>IF(AJ530=1,IF(OR(Q530&gt;0,R530&gt;0),1,0),"")</f>
        <v>1</v>
      </c>
    </row>
    <row r="531" spans="1:38">
      <c r="A531">
        <v>552865</v>
      </c>
      <c r="B531" t="s">
        <v>672</v>
      </c>
      <c r="C531" t="s">
        <v>82</v>
      </c>
      <c r="D531" t="s">
        <v>24</v>
      </c>
      <c r="E531">
        <v>24</v>
      </c>
      <c r="F531">
        <v>100000</v>
      </c>
      <c r="G531" t="s">
        <v>25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26</v>
      </c>
      <c r="O531" t="s">
        <v>26</v>
      </c>
      <c r="P531">
        <v>1</v>
      </c>
      <c r="Q531">
        <v>0</v>
      </c>
      <c r="R531">
        <v>1</v>
      </c>
      <c r="S531">
        <v>1</v>
      </c>
      <c r="T531">
        <v>10</v>
      </c>
      <c r="U531">
        <v>4.1700000000000001E-2</v>
      </c>
      <c r="V531">
        <v>1</v>
      </c>
      <c r="W531">
        <f>E531/100</f>
        <v>0.24</v>
      </c>
      <c r="X531">
        <f>F531/1000000</f>
        <v>0.1</v>
      </c>
      <c r="Y531">
        <f>IF(D531="C",1,0)</f>
        <v>0</v>
      </c>
      <c r="Z531">
        <f>IF(G531="C",1,0)</f>
        <v>0</v>
      </c>
      <c r="AA531">
        <f>IF(G531="S",1,0)</f>
        <v>1</v>
      </c>
      <c r="AB531">
        <f>IF(G531="U",1,0)</f>
        <v>0</v>
      </c>
      <c r="AC531" s="5">
        <f>IF(AND(ISNUMBER(H531),NOT(ISNUMBER(P531))),1,0)</f>
        <v>0</v>
      </c>
      <c r="AD531" s="5">
        <f>IF(AND(ISNUMBER(H531),ISNUMBER(P531)),1,0)</f>
        <v>0</v>
      </c>
      <c r="AE531" s="5">
        <f>W531</f>
        <v>0.24</v>
      </c>
      <c r="AF531" s="5">
        <f>X531</f>
        <v>0.1</v>
      </c>
      <c r="AG531" s="5">
        <f>Y531</f>
        <v>0</v>
      </c>
      <c r="AH531" s="5">
        <f>IF(OR(G531="C",G531="S",G531="U"),1,0)</f>
        <v>1</v>
      </c>
      <c r="AI531" s="5">
        <f>IF(ISNUMBER(H531),1,0)</f>
        <v>0</v>
      </c>
      <c r="AJ531" s="5">
        <f>IF(ISNUMBER(P531),1,0)</f>
        <v>1</v>
      </c>
      <c r="AK531" s="5" t="str">
        <f>IF(AI531=1,IF(J531&gt;0,1,0),"")</f>
        <v/>
      </c>
      <c r="AL531" s="5">
        <f>IF(AJ531=1,IF(OR(Q531&gt;0,R531&gt;0),1,0),"")</f>
        <v>1</v>
      </c>
    </row>
    <row r="532" spans="1:38">
      <c r="A532">
        <v>558689</v>
      </c>
      <c r="B532" t="s">
        <v>673</v>
      </c>
      <c r="C532" t="s">
        <v>84</v>
      </c>
      <c r="D532" t="s">
        <v>24</v>
      </c>
      <c r="E532">
        <v>1</v>
      </c>
      <c r="F532">
        <v>80000</v>
      </c>
      <c r="G532" t="s">
        <v>25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>
        <v>1</v>
      </c>
      <c r="Q532">
        <v>0</v>
      </c>
      <c r="R532">
        <v>1</v>
      </c>
      <c r="S532">
        <v>0</v>
      </c>
      <c r="T532">
        <v>12.5</v>
      </c>
      <c r="U532">
        <v>1</v>
      </c>
      <c r="V532">
        <v>1</v>
      </c>
      <c r="W532">
        <f>E532/100</f>
        <v>0.01</v>
      </c>
      <c r="X532">
        <f>F532/1000000</f>
        <v>0.08</v>
      </c>
      <c r="Y532">
        <f>IF(D532="C",1,0)</f>
        <v>0</v>
      </c>
      <c r="Z532">
        <f>IF(G532="C",1,0)</f>
        <v>0</v>
      </c>
      <c r="AA532">
        <f>IF(G532="S",1,0)</f>
        <v>1</v>
      </c>
      <c r="AB532">
        <f>IF(G532="U",1,0)</f>
        <v>0</v>
      </c>
      <c r="AC532" s="5">
        <f>IF(AND(ISNUMBER(H532),NOT(ISNUMBER(P532))),1,0)</f>
        <v>0</v>
      </c>
      <c r="AD532" s="5">
        <f>IF(AND(ISNUMBER(H532),ISNUMBER(P532)),1,0)</f>
        <v>0</v>
      </c>
      <c r="AE532" s="5">
        <f>W532</f>
        <v>0.01</v>
      </c>
      <c r="AF532" s="5">
        <f>X532</f>
        <v>0.08</v>
      </c>
      <c r="AG532" s="5">
        <f>Y532</f>
        <v>0</v>
      </c>
      <c r="AH532" s="5">
        <f>IF(OR(G532="C",G532="S",G532="U"),1,0)</f>
        <v>1</v>
      </c>
      <c r="AI532" s="5">
        <f>IF(ISNUMBER(H532),1,0)</f>
        <v>0</v>
      </c>
      <c r="AJ532" s="5">
        <f>IF(ISNUMBER(P532),1,0)</f>
        <v>1</v>
      </c>
      <c r="AK532" s="5" t="str">
        <f>IF(AI532=1,IF(J532&gt;0,1,0),"")</f>
        <v/>
      </c>
      <c r="AL532" s="5">
        <f>IF(AJ532=1,IF(OR(Q532&gt;0,R532&gt;0),1,0),"")</f>
        <v>1</v>
      </c>
    </row>
    <row r="533" spans="1:38">
      <c r="A533">
        <v>559832</v>
      </c>
      <c r="B533" t="s">
        <v>674</v>
      </c>
      <c r="C533" t="s">
        <v>23</v>
      </c>
      <c r="D533" t="s">
        <v>24</v>
      </c>
      <c r="E533">
        <v>4</v>
      </c>
      <c r="F533">
        <v>40000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>
        <v>1</v>
      </c>
      <c r="Q533">
        <v>0</v>
      </c>
      <c r="R533">
        <v>0</v>
      </c>
      <c r="S533">
        <v>1</v>
      </c>
      <c r="T533">
        <v>25</v>
      </c>
      <c r="U533">
        <v>0.25</v>
      </c>
      <c r="V533">
        <v>0</v>
      </c>
      <c r="W533">
        <f>E533/100</f>
        <v>0.04</v>
      </c>
      <c r="X533">
        <f>F533/1000000</f>
        <v>0.04</v>
      </c>
      <c r="Y533">
        <f>IF(D533="C",1,0)</f>
        <v>0</v>
      </c>
      <c r="Z533">
        <f>IF(G533="C",1,0)</f>
        <v>0</v>
      </c>
      <c r="AA533">
        <f>IF(G533="S",1,0)</f>
        <v>0</v>
      </c>
      <c r="AB533">
        <f>IF(G533="U",1,0)</f>
        <v>0</v>
      </c>
      <c r="AC533" s="5">
        <f>IF(AND(ISNUMBER(H533),NOT(ISNUMBER(P533))),1,0)</f>
        <v>0</v>
      </c>
      <c r="AD533" s="5">
        <f>IF(AND(ISNUMBER(H533),ISNUMBER(P533)),1,0)</f>
        <v>0</v>
      </c>
      <c r="AE533" s="5">
        <f>W533</f>
        <v>0.04</v>
      </c>
      <c r="AF533" s="5">
        <f>X533</f>
        <v>0.04</v>
      </c>
      <c r="AG533" s="5">
        <f>Y533</f>
        <v>0</v>
      </c>
      <c r="AH533" s="5">
        <f>IF(OR(G533="C",G533="S",G533="U"),1,0)</f>
        <v>0</v>
      </c>
      <c r="AI533" s="5">
        <f>IF(ISNUMBER(H533),1,0)</f>
        <v>0</v>
      </c>
      <c r="AJ533" s="5">
        <f>IF(ISNUMBER(P533),1,0)</f>
        <v>1</v>
      </c>
      <c r="AK533" s="5" t="str">
        <f>IF(AI533=1,IF(J533&gt;0,1,0),"")</f>
        <v/>
      </c>
      <c r="AL533" s="5">
        <f>IF(AJ533=1,IF(OR(Q533&gt;0,R533&gt;0),1,0),"")</f>
        <v>0</v>
      </c>
    </row>
    <row r="534" spans="1:38">
      <c r="A534">
        <v>560518</v>
      </c>
      <c r="B534" t="s">
        <v>675</v>
      </c>
      <c r="C534" t="s">
        <v>496</v>
      </c>
      <c r="D534" t="s">
        <v>24</v>
      </c>
      <c r="E534">
        <v>67</v>
      </c>
      <c r="F534">
        <v>5879244</v>
      </c>
      <c r="H534" t="s">
        <v>26</v>
      </c>
      <c r="I534" t="s">
        <v>26</v>
      </c>
      <c r="J534" t="s">
        <v>26</v>
      </c>
      <c r="K534" t="s">
        <v>26</v>
      </c>
      <c r="L534" t="s">
        <v>26</v>
      </c>
      <c r="M534" t="s">
        <v>26</v>
      </c>
      <c r="N534" t="s">
        <v>26</v>
      </c>
      <c r="O534" t="s">
        <v>26</v>
      </c>
      <c r="P534">
        <v>1</v>
      </c>
      <c r="Q534">
        <v>0</v>
      </c>
      <c r="R534">
        <v>0</v>
      </c>
      <c r="S534">
        <v>1</v>
      </c>
      <c r="T534">
        <v>0.1701</v>
      </c>
      <c r="U534">
        <v>1.49E-2</v>
      </c>
      <c r="V534">
        <v>0</v>
      </c>
      <c r="W534">
        <f>E534/100</f>
        <v>0.67</v>
      </c>
      <c r="X534">
        <f>F534/1000000</f>
        <v>5.8792439999999999</v>
      </c>
      <c r="Y534">
        <f>IF(D534="C",1,0)</f>
        <v>0</v>
      </c>
      <c r="Z534">
        <f>IF(G534="C",1,0)</f>
        <v>0</v>
      </c>
      <c r="AA534">
        <f>IF(G534="S",1,0)</f>
        <v>0</v>
      </c>
      <c r="AB534">
        <f>IF(G534="U",1,0)</f>
        <v>0</v>
      </c>
      <c r="AC534" s="5">
        <f>IF(AND(ISNUMBER(H534),NOT(ISNUMBER(P534))),1,0)</f>
        <v>0</v>
      </c>
      <c r="AD534" s="5">
        <f>IF(AND(ISNUMBER(H534),ISNUMBER(P534)),1,0)</f>
        <v>0</v>
      </c>
      <c r="AE534" s="5">
        <f>W534</f>
        <v>0.67</v>
      </c>
      <c r="AF534" s="5">
        <f>X534</f>
        <v>5.8792439999999999</v>
      </c>
      <c r="AG534" s="5">
        <f>Y534</f>
        <v>0</v>
      </c>
      <c r="AH534" s="5">
        <f>IF(OR(G534="C",G534="S",G534="U"),1,0)</f>
        <v>0</v>
      </c>
      <c r="AI534" s="5">
        <f>IF(ISNUMBER(H534),1,0)</f>
        <v>0</v>
      </c>
      <c r="AJ534" s="5">
        <f>IF(ISNUMBER(P534),1,0)</f>
        <v>1</v>
      </c>
      <c r="AK534" s="5" t="str">
        <f>IF(AI534=1,IF(J534&gt;0,1,0),"")</f>
        <v/>
      </c>
      <c r="AL534" s="5">
        <f>IF(AJ534=1,IF(OR(Q534&gt;0,R534&gt;0),1,0),"")</f>
        <v>0</v>
      </c>
    </row>
    <row r="535" spans="1:38">
      <c r="A535">
        <v>560713</v>
      </c>
      <c r="B535" t="s">
        <v>676</v>
      </c>
      <c r="C535" t="s">
        <v>125</v>
      </c>
      <c r="D535" t="s">
        <v>24</v>
      </c>
      <c r="E535">
        <v>17</v>
      </c>
      <c r="F535">
        <v>85000</v>
      </c>
      <c r="H535" t="s">
        <v>26</v>
      </c>
      <c r="I535" t="s">
        <v>26</v>
      </c>
      <c r="J535" t="s">
        <v>26</v>
      </c>
      <c r="K535" t="s">
        <v>26</v>
      </c>
      <c r="L535" t="s">
        <v>26</v>
      </c>
      <c r="M535" t="s">
        <v>26</v>
      </c>
      <c r="N535" t="s">
        <v>26</v>
      </c>
      <c r="O535" t="s">
        <v>26</v>
      </c>
      <c r="P535">
        <v>1</v>
      </c>
      <c r="Q535">
        <v>0</v>
      </c>
      <c r="R535">
        <v>0</v>
      </c>
      <c r="S535">
        <v>1</v>
      </c>
      <c r="T535">
        <v>11.764699999999999</v>
      </c>
      <c r="U535">
        <v>5.8799999999999998E-2</v>
      </c>
      <c r="V535">
        <v>0</v>
      </c>
      <c r="W535">
        <f>E535/100</f>
        <v>0.17</v>
      </c>
      <c r="X535">
        <f>F535/1000000</f>
        <v>8.5000000000000006E-2</v>
      </c>
      <c r="Y535">
        <f>IF(D535="C",1,0)</f>
        <v>0</v>
      </c>
      <c r="Z535">
        <f>IF(G535="C",1,0)</f>
        <v>0</v>
      </c>
      <c r="AA535">
        <f>IF(G535="S",1,0)</f>
        <v>0</v>
      </c>
      <c r="AB535">
        <f>IF(G535="U",1,0)</f>
        <v>0</v>
      </c>
      <c r="AC535" s="5">
        <f>IF(AND(ISNUMBER(H535),NOT(ISNUMBER(P535))),1,0)</f>
        <v>0</v>
      </c>
      <c r="AD535" s="5">
        <f>IF(AND(ISNUMBER(H535),ISNUMBER(P535)),1,0)</f>
        <v>0</v>
      </c>
      <c r="AE535" s="5">
        <f>W535</f>
        <v>0.17</v>
      </c>
      <c r="AF535" s="5">
        <f>X535</f>
        <v>8.5000000000000006E-2</v>
      </c>
      <c r="AG535" s="5">
        <f>Y535</f>
        <v>0</v>
      </c>
      <c r="AH535" s="5">
        <f>IF(OR(G535="C",G535="S",G535="U"),1,0)</f>
        <v>0</v>
      </c>
      <c r="AI535" s="5">
        <f>IF(ISNUMBER(H535),1,0)</f>
        <v>0</v>
      </c>
      <c r="AJ535" s="5">
        <f>IF(ISNUMBER(P535),1,0)</f>
        <v>1</v>
      </c>
      <c r="AK535" s="5" t="str">
        <f>IF(AI535=1,IF(J535&gt;0,1,0),"")</f>
        <v/>
      </c>
      <c r="AL535" s="5">
        <f>IF(AJ535=1,IF(OR(Q535&gt;0,R535&gt;0),1,0),"")</f>
        <v>0</v>
      </c>
    </row>
    <row r="536" spans="1:38">
      <c r="A536">
        <v>563556</v>
      </c>
      <c r="B536" t="s">
        <v>677</v>
      </c>
      <c r="C536" t="s">
        <v>456</v>
      </c>
      <c r="D536" t="s">
        <v>24</v>
      </c>
      <c r="E536">
        <v>3</v>
      </c>
      <c r="F536">
        <v>340000</v>
      </c>
      <c r="G536" t="s">
        <v>25</v>
      </c>
      <c r="H536" t="s">
        <v>26</v>
      </c>
      <c r="I536" t="s">
        <v>26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26</v>
      </c>
      <c r="P536">
        <v>1</v>
      </c>
      <c r="Q536">
        <v>0</v>
      </c>
      <c r="R536">
        <v>1</v>
      </c>
      <c r="S536">
        <v>1</v>
      </c>
      <c r="T536">
        <v>2.9411999999999998</v>
      </c>
      <c r="U536">
        <v>0.33329999999999999</v>
      </c>
      <c r="V536">
        <v>1</v>
      </c>
      <c r="W536">
        <f>E536/100</f>
        <v>0.03</v>
      </c>
      <c r="X536">
        <f>F536/1000000</f>
        <v>0.34</v>
      </c>
      <c r="Y536">
        <f>IF(D536="C",1,0)</f>
        <v>0</v>
      </c>
      <c r="Z536">
        <f>IF(G536="C",1,0)</f>
        <v>0</v>
      </c>
      <c r="AA536">
        <f>IF(G536="S",1,0)</f>
        <v>1</v>
      </c>
      <c r="AB536">
        <f>IF(G536="U",1,0)</f>
        <v>0</v>
      </c>
      <c r="AC536" s="5">
        <f>IF(AND(ISNUMBER(H536),NOT(ISNUMBER(P536))),1,0)</f>
        <v>0</v>
      </c>
      <c r="AD536" s="5">
        <f>IF(AND(ISNUMBER(H536),ISNUMBER(P536)),1,0)</f>
        <v>0</v>
      </c>
      <c r="AE536" s="5">
        <f>W536</f>
        <v>0.03</v>
      </c>
      <c r="AF536" s="5">
        <f>X536</f>
        <v>0.34</v>
      </c>
      <c r="AG536" s="5">
        <f>Y536</f>
        <v>0</v>
      </c>
      <c r="AH536" s="5">
        <f>IF(OR(G536="C",G536="S",G536="U"),1,0)</f>
        <v>1</v>
      </c>
      <c r="AI536" s="5">
        <f>IF(ISNUMBER(H536),1,0)</f>
        <v>0</v>
      </c>
      <c r="AJ536" s="5">
        <f>IF(ISNUMBER(P536),1,0)</f>
        <v>1</v>
      </c>
      <c r="AK536" s="5" t="str">
        <f>IF(AI536=1,IF(J536&gt;0,1,0),"")</f>
        <v/>
      </c>
      <c r="AL536" s="5">
        <f>IF(AJ536=1,IF(OR(Q536&gt;0,R536&gt;0),1,0),"")</f>
        <v>1</v>
      </c>
    </row>
    <row r="537" spans="1:38">
      <c r="A537">
        <v>564876</v>
      </c>
      <c r="B537" t="s">
        <v>678</v>
      </c>
      <c r="C537" t="s">
        <v>84</v>
      </c>
      <c r="D537" t="s">
        <v>24</v>
      </c>
      <c r="E537">
        <v>11</v>
      </c>
      <c r="F537">
        <v>488000</v>
      </c>
      <c r="H537" t="s">
        <v>26</v>
      </c>
      <c r="I537" t="s">
        <v>26</v>
      </c>
      <c r="J537" t="s">
        <v>26</v>
      </c>
      <c r="K537" t="s">
        <v>26</v>
      </c>
      <c r="L537" t="s">
        <v>26</v>
      </c>
      <c r="M537" t="s">
        <v>26</v>
      </c>
      <c r="N537" t="s">
        <v>26</v>
      </c>
      <c r="O537" t="s">
        <v>26</v>
      </c>
      <c r="P537">
        <v>1</v>
      </c>
      <c r="Q537">
        <v>0</v>
      </c>
      <c r="R537">
        <v>0</v>
      </c>
      <c r="S537">
        <v>1</v>
      </c>
      <c r="T537">
        <v>2.0491999999999999</v>
      </c>
      <c r="U537">
        <v>9.0899999999999995E-2</v>
      </c>
      <c r="V537">
        <v>0</v>
      </c>
      <c r="W537">
        <f>E537/100</f>
        <v>0.11</v>
      </c>
      <c r="X537">
        <f>F537/1000000</f>
        <v>0.48799999999999999</v>
      </c>
      <c r="Y537">
        <f>IF(D537="C",1,0)</f>
        <v>0</v>
      </c>
      <c r="Z537">
        <f>IF(G537="C",1,0)</f>
        <v>0</v>
      </c>
      <c r="AA537">
        <f>IF(G537="S",1,0)</f>
        <v>0</v>
      </c>
      <c r="AB537">
        <f>IF(G537="U",1,0)</f>
        <v>0</v>
      </c>
      <c r="AC537" s="5">
        <f>IF(AND(ISNUMBER(H537),NOT(ISNUMBER(P537))),1,0)</f>
        <v>0</v>
      </c>
      <c r="AD537" s="5">
        <f>IF(AND(ISNUMBER(H537),ISNUMBER(P537)),1,0)</f>
        <v>0</v>
      </c>
      <c r="AE537" s="5">
        <f>W537</f>
        <v>0.11</v>
      </c>
      <c r="AF537" s="5">
        <f>X537</f>
        <v>0.48799999999999999</v>
      </c>
      <c r="AG537" s="5">
        <f>Y537</f>
        <v>0</v>
      </c>
      <c r="AH537" s="5">
        <f>IF(OR(G537="C",G537="S",G537="U"),1,0)</f>
        <v>0</v>
      </c>
      <c r="AI537" s="5">
        <f>IF(ISNUMBER(H537),1,0)</f>
        <v>0</v>
      </c>
      <c r="AJ537" s="5">
        <f>IF(ISNUMBER(P537),1,0)</f>
        <v>1</v>
      </c>
      <c r="AK537" s="5" t="str">
        <f>IF(AI537=1,IF(J537&gt;0,1,0),"")</f>
        <v/>
      </c>
      <c r="AL537" s="5">
        <f>IF(AJ537=1,IF(OR(Q537&gt;0,R537&gt;0),1,0),"")</f>
        <v>0</v>
      </c>
    </row>
    <row r="538" spans="1:38">
      <c r="A538">
        <v>564889</v>
      </c>
      <c r="B538" t="s">
        <v>679</v>
      </c>
      <c r="C538" t="s">
        <v>82</v>
      </c>
      <c r="D538" t="s">
        <v>24</v>
      </c>
      <c r="E538">
        <v>31</v>
      </c>
      <c r="F538">
        <v>3413293</v>
      </c>
      <c r="G538" t="s">
        <v>25</v>
      </c>
      <c r="H538" t="s">
        <v>26</v>
      </c>
      <c r="I538" t="s">
        <v>26</v>
      </c>
      <c r="J538" t="s">
        <v>26</v>
      </c>
      <c r="K538" t="s">
        <v>26</v>
      </c>
      <c r="L538" t="s">
        <v>26</v>
      </c>
      <c r="M538" t="s">
        <v>26</v>
      </c>
      <c r="N538" t="s">
        <v>26</v>
      </c>
      <c r="O538" t="s">
        <v>26</v>
      </c>
      <c r="P538">
        <v>1</v>
      </c>
      <c r="Q538">
        <v>0</v>
      </c>
      <c r="R538">
        <v>0</v>
      </c>
      <c r="S538">
        <v>1</v>
      </c>
      <c r="T538">
        <v>0.29299999999999998</v>
      </c>
      <c r="U538">
        <v>3.2300000000000002E-2</v>
      </c>
      <c r="V538">
        <v>0</v>
      </c>
      <c r="W538">
        <f>E538/100</f>
        <v>0.31</v>
      </c>
      <c r="X538">
        <f>F538/1000000</f>
        <v>3.4132929999999999</v>
      </c>
      <c r="Y538">
        <f>IF(D538="C",1,0)</f>
        <v>0</v>
      </c>
      <c r="Z538">
        <f>IF(G538="C",1,0)</f>
        <v>0</v>
      </c>
      <c r="AA538">
        <f>IF(G538="S",1,0)</f>
        <v>1</v>
      </c>
      <c r="AB538">
        <f>IF(G538="U",1,0)</f>
        <v>0</v>
      </c>
      <c r="AC538" s="5">
        <f>IF(AND(ISNUMBER(H538),NOT(ISNUMBER(P538))),1,0)</f>
        <v>0</v>
      </c>
      <c r="AD538" s="5">
        <f>IF(AND(ISNUMBER(H538),ISNUMBER(P538)),1,0)</f>
        <v>0</v>
      </c>
      <c r="AE538" s="5">
        <f>W538</f>
        <v>0.31</v>
      </c>
      <c r="AF538" s="5">
        <f>X538</f>
        <v>3.4132929999999999</v>
      </c>
      <c r="AG538" s="5">
        <f>Y538</f>
        <v>0</v>
      </c>
      <c r="AH538" s="5">
        <f>IF(OR(G538="C",G538="S",G538="U"),1,0)</f>
        <v>1</v>
      </c>
      <c r="AI538" s="5">
        <f>IF(ISNUMBER(H538),1,0)</f>
        <v>0</v>
      </c>
      <c r="AJ538" s="5">
        <f>IF(ISNUMBER(P538),1,0)</f>
        <v>1</v>
      </c>
      <c r="AK538" s="5" t="str">
        <f>IF(AI538=1,IF(J538&gt;0,1,0),"")</f>
        <v/>
      </c>
      <c r="AL538" s="5">
        <f>IF(AJ538=1,IF(OR(Q538&gt;0,R538&gt;0),1,0),"")</f>
        <v>0</v>
      </c>
    </row>
    <row r="539" spans="1:38">
      <c r="A539">
        <v>565402</v>
      </c>
      <c r="B539" t="s">
        <v>680</v>
      </c>
      <c r="C539" t="s">
        <v>82</v>
      </c>
      <c r="D539" t="s">
        <v>24</v>
      </c>
      <c r="E539">
        <v>53</v>
      </c>
      <c r="F539">
        <v>887249</v>
      </c>
      <c r="G539" t="s">
        <v>25</v>
      </c>
      <c r="H539" t="s">
        <v>26</v>
      </c>
      <c r="I539" t="s">
        <v>26</v>
      </c>
      <c r="J539" t="s">
        <v>26</v>
      </c>
      <c r="K539" t="s">
        <v>26</v>
      </c>
      <c r="L539" t="s">
        <v>26</v>
      </c>
      <c r="M539" t="s">
        <v>26</v>
      </c>
      <c r="N539" t="s">
        <v>26</v>
      </c>
      <c r="O539" t="s">
        <v>26</v>
      </c>
      <c r="P539">
        <v>1</v>
      </c>
      <c r="Q539">
        <v>0</v>
      </c>
      <c r="R539">
        <v>1</v>
      </c>
      <c r="S539">
        <v>1</v>
      </c>
      <c r="T539">
        <v>1.1271</v>
      </c>
      <c r="U539">
        <v>1.89E-2</v>
      </c>
      <c r="V539">
        <v>1</v>
      </c>
      <c r="W539">
        <f>E539/100</f>
        <v>0.53</v>
      </c>
      <c r="X539">
        <f>F539/1000000</f>
        <v>0.88724899999999995</v>
      </c>
      <c r="Y539">
        <f>IF(D539="C",1,0)</f>
        <v>0</v>
      </c>
      <c r="Z539">
        <f>IF(G539="C",1,0)</f>
        <v>0</v>
      </c>
      <c r="AA539">
        <f>IF(G539="S",1,0)</f>
        <v>1</v>
      </c>
      <c r="AB539">
        <f>IF(G539="U",1,0)</f>
        <v>0</v>
      </c>
      <c r="AC539" s="5">
        <f>IF(AND(ISNUMBER(H539),NOT(ISNUMBER(P539))),1,0)</f>
        <v>0</v>
      </c>
      <c r="AD539" s="5">
        <f>IF(AND(ISNUMBER(H539),ISNUMBER(P539)),1,0)</f>
        <v>0</v>
      </c>
      <c r="AE539" s="5">
        <f>W539</f>
        <v>0.53</v>
      </c>
      <c r="AF539" s="5">
        <f>X539</f>
        <v>0.88724899999999995</v>
      </c>
      <c r="AG539" s="5">
        <f>Y539</f>
        <v>0</v>
      </c>
      <c r="AH539" s="5">
        <f>IF(OR(G539="C",G539="S",G539="U"),1,0)</f>
        <v>1</v>
      </c>
      <c r="AI539" s="5">
        <f>IF(ISNUMBER(H539),1,0)</f>
        <v>0</v>
      </c>
      <c r="AJ539" s="5">
        <f>IF(ISNUMBER(P539),1,0)</f>
        <v>1</v>
      </c>
      <c r="AK539" s="5" t="str">
        <f>IF(AI539=1,IF(J539&gt;0,1,0),"")</f>
        <v/>
      </c>
      <c r="AL539" s="5">
        <f>IF(AJ539=1,IF(OR(Q539&gt;0,R539&gt;0),1,0),"")</f>
        <v>1</v>
      </c>
    </row>
    <row r="540" spans="1:38">
      <c r="A540">
        <v>566771</v>
      </c>
      <c r="B540" t="s">
        <v>681</v>
      </c>
      <c r="C540" t="s">
        <v>82</v>
      </c>
      <c r="D540" t="s">
        <v>24</v>
      </c>
      <c r="E540">
        <v>10</v>
      </c>
      <c r="F540">
        <v>15418</v>
      </c>
      <c r="H540" t="s">
        <v>26</v>
      </c>
      <c r="I540" t="s">
        <v>26</v>
      </c>
      <c r="J540" t="s">
        <v>26</v>
      </c>
      <c r="K540" t="s">
        <v>26</v>
      </c>
      <c r="L540" t="s">
        <v>26</v>
      </c>
      <c r="M540" t="s">
        <v>26</v>
      </c>
      <c r="N540" t="s">
        <v>26</v>
      </c>
      <c r="O540" t="s">
        <v>26</v>
      </c>
      <c r="P540">
        <v>1</v>
      </c>
      <c r="Q540">
        <v>0</v>
      </c>
      <c r="R540">
        <v>0</v>
      </c>
      <c r="S540">
        <v>1</v>
      </c>
      <c r="T540">
        <v>64.859300000000005</v>
      </c>
      <c r="U540">
        <v>0.1</v>
      </c>
      <c r="V540">
        <v>0</v>
      </c>
      <c r="W540">
        <f>E540/100</f>
        <v>0.1</v>
      </c>
      <c r="X540">
        <f>F540/1000000</f>
        <v>1.5417999999999999E-2</v>
      </c>
      <c r="Y540">
        <f>IF(D540="C",1,0)</f>
        <v>0</v>
      </c>
      <c r="Z540">
        <f>IF(G540="C",1,0)</f>
        <v>0</v>
      </c>
      <c r="AA540">
        <f>IF(G540="S",1,0)</f>
        <v>0</v>
      </c>
      <c r="AB540">
        <f>IF(G540="U",1,0)</f>
        <v>0</v>
      </c>
      <c r="AC540" s="5">
        <f>IF(AND(ISNUMBER(H540),NOT(ISNUMBER(P540))),1,0)</f>
        <v>0</v>
      </c>
      <c r="AD540" s="5">
        <f>IF(AND(ISNUMBER(H540),ISNUMBER(P540)),1,0)</f>
        <v>0</v>
      </c>
      <c r="AE540" s="5">
        <f>W540</f>
        <v>0.1</v>
      </c>
      <c r="AF540" s="5">
        <f>X540</f>
        <v>1.5417999999999999E-2</v>
      </c>
      <c r="AG540" s="5">
        <f>Y540</f>
        <v>0</v>
      </c>
      <c r="AH540" s="5">
        <f>IF(OR(G540="C",G540="S",G540="U"),1,0)</f>
        <v>0</v>
      </c>
      <c r="AI540" s="5">
        <f>IF(ISNUMBER(H540),1,0)</f>
        <v>0</v>
      </c>
      <c r="AJ540" s="5">
        <f>IF(ISNUMBER(P540),1,0)</f>
        <v>1</v>
      </c>
      <c r="AK540" s="5" t="str">
        <f>IF(AI540=1,IF(J540&gt;0,1,0),"")</f>
        <v/>
      </c>
      <c r="AL540" s="5">
        <f>IF(AJ540=1,IF(OR(Q540&gt;0,R540&gt;0),1,0),"")</f>
        <v>0</v>
      </c>
    </row>
    <row r="541" spans="1:38">
      <c r="A541">
        <v>567509</v>
      </c>
      <c r="B541" t="s">
        <v>682</v>
      </c>
      <c r="C541" t="s">
        <v>105</v>
      </c>
      <c r="D541" t="s">
        <v>24</v>
      </c>
      <c r="E541">
        <v>1</v>
      </c>
      <c r="F541">
        <v>20362</v>
      </c>
      <c r="H541" t="s">
        <v>26</v>
      </c>
      <c r="I541" t="s">
        <v>26</v>
      </c>
      <c r="J541" t="s">
        <v>26</v>
      </c>
      <c r="K541" t="s">
        <v>26</v>
      </c>
      <c r="L541" t="s">
        <v>26</v>
      </c>
      <c r="M541" t="s">
        <v>26</v>
      </c>
      <c r="N541" t="s">
        <v>26</v>
      </c>
      <c r="O541" t="s">
        <v>26</v>
      </c>
      <c r="P541">
        <v>1</v>
      </c>
      <c r="Q541">
        <v>0</v>
      </c>
      <c r="R541">
        <v>0</v>
      </c>
      <c r="S541">
        <v>1</v>
      </c>
      <c r="T541">
        <v>49.1111</v>
      </c>
      <c r="U541">
        <v>1</v>
      </c>
      <c r="V541">
        <v>0</v>
      </c>
      <c r="W541">
        <f>E541/100</f>
        <v>0.01</v>
      </c>
      <c r="X541">
        <f>F541/1000000</f>
        <v>2.0362000000000002E-2</v>
      </c>
      <c r="Y541">
        <f>IF(D541="C",1,0)</f>
        <v>0</v>
      </c>
      <c r="Z541">
        <f>IF(G541="C",1,0)</f>
        <v>0</v>
      </c>
      <c r="AA541">
        <f>IF(G541="S",1,0)</f>
        <v>0</v>
      </c>
      <c r="AB541">
        <f>IF(G541="U",1,0)</f>
        <v>0</v>
      </c>
      <c r="AC541" s="5">
        <f>IF(AND(ISNUMBER(H541),NOT(ISNUMBER(P541))),1,0)</f>
        <v>0</v>
      </c>
      <c r="AD541" s="5">
        <f>IF(AND(ISNUMBER(H541),ISNUMBER(P541)),1,0)</f>
        <v>0</v>
      </c>
      <c r="AE541" s="5">
        <f>W541</f>
        <v>0.01</v>
      </c>
      <c r="AF541" s="5">
        <f>X541</f>
        <v>2.0362000000000002E-2</v>
      </c>
      <c r="AG541" s="5">
        <f>Y541</f>
        <v>0</v>
      </c>
      <c r="AH541" s="5">
        <f>IF(OR(G541="C",G541="S",G541="U"),1,0)</f>
        <v>0</v>
      </c>
      <c r="AI541" s="5">
        <f>IF(ISNUMBER(H541),1,0)</f>
        <v>0</v>
      </c>
      <c r="AJ541" s="5">
        <f>IF(ISNUMBER(P541),1,0)</f>
        <v>1</v>
      </c>
      <c r="AK541" s="5" t="str">
        <f>IF(AI541=1,IF(J541&gt;0,1,0),"")</f>
        <v/>
      </c>
      <c r="AL541" s="5">
        <f>IF(AJ541=1,IF(OR(Q541&gt;0,R541&gt;0),1,0),"")</f>
        <v>0</v>
      </c>
    </row>
    <row r="542" spans="1:38">
      <c r="A542">
        <v>567606</v>
      </c>
      <c r="B542" t="s">
        <v>683</v>
      </c>
      <c r="C542" t="s">
        <v>84</v>
      </c>
      <c r="D542" t="s">
        <v>24</v>
      </c>
      <c r="E542">
        <v>16</v>
      </c>
      <c r="F542">
        <v>616960</v>
      </c>
      <c r="G542" t="s">
        <v>25</v>
      </c>
      <c r="H542" t="s">
        <v>26</v>
      </c>
      <c r="I542" t="s">
        <v>26</v>
      </c>
      <c r="J542" t="s">
        <v>26</v>
      </c>
      <c r="K542" t="s">
        <v>26</v>
      </c>
      <c r="L542" t="s">
        <v>26</v>
      </c>
      <c r="M542" t="s">
        <v>26</v>
      </c>
      <c r="N542" t="s">
        <v>26</v>
      </c>
      <c r="O542" t="s">
        <v>26</v>
      </c>
      <c r="P542">
        <v>1</v>
      </c>
      <c r="Q542">
        <v>0</v>
      </c>
      <c r="R542">
        <v>0</v>
      </c>
      <c r="S542">
        <v>1</v>
      </c>
      <c r="T542">
        <v>1.6209</v>
      </c>
      <c r="U542">
        <v>6.25E-2</v>
      </c>
      <c r="V542">
        <v>0</v>
      </c>
      <c r="W542">
        <f>E542/100</f>
        <v>0.16</v>
      </c>
      <c r="X542">
        <f>F542/1000000</f>
        <v>0.61695999999999995</v>
      </c>
      <c r="Y542">
        <f>IF(D542="C",1,0)</f>
        <v>0</v>
      </c>
      <c r="Z542">
        <f>IF(G542="C",1,0)</f>
        <v>0</v>
      </c>
      <c r="AA542">
        <f>IF(G542="S",1,0)</f>
        <v>1</v>
      </c>
      <c r="AB542">
        <f>IF(G542="U",1,0)</f>
        <v>0</v>
      </c>
      <c r="AC542" s="5">
        <f>IF(AND(ISNUMBER(H542),NOT(ISNUMBER(P542))),1,0)</f>
        <v>0</v>
      </c>
      <c r="AD542" s="5">
        <f>IF(AND(ISNUMBER(H542),ISNUMBER(P542)),1,0)</f>
        <v>0</v>
      </c>
      <c r="AE542" s="5">
        <f>W542</f>
        <v>0.16</v>
      </c>
      <c r="AF542" s="5">
        <f>X542</f>
        <v>0.61695999999999995</v>
      </c>
      <c r="AG542" s="5">
        <f>Y542</f>
        <v>0</v>
      </c>
      <c r="AH542" s="5">
        <f>IF(OR(G542="C",G542="S",G542="U"),1,0)</f>
        <v>1</v>
      </c>
      <c r="AI542" s="5">
        <f>IF(ISNUMBER(H542),1,0)</f>
        <v>0</v>
      </c>
      <c r="AJ542" s="5">
        <f>IF(ISNUMBER(P542),1,0)</f>
        <v>1</v>
      </c>
      <c r="AK542" s="5" t="str">
        <f>IF(AI542=1,IF(J542&gt;0,1,0),"")</f>
        <v/>
      </c>
      <c r="AL542" s="5">
        <f>IF(AJ542=1,IF(OR(Q542&gt;0,R542&gt;0),1,0),"")</f>
        <v>0</v>
      </c>
    </row>
    <row r="543" spans="1:38">
      <c r="A543">
        <v>568436</v>
      </c>
      <c r="B543" t="s">
        <v>684</v>
      </c>
      <c r="C543" t="s">
        <v>101</v>
      </c>
      <c r="D543" t="s">
        <v>24</v>
      </c>
      <c r="E543">
        <v>1</v>
      </c>
      <c r="F543">
        <v>29384</v>
      </c>
      <c r="H543" t="s">
        <v>26</v>
      </c>
      <c r="I543" t="s">
        <v>26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26</v>
      </c>
      <c r="P543">
        <v>1</v>
      </c>
      <c r="Q543">
        <v>0</v>
      </c>
      <c r="R543">
        <v>1</v>
      </c>
      <c r="S543">
        <v>1</v>
      </c>
      <c r="T543">
        <v>34.0321</v>
      </c>
      <c r="U543">
        <v>1</v>
      </c>
      <c r="V543">
        <v>1</v>
      </c>
      <c r="W543">
        <f>E543/100</f>
        <v>0.01</v>
      </c>
      <c r="X543">
        <f>F543/1000000</f>
        <v>2.9384E-2</v>
      </c>
      <c r="Y543">
        <f>IF(D543="C",1,0)</f>
        <v>0</v>
      </c>
      <c r="Z543">
        <f>IF(G543="C",1,0)</f>
        <v>0</v>
      </c>
      <c r="AA543">
        <f>IF(G543="S",1,0)</f>
        <v>0</v>
      </c>
      <c r="AB543">
        <f>IF(G543="U",1,0)</f>
        <v>0</v>
      </c>
      <c r="AC543" s="5">
        <f>IF(AND(ISNUMBER(H543),NOT(ISNUMBER(P543))),1,0)</f>
        <v>0</v>
      </c>
      <c r="AD543" s="5">
        <f>IF(AND(ISNUMBER(H543),ISNUMBER(P543)),1,0)</f>
        <v>0</v>
      </c>
      <c r="AE543" s="5">
        <f>W543</f>
        <v>0.01</v>
      </c>
      <c r="AF543" s="5">
        <f>X543</f>
        <v>2.9384E-2</v>
      </c>
      <c r="AG543" s="5">
        <f>Y543</f>
        <v>0</v>
      </c>
      <c r="AH543" s="5">
        <f>IF(OR(G543="C",G543="S",G543="U"),1,0)</f>
        <v>0</v>
      </c>
      <c r="AI543" s="5">
        <f>IF(ISNUMBER(H543),1,0)</f>
        <v>0</v>
      </c>
      <c r="AJ543" s="5">
        <f>IF(ISNUMBER(P543),1,0)</f>
        <v>1</v>
      </c>
      <c r="AK543" s="5" t="str">
        <f>IF(AI543=1,IF(J543&gt;0,1,0),"")</f>
        <v/>
      </c>
      <c r="AL543" s="5">
        <f>IF(AJ543=1,IF(OR(Q543&gt;0,R543&gt;0),1,0),"")</f>
        <v>1</v>
      </c>
    </row>
    <row r="544" spans="1:38">
      <c r="A544">
        <v>569618</v>
      </c>
      <c r="B544" t="s">
        <v>685</v>
      </c>
      <c r="C544" t="s">
        <v>82</v>
      </c>
      <c r="D544" t="s">
        <v>24</v>
      </c>
      <c r="E544">
        <v>19</v>
      </c>
      <c r="F544">
        <v>257320</v>
      </c>
      <c r="G544" t="s">
        <v>25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>
        <v>1</v>
      </c>
      <c r="Q544">
        <v>0</v>
      </c>
      <c r="R544">
        <v>0</v>
      </c>
      <c r="S544">
        <v>1</v>
      </c>
      <c r="T544">
        <v>3.8862000000000001</v>
      </c>
      <c r="U544">
        <v>5.2600000000000001E-2</v>
      </c>
      <c r="V544">
        <v>0</v>
      </c>
      <c r="W544">
        <f>E544/100</f>
        <v>0.19</v>
      </c>
      <c r="X544">
        <f>F544/1000000</f>
        <v>0.25731999999999999</v>
      </c>
      <c r="Y544">
        <f>IF(D544="C",1,0)</f>
        <v>0</v>
      </c>
      <c r="Z544">
        <f>IF(G544="C",1,0)</f>
        <v>0</v>
      </c>
      <c r="AA544">
        <f>IF(G544="S",1,0)</f>
        <v>1</v>
      </c>
      <c r="AB544">
        <f>IF(G544="U",1,0)</f>
        <v>0</v>
      </c>
      <c r="AC544" s="5">
        <f>IF(AND(ISNUMBER(H544),NOT(ISNUMBER(P544))),1,0)</f>
        <v>0</v>
      </c>
      <c r="AD544" s="5">
        <f>IF(AND(ISNUMBER(H544),ISNUMBER(P544)),1,0)</f>
        <v>0</v>
      </c>
      <c r="AE544" s="5">
        <f>W544</f>
        <v>0.19</v>
      </c>
      <c r="AF544" s="5">
        <f>X544</f>
        <v>0.25731999999999999</v>
      </c>
      <c r="AG544" s="5">
        <f>Y544</f>
        <v>0</v>
      </c>
      <c r="AH544" s="5">
        <f>IF(OR(G544="C",G544="S",G544="U"),1,0)</f>
        <v>1</v>
      </c>
      <c r="AI544" s="5">
        <f>IF(ISNUMBER(H544),1,0)</f>
        <v>0</v>
      </c>
      <c r="AJ544" s="5">
        <f>IF(ISNUMBER(P544),1,0)</f>
        <v>1</v>
      </c>
      <c r="AK544" s="5" t="str">
        <f>IF(AI544=1,IF(J544&gt;0,1,0),"")</f>
        <v/>
      </c>
      <c r="AL544" s="5">
        <f>IF(AJ544=1,IF(OR(Q544&gt;0,R544&gt;0),1,0),"")</f>
        <v>0</v>
      </c>
    </row>
    <row r="545" spans="1:38">
      <c r="A545">
        <v>572045</v>
      </c>
      <c r="B545" t="s">
        <v>686</v>
      </c>
      <c r="C545" t="s">
        <v>82</v>
      </c>
      <c r="D545" t="s">
        <v>24</v>
      </c>
      <c r="E545">
        <v>10</v>
      </c>
      <c r="F545">
        <v>300000</v>
      </c>
      <c r="H545" t="s">
        <v>26</v>
      </c>
      <c r="I545" t="s">
        <v>26</v>
      </c>
      <c r="J545" t="s">
        <v>26</v>
      </c>
      <c r="K545" t="s">
        <v>26</v>
      </c>
      <c r="L545" t="s">
        <v>26</v>
      </c>
      <c r="M545" t="s">
        <v>26</v>
      </c>
      <c r="N545" t="s">
        <v>26</v>
      </c>
      <c r="O545" t="s">
        <v>26</v>
      </c>
      <c r="P545">
        <v>1</v>
      </c>
      <c r="Q545">
        <v>0</v>
      </c>
      <c r="R545">
        <v>1</v>
      </c>
      <c r="S545">
        <v>1</v>
      </c>
      <c r="T545">
        <v>3.3332999999999999</v>
      </c>
      <c r="U545">
        <v>0.1</v>
      </c>
      <c r="V545">
        <v>1</v>
      </c>
      <c r="W545">
        <f>E545/100</f>
        <v>0.1</v>
      </c>
      <c r="X545">
        <f>F545/1000000</f>
        <v>0.3</v>
      </c>
      <c r="Y545">
        <f>IF(D545="C",1,0)</f>
        <v>0</v>
      </c>
      <c r="Z545">
        <f>IF(G545="C",1,0)</f>
        <v>0</v>
      </c>
      <c r="AA545">
        <f>IF(G545="S",1,0)</f>
        <v>0</v>
      </c>
      <c r="AB545">
        <f>IF(G545="U",1,0)</f>
        <v>0</v>
      </c>
      <c r="AC545" s="5">
        <f>IF(AND(ISNUMBER(H545),NOT(ISNUMBER(P545))),1,0)</f>
        <v>0</v>
      </c>
      <c r="AD545" s="5">
        <f>IF(AND(ISNUMBER(H545),ISNUMBER(P545)),1,0)</f>
        <v>0</v>
      </c>
      <c r="AE545" s="5">
        <f>W545</f>
        <v>0.1</v>
      </c>
      <c r="AF545" s="5">
        <f>X545</f>
        <v>0.3</v>
      </c>
      <c r="AG545" s="5">
        <f>Y545</f>
        <v>0</v>
      </c>
      <c r="AH545" s="5">
        <f>IF(OR(G545="C",G545="S",G545="U"),1,0)</f>
        <v>0</v>
      </c>
      <c r="AI545" s="5">
        <f>IF(ISNUMBER(H545),1,0)</f>
        <v>0</v>
      </c>
      <c r="AJ545" s="5">
        <f>IF(ISNUMBER(P545),1,0)</f>
        <v>1</v>
      </c>
      <c r="AK545" s="5" t="str">
        <f>IF(AI545=1,IF(J545&gt;0,1,0),"")</f>
        <v/>
      </c>
      <c r="AL545" s="5">
        <f>IF(AJ545=1,IF(OR(Q545&gt;0,R545&gt;0),1,0),"")</f>
        <v>1</v>
      </c>
    </row>
    <row r="546" spans="1:38">
      <c r="A546">
        <v>573265</v>
      </c>
      <c r="B546" t="s">
        <v>687</v>
      </c>
      <c r="C546" t="s">
        <v>183</v>
      </c>
      <c r="D546" t="s">
        <v>24</v>
      </c>
      <c r="E546">
        <v>46</v>
      </c>
      <c r="F546">
        <v>2700000</v>
      </c>
      <c r="G546" t="s">
        <v>25</v>
      </c>
      <c r="H546" t="s">
        <v>26</v>
      </c>
      <c r="I546" t="s">
        <v>26</v>
      </c>
      <c r="J546" t="s">
        <v>26</v>
      </c>
      <c r="K546" t="s">
        <v>26</v>
      </c>
      <c r="L546" t="s">
        <v>26</v>
      </c>
      <c r="M546" t="s">
        <v>26</v>
      </c>
      <c r="N546" t="s">
        <v>26</v>
      </c>
      <c r="O546" t="s">
        <v>26</v>
      </c>
      <c r="P546">
        <v>1</v>
      </c>
      <c r="Q546">
        <v>0</v>
      </c>
      <c r="R546">
        <v>0</v>
      </c>
      <c r="S546">
        <v>1</v>
      </c>
      <c r="T546">
        <v>0.37040000000000001</v>
      </c>
      <c r="U546">
        <v>2.1700000000000001E-2</v>
      </c>
      <c r="V546">
        <v>0</v>
      </c>
      <c r="W546">
        <f>E546/100</f>
        <v>0.46</v>
      </c>
      <c r="X546">
        <f>F546/1000000</f>
        <v>2.7</v>
      </c>
      <c r="Y546">
        <f>IF(D546="C",1,0)</f>
        <v>0</v>
      </c>
      <c r="Z546">
        <f>IF(G546="C",1,0)</f>
        <v>0</v>
      </c>
      <c r="AA546">
        <f>IF(G546="S",1,0)</f>
        <v>1</v>
      </c>
      <c r="AB546">
        <f>IF(G546="U",1,0)</f>
        <v>0</v>
      </c>
      <c r="AC546" s="5">
        <f>IF(AND(ISNUMBER(H546),NOT(ISNUMBER(P546))),1,0)</f>
        <v>0</v>
      </c>
      <c r="AD546" s="5">
        <f>IF(AND(ISNUMBER(H546),ISNUMBER(P546)),1,0)</f>
        <v>0</v>
      </c>
      <c r="AE546" s="5">
        <f>W546</f>
        <v>0.46</v>
      </c>
      <c r="AF546" s="5">
        <f>X546</f>
        <v>2.7</v>
      </c>
      <c r="AG546" s="5">
        <f>Y546</f>
        <v>0</v>
      </c>
      <c r="AH546" s="5">
        <f>IF(OR(G546="C",G546="S",G546="U"),1,0)</f>
        <v>1</v>
      </c>
      <c r="AI546" s="5">
        <f>IF(ISNUMBER(H546),1,0)</f>
        <v>0</v>
      </c>
      <c r="AJ546" s="5">
        <f>IF(ISNUMBER(P546),1,0)</f>
        <v>1</v>
      </c>
      <c r="AK546" s="5" t="str">
        <f>IF(AI546=1,IF(J546&gt;0,1,0),"")</f>
        <v/>
      </c>
      <c r="AL546" s="5">
        <f>IF(AJ546=1,IF(OR(Q546&gt;0,R546&gt;0),1,0),"")</f>
        <v>0</v>
      </c>
    </row>
    <row r="547" spans="1:38">
      <c r="A547">
        <v>576526</v>
      </c>
      <c r="B547" t="s">
        <v>688</v>
      </c>
      <c r="C547" t="s">
        <v>23</v>
      </c>
      <c r="D547" t="s">
        <v>24</v>
      </c>
      <c r="E547">
        <v>1</v>
      </c>
      <c r="F547">
        <v>136808</v>
      </c>
      <c r="H547" t="s">
        <v>26</v>
      </c>
      <c r="I547" t="s">
        <v>26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26</v>
      </c>
      <c r="P547">
        <v>1</v>
      </c>
      <c r="Q547">
        <v>0</v>
      </c>
      <c r="R547">
        <v>0</v>
      </c>
      <c r="S547">
        <v>1</v>
      </c>
      <c r="T547">
        <v>7.3094999999999999</v>
      </c>
      <c r="U547">
        <v>1</v>
      </c>
      <c r="V547">
        <v>0</v>
      </c>
      <c r="W547">
        <f>E547/100</f>
        <v>0.01</v>
      </c>
      <c r="X547">
        <f>F547/1000000</f>
        <v>0.13680800000000001</v>
      </c>
      <c r="Y547">
        <f>IF(D547="C",1,0)</f>
        <v>0</v>
      </c>
      <c r="Z547">
        <f>IF(G547="C",1,0)</f>
        <v>0</v>
      </c>
      <c r="AA547">
        <f>IF(G547="S",1,0)</f>
        <v>0</v>
      </c>
      <c r="AB547">
        <f>IF(G547="U",1,0)</f>
        <v>0</v>
      </c>
      <c r="AC547" s="5">
        <f>IF(AND(ISNUMBER(H547),NOT(ISNUMBER(P547))),1,0)</f>
        <v>0</v>
      </c>
      <c r="AD547" s="5">
        <f>IF(AND(ISNUMBER(H547),ISNUMBER(P547)),1,0)</f>
        <v>0</v>
      </c>
      <c r="AE547" s="5">
        <f>W547</f>
        <v>0.01</v>
      </c>
      <c r="AF547" s="5">
        <f>X547</f>
        <v>0.13680800000000001</v>
      </c>
      <c r="AG547" s="5">
        <f>Y547</f>
        <v>0</v>
      </c>
      <c r="AH547" s="5">
        <f>IF(OR(G547="C",G547="S",G547="U"),1,0)</f>
        <v>0</v>
      </c>
      <c r="AI547" s="5">
        <f>IF(ISNUMBER(H547),1,0)</f>
        <v>0</v>
      </c>
      <c r="AJ547" s="5">
        <f>IF(ISNUMBER(P547),1,0)</f>
        <v>1</v>
      </c>
      <c r="AK547" s="5" t="str">
        <f>IF(AI547=1,IF(J547&gt;0,1,0),"")</f>
        <v/>
      </c>
      <c r="AL547" s="5">
        <f>IF(AJ547=1,IF(OR(Q547&gt;0,R547&gt;0),1,0),"")</f>
        <v>0</v>
      </c>
    </row>
    <row r="548" spans="1:38">
      <c r="A548">
        <v>579161</v>
      </c>
      <c r="B548" t="s">
        <v>689</v>
      </c>
      <c r="C548" t="s">
        <v>82</v>
      </c>
      <c r="D548" t="s">
        <v>24</v>
      </c>
      <c r="E548">
        <v>3</v>
      </c>
      <c r="F548">
        <v>154000</v>
      </c>
      <c r="G548" t="s">
        <v>25</v>
      </c>
      <c r="H548" t="s">
        <v>26</v>
      </c>
      <c r="I548" t="s">
        <v>26</v>
      </c>
      <c r="J548" t="s">
        <v>26</v>
      </c>
      <c r="K548" t="s">
        <v>26</v>
      </c>
      <c r="L548" t="s">
        <v>26</v>
      </c>
      <c r="M548" t="s">
        <v>26</v>
      </c>
      <c r="N548" t="s">
        <v>26</v>
      </c>
      <c r="O548" t="s">
        <v>26</v>
      </c>
      <c r="P548">
        <v>1</v>
      </c>
      <c r="Q548">
        <v>0</v>
      </c>
      <c r="R548">
        <v>0</v>
      </c>
      <c r="S548">
        <v>1</v>
      </c>
      <c r="T548">
        <v>6.4935</v>
      </c>
      <c r="U548">
        <v>0.33329999999999999</v>
      </c>
      <c r="V548">
        <v>0</v>
      </c>
      <c r="W548">
        <f>E548/100</f>
        <v>0.03</v>
      </c>
      <c r="X548">
        <f>F548/1000000</f>
        <v>0.154</v>
      </c>
      <c r="Y548">
        <f>IF(D548="C",1,0)</f>
        <v>0</v>
      </c>
      <c r="Z548">
        <f>IF(G548="C",1,0)</f>
        <v>0</v>
      </c>
      <c r="AA548">
        <f>IF(G548="S",1,0)</f>
        <v>1</v>
      </c>
      <c r="AB548">
        <f>IF(G548="U",1,0)</f>
        <v>0</v>
      </c>
      <c r="AC548" s="5">
        <f>IF(AND(ISNUMBER(H548),NOT(ISNUMBER(P548))),1,0)</f>
        <v>0</v>
      </c>
      <c r="AD548" s="5">
        <f>IF(AND(ISNUMBER(H548),ISNUMBER(P548)),1,0)</f>
        <v>0</v>
      </c>
      <c r="AE548" s="5">
        <f>W548</f>
        <v>0.03</v>
      </c>
      <c r="AF548" s="5">
        <f>X548</f>
        <v>0.154</v>
      </c>
      <c r="AG548" s="5">
        <f>Y548</f>
        <v>0</v>
      </c>
      <c r="AH548" s="5">
        <f>IF(OR(G548="C",G548="S",G548="U"),1,0)</f>
        <v>1</v>
      </c>
      <c r="AI548" s="5">
        <f>IF(ISNUMBER(H548),1,0)</f>
        <v>0</v>
      </c>
      <c r="AJ548" s="5">
        <f>IF(ISNUMBER(P548),1,0)</f>
        <v>1</v>
      </c>
      <c r="AK548" s="5" t="str">
        <f>IF(AI548=1,IF(J548&gt;0,1,0),"")</f>
        <v/>
      </c>
      <c r="AL548" s="5">
        <f>IF(AJ548=1,IF(OR(Q548&gt;0,R548&gt;0),1,0),"")</f>
        <v>0</v>
      </c>
    </row>
    <row r="549" spans="1:38">
      <c r="A549">
        <v>579821</v>
      </c>
      <c r="B549" t="s">
        <v>690</v>
      </c>
      <c r="C549" t="s">
        <v>23</v>
      </c>
      <c r="D549" t="s">
        <v>24</v>
      </c>
      <c r="E549">
        <v>24</v>
      </c>
      <c r="F549">
        <v>1896358</v>
      </c>
      <c r="H549" t="s">
        <v>26</v>
      </c>
      <c r="I549" t="s">
        <v>26</v>
      </c>
      <c r="J549" t="s">
        <v>26</v>
      </c>
      <c r="K549" t="s">
        <v>26</v>
      </c>
      <c r="L549" t="s">
        <v>26</v>
      </c>
      <c r="M549" t="s">
        <v>26</v>
      </c>
      <c r="N549" t="s">
        <v>26</v>
      </c>
      <c r="O549" t="s">
        <v>26</v>
      </c>
      <c r="P549">
        <v>1</v>
      </c>
      <c r="Q549">
        <v>0</v>
      </c>
      <c r="R549">
        <v>0</v>
      </c>
      <c r="S549">
        <v>1</v>
      </c>
      <c r="T549">
        <v>0.52729999999999999</v>
      </c>
      <c r="U549">
        <v>4.1700000000000001E-2</v>
      </c>
      <c r="V549">
        <v>0</v>
      </c>
      <c r="W549">
        <f>E549/100</f>
        <v>0.24</v>
      </c>
      <c r="X549">
        <f>F549/1000000</f>
        <v>1.896358</v>
      </c>
      <c r="Y549">
        <f>IF(D549="C",1,0)</f>
        <v>0</v>
      </c>
      <c r="Z549">
        <f>IF(G549="C",1,0)</f>
        <v>0</v>
      </c>
      <c r="AA549">
        <f>IF(G549="S",1,0)</f>
        <v>0</v>
      </c>
      <c r="AB549">
        <f>IF(G549="U",1,0)</f>
        <v>0</v>
      </c>
      <c r="AC549" s="5">
        <f>IF(AND(ISNUMBER(H549),NOT(ISNUMBER(P549))),1,0)</f>
        <v>0</v>
      </c>
      <c r="AD549" s="5">
        <f>IF(AND(ISNUMBER(H549),ISNUMBER(P549)),1,0)</f>
        <v>0</v>
      </c>
      <c r="AE549" s="5">
        <f>W549</f>
        <v>0.24</v>
      </c>
      <c r="AF549" s="5">
        <f>X549</f>
        <v>1.896358</v>
      </c>
      <c r="AG549" s="5">
        <f>Y549</f>
        <v>0</v>
      </c>
      <c r="AH549" s="5">
        <f>IF(OR(G549="C",G549="S",G549="U"),1,0)</f>
        <v>0</v>
      </c>
      <c r="AI549" s="5">
        <f>IF(ISNUMBER(H549),1,0)</f>
        <v>0</v>
      </c>
      <c r="AJ549" s="5">
        <f>IF(ISNUMBER(P549),1,0)</f>
        <v>1</v>
      </c>
      <c r="AK549" s="5" t="str">
        <f>IF(AI549=1,IF(J549&gt;0,1,0),"")</f>
        <v/>
      </c>
      <c r="AL549" s="5">
        <f>IF(AJ549=1,IF(OR(Q549&gt;0,R549&gt;0),1,0),"")</f>
        <v>0</v>
      </c>
    </row>
    <row r="550" spans="1:38">
      <c r="A550">
        <v>580611</v>
      </c>
      <c r="B550" t="s">
        <v>691</v>
      </c>
      <c r="C550" t="s">
        <v>37</v>
      </c>
      <c r="D550" t="s">
        <v>24</v>
      </c>
      <c r="E550">
        <v>1</v>
      </c>
      <c r="F550">
        <v>23000</v>
      </c>
      <c r="H550" t="s">
        <v>26</v>
      </c>
      <c r="I550" t="s">
        <v>26</v>
      </c>
      <c r="J550" t="s">
        <v>26</v>
      </c>
      <c r="K550" t="s">
        <v>26</v>
      </c>
      <c r="L550" t="s">
        <v>26</v>
      </c>
      <c r="M550" t="s">
        <v>26</v>
      </c>
      <c r="N550" t="s">
        <v>26</v>
      </c>
      <c r="O550" t="s">
        <v>26</v>
      </c>
      <c r="P550">
        <v>1</v>
      </c>
      <c r="Q550">
        <v>0</v>
      </c>
      <c r="R550">
        <v>1</v>
      </c>
      <c r="S550">
        <v>1</v>
      </c>
      <c r="T550">
        <v>43.478299999999997</v>
      </c>
      <c r="U550">
        <v>1</v>
      </c>
      <c r="V550">
        <v>1</v>
      </c>
      <c r="W550">
        <f>E550/100</f>
        <v>0.01</v>
      </c>
      <c r="X550">
        <f>F550/1000000</f>
        <v>2.3E-2</v>
      </c>
      <c r="Y550">
        <f>IF(D550="C",1,0)</f>
        <v>0</v>
      </c>
      <c r="Z550">
        <f>IF(G550="C",1,0)</f>
        <v>0</v>
      </c>
      <c r="AA550">
        <f>IF(G550="S",1,0)</f>
        <v>0</v>
      </c>
      <c r="AB550">
        <f>IF(G550="U",1,0)</f>
        <v>0</v>
      </c>
      <c r="AC550" s="5">
        <f>IF(AND(ISNUMBER(H550),NOT(ISNUMBER(P550))),1,0)</f>
        <v>0</v>
      </c>
      <c r="AD550" s="5">
        <f>IF(AND(ISNUMBER(H550),ISNUMBER(P550)),1,0)</f>
        <v>0</v>
      </c>
      <c r="AE550" s="5">
        <f>W550</f>
        <v>0.01</v>
      </c>
      <c r="AF550" s="5">
        <f>X550</f>
        <v>2.3E-2</v>
      </c>
      <c r="AG550" s="5">
        <f>Y550</f>
        <v>0</v>
      </c>
      <c r="AH550" s="5">
        <f>IF(OR(G550="C",G550="S",G550="U"),1,0)</f>
        <v>0</v>
      </c>
      <c r="AI550" s="5">
        <f>IF(ISNUMBER(H550),1,0)</f>
        <v>0</v>
      </c>
      <c r="AJ550" s="5">
        <f>IF(ISNUMBER(P550),1,0)</f>
        <v>1</v>
      </c>
      <c r="AK550" s="5" t="str">
        <f>IF(AI550=1,IF(J550&gt;0,1,0),"")</f>
        <v/>
      </c>
      <c r="AL550" s="5">
        <f>IF(AJ550=1,IF(OR(Q550&gt;0,R550&gt;0),1,0),"")</f>
        <v>1</v>
      </c>
    </row>
    <row r="551" spans="1:38">
      <c r="A551">
        <v>581308</v>
      </c>
      <c r="B551" t="s">
        <v>692</v>
      </c>
      <c r="C551" t="s">
        <v>23</v>
      </c>
      <c r="D551" t="s">
        <v>24</v>
      </c>
      <c r="E551">
        <v>2</v>
      </c>
      <c r="F551">
        <v>20800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>
        <v>1</v>
      </c>
      <c r="Q551">
        <v>0</v>
      </c>
      <c r="R551">
        <v>0</v>
      </c>
      <c r="S551">
        <v>1</v>
      </c>
      <c r="T551">
        <v>48.076900000000002</v>
      </c>
      <c r="U551">
        <v>0.5</v>
      </c>
      <c r="V551">
        <v>0</v>
      </c>
      <c r="W551">
        <f>E551/100</f>
        <v>0.02</v>
      </c>
      <c r="X551">
        <f>F551/1000000</f>
        <v>2.0799999999999999E-2</v>
      </c>
      <c r="Y551">
        <f>IF(D551="C",1,0)</f>
        <v>0</v>
      </c>
      <c r="Z551">
        <f>IF(G551="C",1,0)</f>
        <v>0</v>
      </c>
      <c r="AA551">
        <f>IF(G551="S",1,0)</f>
        <v>0</v>
      </c>
      <c r="AB551">
        <f>IF(G551="U",1,0)</f>
        <v>0</v>
      </c>
      <c r="AC551" s="5">
        <f>IF(AND(ISNUMBER(H551),NOT(ISNUMBER(P551))),1,0)</f>
        <v>0</v>
      </c>
      <c r="AD551" s="5">
        <f>IF(AND(ISNUMBER(H551),ISNUMBER(P551)),1,0)</f>
        <v>0</v>
      </c>
      <c r="AE551" s="5">
        <f>W551</f>
        <v>0.02</v>
      </c>
      <c r="AF551" s="5">
        <f>X551</f>
        <v>2.0799999999999999E-2</v>
      </c>
      <c r="AG551" s="5">
        <f>Y551</f>
        <v>0</v>
      </c>
      <c r="AH551" s="5">
        <f>IF(OR(G551="C",G551="S",G551="U"),1,0)</f>
        <v>0</v>
      </c>
      <c r="AI551" s="5">
        <f>IF(ISNUMBER(H551),1,0)</f>
        <v>0</v>
      </c>
      <c r="AJ551" s="5">
        <f>IF(ISNUMBER(P551),1,0)</f>
        <v>1</v>
      </c>
      <c r="AK551" s="5" t="str">
        <f>IF(AI551=1,IF(J551&gt;0,1,0),"")</f>
        <v/>
      </c>
      <c r="AL551" s="5">
        <f>IF(AJ551=1,IF(OR(Q551&gt;0,R551&gt;0),1,0),"")</f>
        <v>0</v>
      </c>
    </row>
    <row r="552" spans="1:38">
      <c r="A552">
        <v>583645</v>
      </c>
      <c r="B552" t="s">
        <v>693</v>
      </c>
      <c r="C552" t="s">
        <v>82</v>
      </c>
      <c r="D552" t="s">
        <v>24</v>
      </c>
      <c r="E552">
        <v>14</v>
      </c>
      <c r="F552">
        <v>220875</v>
      </c>
      <c r="G552" t="s">
        <v>25</v>
      </c>
      <c r="H552" t="s">
        <v>26</v>
      </c>
      <c r="I552" t="s">
        <v>26</v>
      </c>
      <c r="J552" t="s">
        <v>26</v>
      </c>
      <c r="K552" t="s">
        <v>26</v>
      </c>
      <c r="L552" t="s">
        <v>26</v>
      </c>
      <c r="M552" t="s">
        <v>26</v>
      </c>
      <c r="N552" t="s">
        <v>26</v>
      </c>
      <c r="O552" t="s">
        <v>26</v>
      </c>
      <c r="P552">
        <v>1</v>
      </c>
      <c r="Q552">
        <v>0</v>
      </c>
      <c r="R552">
        <v>1</v>
      </c>
      <c r="S552">
        <v>1</v>
      </c>
      <c r="T552">
        <v>4.5274000000000001</v>
      </c>
      <c r="U552">
        <v>7.1400000000000005E-2</v>
      </c>
      <c r="V552">
        <v>1</v>
      </c>
      <c r="W552">
        <f>E552/100</f>
        <v>0.14000000000000001</v>
      </c>
      <c r="X552">
        <f>F552/1000000</f>
        <v>0.22087499999999999</v>
      </c>
      <c r="Y552">
        <f>IF(D552="C",1,0)</f>
        <v>0</v>
      </c>
      <c r="Z552">
        <f>IF(G552="C",1,0)</f>
        <v>0</v>
      </c>
      <c r="AA552">
        <f>IF(G552="S",1,0)</f>
        <v>1</v>
      </c>
      <c r="AB552">
        <f>IF(G552="U",1,0)</f>
        <v>0</v>
      </c>
      <c r="AC552" s="5">
        <f>IF(AND(ISNUMBER(H552),NOT(ISNUMBER(P552))),1,0)</f>
        <v>0</v>
      </c>
      <c r="AD552" s="5">
        <f>IF(AND(ISNUMBER(H552),ISNUMBER(P552)),1,0)</f>
        <v>0</v>
      </c>
      <c r="AE552" s="5">
        <f>W552</f>
        <v>0.14000000000000001</v>
      </c>
      <c r="AF552" s="5">
        <f>X552</f>
        <v>0.22087499999999999</v>
      </c>
      <c r="AG552" s="5">
        <f>Y552</f>
        <v>0</v>
      </c>
      <c r="AH552" s="5">
        <f>IF(OR(G552="C",G552="S",G552="U"),1,0)</f>
        <v>1</v>
      </c>
      <c r="AI552" s="5">
        <f>IF(ISNUMBER(H552),1,0)</f>
        <v>0</v>
      </c>
      <c r="AJ552" s="5">
        <f>IF(ISNUMBER(P552),1,0)</f>
        <v>1</v>
      </c>
      <c r="AK552" s="5" t="str">
        <f>IF(AI552=1,IF(J552&gt;0,1,0),"")</f>
        <v/>
      </c>
      <c r="AL552" s="5">
        <f>IF(AJ552=1,IF(OR(Q552&gt;0,R552&gt;0),1,0),"")</f>
        <v>1</v>
      </c>
    </row>
    <row r="553" spans="1:38">
      <c r="A553">
        <v>586554</v>
      </c>
      <c r="B553" t="s">
        <v>694</v>
      </c>
      <c r="C553" t="s">
        <v>23</v>
      </c>
      <c r="D553" t="s">
        <v>24</v>
      </c>
      <c r="E553">
        <v>8</v>
      </c>
      <c r="F553">
        <v>705000</v>
      </c>
      <c r="G553" t="s">
        <v>25</v>
      </c>
      <c r="H553" t="s">
        <v>26</v>
      </c>
      <c r="I553" t="s">
        <v>26</v>
      </c>
      <c r="J553" t="s">
        <v>26</v>
      </c>
      <c r="K553" t="s">
        <v>26</v>
      </c>
      <c r="L553" t="s">
        <v>26</v>
      </c>
      <c r="M553" t="s">
        <v>26</v>
      </c>
      <c r="N553" t="s">
        <v>26</v>
      </c>
      <c r="O553" t="s">
        <v>26</v>
      </c>
      <c r="P553">
        <v>1</v>
      </c>
      <c r="Q553">
        <v>0</v>
      </c>
      <c r="R553">
        <v>1</v>
      </c>
      <c r="S553">
        <v>1</v>
      </c>
      <c r="T553">
        <v>1.4184000000000001</v>
      </c>
      <c r="U553">
        <v>0.125</v>
      </c>
      <c r="V553">
        <v>1</v>
      </c>
      <c r="W553">
        <f>E553/100</f>
        <v>0.08</v>
      </c>
      <c r="X553">
        <f>F553/1000000</f>
        <v>0.70499999999999996</v>
      </c>
      <c r="Y553">
        <f>IF(D553="C",1,0)</f>
        <v>0</v>
      </c>
      <c r="Z553">
        <f>IF(G553="C",1,0)</f>
        <v>0</v>
      </c>
      <c r="AA553">
        <f>IF(G553="S",1,0)</f>
        <v>1</v>
      </c>
      <c r="AB553">
        <f>IF(G553="U",1,0)</f>
        <v>0</v>
      </c>
      <c r="AC553" s="5">
        <f>IF(AND(ISNUMBER(H553),NOT(ISNUMBER(P553))),1,0)</f>
        <v>0</v>
      </c>
      <c r="AD553" s="5">
        <f>IF(AND(ISNUMBER(H553),ISNUMBER(P553)),1,0)</f>
        <v>0</v>
      </c>
      <c r="AE553" s="5">
        <f>W553</f>
        <v>0.08</v>
      </c>
      <c r="AF553" s="5">
        <f>X553</f>
        <v>0.70499999999999996</v>
      </c>
      <c r="AG553" s="5">
        <f>Y553</f>
        <v>0</v>
      </c>
      <c r="AH553" s="5">
        <f>IF(OR(G553="C",G553="S",G553="U"),1,0)</f>
        <v>1</v>
      </c>
      <c r="AI553" s="5">
        <f>IF(ISNUMBER(H553),1,0)</f>
        <v>0</v>
      </c>
      <c r="AJ553" s="5">
        <f>IF(ISNUMBER(P553),1,0)</f>
        <v>1</v>
      </c>
      <c r="AK553" s="5" t="str">
        <f>IF(AI553=1,IF(J553&gt;0,1,0),"")</f>
        <v/>
      </c>
      <c r="AL553" s="5">
        <f>IF(AJ553=1,IF(OR(Q553&gt;0,R553&gt;0),1,0),"")</f>
        <v>1</v>
      </c>
    </row>
    <row r="554" spans="1:38">
      <c r="A554">
        <v>586825</v>
      </c>
      <c r="B554" t="s">
        <v>695</v>
      </c>
      <c r="C554" t="s">
        <v>93</v>
      </c>
      <c r="D554" t="s">
        <v>24</v>
      </c>
      <c r="E554">
        <v>1</v>
      </c>
      <c r="F554">
        <v>43890</v>
      </c>
      <c r="G554" t="s">
        <v>25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>
        <v>1</v>
      </c>
      <c r="Q554">
        <v>0</v>
      </c>
      <c r="R554">
        <v>1</v>
      </c>
      <c r="S554">
        <v>1</v>
      </c>
      <c r="T554">
        <v>22.784199999999998</v>
      </c>
      <c r="U554">
        <v>1</v>
      </c>
      <c r="V554">
        <v>1</v>
      </c>
      <c r="W554">
        <f>E554/100</f>
        <v>0.01</v>
      </c>
      <c r="X554">
        <f>F554/1000000</f>
        <v>4.3889999999999998E-2</v>
      </c>
      <c r="Y554">
        <f>IF(D554="C",1,0)</f>
        <v>0</v>
      </c>
      <c r="Z554">
        <f>IF(G554="C",1,0)</f>
        <v>0</v>
      </c>
      <c r="AA554">
        <f>IF(G554="S",1,0)</f>
        <v>1</v>
      </c>
      <c r="AB554">
        <f>IF(G554="U",1,0)</f>
        <v>0</v>
      </c>
      <c r="AC554" s="5">
        <f>IF(AND(ISNUMBER(H554),NOT(ISNUMBER(P554))),1,0)</f>
        <v>0</v>
      </c>
      <c r="AD554" s="5">
        <f>IF(AND(ISNUMBER(H554),ISNUMBER(P554)),1,0)</f>
        <v>0</v>
      </c>
      <c r="AE554" s="5">
        <f>W554</f>
        <v>0.01</v>
      </c>
      <c r="AF554" s="5">
        <f>X554</f>
        <v>4.3889999999999998E-2</v>
      </c>
      <c r="AG554" s="5">
        <f>Y554</f>
        <v>0</v>
      </c>
      <c r="AH554" s="5">
        <f>IF(OR(G554="C",G554="S",G554="U"),1,0)</f>
        <v>1</v>
      </c>
      <c r="AI554" s="5">
        <f>IF(ISNUMBER(H554),1,0)</f>
        <v>0</v>
      </c>
      <c r="AJ554" s="5">
        <f>IF(ISNUMBER(P554),1,0)</f>
        <v>1</v>
      </c>
      <c r="AK554" s="5" t="str">
        <f>IF(AI554=1,IF(J554&gt;0,1,0),"")</f>
        <v/>
      </c>
      <c r="AL554" s="5">
        <f>IF(AJ554=1,IF(OR(Q554&gt;0,R554&gt;0),1,0),"")</f>
        <v>1</v>
      </c>
    </row>
    <row r="555" spans="1:38">
      <c r="A555">
        <v>587634</v>
      </c>
      <c r="B555" t="s">
        <v>696</v>
      </c>
      <c r="C555" t="s">
        <v>82</v>
      </c>
      <c r="D555" t="s">
        <v>24</v>
      </c>
      <c r="E555">
        <v>6</v>
      </c>
      <c r="F555">
        <v>3800</v>
      </c>
      <c r="H555" t="s">
        <v>26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>
        <v>1</v>
      </c>
      <c r="Q555">
        <v>0</v>
      </c>
      <c r="R555">
        <v>1</v>
      </c>
      <c r="S555">
        <v>0</v>
      </c>
      <c r="T555">
        <v>263.15789999999998</v>
      </c>
      <c r="U555">
        <v>0.16669999999999999</v>
      </c>
      <c r="V555">
        <v>1</v>
      </c>
      <c r="W555">
        <f>E555/100</f>
        <v>0.06</v>
      </c>
      <c r="X555">
        <f>F555/1000000</f>
        <v>3.8E-3</v>
      </c>
      <c r="Y555">
        <f>IF(D555="C",1,0)</f>
        <v>0</v>
      </c>
      <c r="Z555">
        <f>IF(G555="C",1,0)</f>
        <v>0</v>
      </c>
      <c r="AA555">
        <f>IF(G555="S",1,0)</f>
        <v>0</v>
      </c>
      <c r="AB555">
        <f>IF(G555="U",1,0)</f>
        <v>0</v>
      </c>
      <c r="AC555" s="5">
        <f>IF(AND(ISNUMBER(H555),NOT(ISNUMBER(P555))),1,0)</f>
        <v>0</v>
      </c>
      <c r="AD555" s="5">
        <f>IF(AND(ISNUMBER(H555),ISNUMBER(P555)),1,0)</f>
        <v>0</v>
      </c>
      <c r="AE555" s="5">
        <f>W555</f>
        <v>0.06</v>
      </c>
      <c r="AF555" s="5">
        <f>X555</f>
        <v>3.8E-3</v>
      </c>
      <c r="AG555" s="5">
        <f>Y555</f>
        <v>0</v>
      </c>
      <c r="AH555" s="5">
        <f>IF(OR(G555="C",G555="S",G555="U"),1,0)</f>
        <v>0</v>
      </c>
      <c r="AI555" s="5">
        <f>IF(ISNUMBER(H555),1,0)</f>
        <v>0</v>
      </c>
      <c r="AJ555" s="5">
        <f>IF(ISNUMBER(P555),1,0)</f>
        <v>1</v>
      </c>
      <c r="AK555" s="5" t="str">
        <f>IF(AI555=1,IF(J555&gt;0,1,0),"")</f>
        <v/>
      </c>
      <c r="AL555" s="5">
        <f>IF(AJ555=1,IF(OR(Q555&gt;0,R555&gt;0),1,0),"")</f>
        <v>1</v>
      </c>
    </row>
    <row r="556" spans="1:38">
      <c r="A556">
        <v>589385</v>
      </c>
      <c r="B556" t="s">
        <v>699</v>
      </c>
      <c r="C556" t="s">
        <v>37</v>
      </c>
      <c r="D556" t="s">
        <v>33</v>
      </c>
      <c r="E556">
        <v>3</v>
      </c>
      <c r="F556">
        <v>166298</v>
      </c>
      <c r="H556" t="s">
        <v>26</v>
      </c>
      <c r="I556" t="s">
        <v>26</v>
      </c>
      <c r="J556" t="s">
        <v>26</v>
      </c>
      <c r="K556" t="s">
        <v>26</v>
      </c>
      <c r="L556" t="s">
        <v>26</v>
      </c>
      <c r="M556" t="s">
        <v>26</v>
      </c>
      <c r="N556" t="s">
        <v>26</v>
      </c>
      <c r="O556" t="s">
        <v>26</v>
      </c>
      <c r="P556">
        <v>1</v>
      </c>
      <c r="Q556">
        <v>0</v>
      </c>
      <c r="R556">
        <v>0</v>
      </c>
      <c r="S556">
        <v>1</v>
      </c>
      <c r="T556">
        <v>6.0133000000000001</v>
      </c>
      <c r="U556">
        <v>0.33329999999999999</v>
      </c>
      <c r="V556">
        <v>0</v>
      </c>
      <c r="W556">
        <f>E556/100</f>
        <v>0.03</v>
      </c>
      <c r="X556">
        <f>F556/1000000</f>
        <v>0.166298</v>
      </c>
      <c r="Y556">
        <f>IF(D556="C",1,0)</f>
        <v>1</v>
      </c>
      <c r="Z556">
        <f>IF(G556="C",1,0)</f>
        <v>0</v>
      </c>
      <c r="AA556">
        <f>IF(G556="S",1,0)</f>
        <v>0</v>
      </c>
      <c r="AB556">
        <f>IF(G556="U",1,0)</f>
        <v>0</v>
      </c>
      <c r="AC556" s="5">
        <f>IF(AND(ISNUMBER(H556),NOT(ISNUMBER(P556))),1,0)</f>
        <v>0</v>
      </c>
      <c r="AD556" s="5">
        <f>IF(AND(ISNUMBER(H556),ISNUMBER(P556)),1,0)</f>
        <v>0</v>
      </c>
      <c r="AE556" s="5">
        <f>W556</f>
        <v>0.03</v>
      </c>
      <c r="AF556" s="5">
        <f>X556</f>
        <v>0.166298</v>
      </c>
      <c r="AG556" s="5">
        <f>Y556</f>
        <v>1</v>
      </c>
      <c r="AH556" s="5">
        <f>IF(OR(G556="C",G556="S",G556="U"),1,0)</f>
        <v>0</v>
      </c>
      <c r="AI556" s="5">
        <f>IF(ISNUMBER(H556),1,0)</f>
        <v>0</v>
      </c>
      <c r="AJ556" s="5">
        <f>IF(ISNUMBER(P556),1,0)</f>
        <v>1</v>
      </c>
      <c r="AK556" s="5" t="str">
        <f>IF(AI556=1,IF(J556&gt;0,1,0),"")</f>
        <v/>
      </c>
      <c r="AL556" s="5">
        <f>IF(AJ556=1,IF(OR(Q556&gt;0,R556&gt;0),1,0),"")</f>
        <v>0</v>
      </c>
    </row>
    <row r="557" spans="1:38">
      <c r="A557">
        <v>595733</v>
      </c>
      <c r="B557" t="s">
        <v>702</v>
      </c>
      <c r="C557" t="s">
        <v>181</v>
      </c>
      <c r="D557" t="s">
        <v>24</v>
      </c>
      <c r="E557">
        <v>32</v>
      </c>
      <c r="F557">
        <v>2139878</v>
      </c>
      <c r="G557" t="s">
        <v>25</v>
      </c>
      <c r="H557" t="s">
        <v>26</v>
      </c>
      <c r="I557" t="s">
        <v>26</v>
      </c>
      <c r="J557" t="s">
        <v>26</v>
      </c>
      <c r="K557" t="s">
        <v>26</v>
      </c>
      <c r="L557" t="s">
        <v>26</v>
      </c>
      <c r="M557" t="s">
        <v>26</v>
      </c>
      <c r="N557" t="s">
        <v>26</v>
      </c>
      <c r="O557" t="s">
        <v>26</v>
      </c>
      <c r="P557">
        <v>1</v>
      </c>
      <c r="Q557">
        <v>0</v>
      </c>
      <c r="R557">
        <v>0</v>
      </c>
      <c r="S557">
        <v>1</v>
      </c>
      <c r="T557">
        <v>0.46729999999999999</v>
      </c>
      <c r="U557">
        <v>3.1300000000000001E-2</v>
      </c>
      <c r="V557">
        <v>0</v>
      </c>
      <c r="W557">
        <f>E557/100</f>
        <v>0.32</v>
      </c>
      <c r="X557">
        <f>F557/1000000</f>
        <v>2.1398779999999999</v>
      </c>
      <c r="Y557">
        <f>IF(D557="C",1,0)</f>
        <v>0</v>
      </c>
      <c r="Z557">
        <f>IF(G557="C",1,0)</f>
        <v>0</v>
      </c>
      <c r="AA557">
        <f>IF(G557="S",1,0)</f>
        <v>1</v>
      </c>
      <c r="AB557">
        <f>IF(G557="U",1,0)</f>
        <v>0</v>
      </c>
      <c r="AC557" s="5">
        <f>IF(AND(ISNUMBER(H557),NOT(ISNUMBER(P557))),1,0)</f>
        <v>0</v>
      </c>
      <c r="AD557" s="5">
        <f>IF(AND(ISNUMBER(H557),ISNUMBER(P557)),1,0)</f>
        <v>0</v>
      </c>
      <c r="AE557" s="5">
        <f>W557</f>
        <v>0.32</v>
      </c>
      <c r="AF557" s="5">
        <f>X557</f>
        <v>2.1398779999999999</v>
      </c>
      <c r="AG557" s="5">
        <f>Y557</f>
        <v>0</v>
      </c>
      <c r="AH557" s="5">
        <f>IF(OR(G557="C",G557="S",G557="U"),1,0)</f>
        <v>1</v>
      </c>
      <c r="AI557" s="5">
        <f>IF(ISNUMBER(H557),1,0)</f>
        <v>0</v>
      </c>
      <c r="AJ557" s="5">
        <f>IF(ISNUMBER(P557),1,0)</f>
        <v>1</v>
      </c>
      <c r="AK557" s="5" t="str">
        <f>IF(AI557=1,IF(J557&gt;0,1,0),"")</f>
        <v/>
      </c>
      <c r="AL557" s="5">
        <f>IF(AJ557=1,IF(OR(Q557&gt;0,R557&gt;0),1,0),"")</f>
        <v>0</v>
      </c>
    </row>
    <row r="558" spans="1:38">
      <c r="A558">
        <v>597256</v>
      </c>
      <c r="B558" t="s">
        <v>703</v>
      </c>
      <c r="C558" t="s">
        <v>82</v>
      </c>
      <c r="D558" t="s">
        <v>24</v>
      </c>
      <c r="E558">
        <v>70</v>
      </c>
      <c r="F558">
        <v>2084623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>
        <v>1</v>
      </c>
      <c r="Q558">
        <v>0</v>
      </c>
      <c r="R558">
        <v>1</v>
      </c>
      <c r="S558">
        <v>1</v>
      </c>
      <c r="T558">
        <v>0.47970000000000002</v>
      </c>
      <c r="U558">
        <v>1.43E-2</v>
      </c>
      <c r="V558">
        <v>1</v>
      </c>
      <c r="W558">
        <f>E558/100</f>
        <v>0.7</v>
      </c>
      <c r="X558">
        <f>F558/1000000</f>
        <v>2.0846230000000001</v>
      </c>
      <c r="Y558">
        <f>IF(D558="C",1,0)</f>
        <v>0</v>
      </c>
      <c r="Z558">
        <f>IF(G558="C",1,0)</f>
        <v>0</v>
      </c>
      <c r="AA558">
        <f>IF(G558="S",1,0)</f>
        <v>0</v>
      </c>
      <c r="AB558">
        <f>IF(G558="U",1,0)</f>
        <v>0</v>
      </c>
      <c r="AC558" s="5">
        <f>IF(AND(ISNUMBER(H558),NOT(ISNUMBER(P558))),1,0)</f>
        <v>0</v>
      </c>
      <c r="AD558" s="5">
        <f>IF(AND(ISNUMBER(H558),ISNUMBER(P558)),1,0)</f>
        <v>0</v>
      </c>
      <c r="AE558" s="5">
        <f>W558</f>
        <v>0.7</v>
      </c>
      <c r="AF558" s="5">
        <f>X558</f>
        <v>2.0846230000000001</v>
      </c>
      <c r="AG558" s="5">
        <f>Y558</f>
        <v>0</v>
      </c>
      <c r="AH558" s="5">
        <f>IF(OR(G558="C",G558="S",G558="U"),1,0)</f>
        <v>0</v>
      </c>
      <c r="AI558" s="5">
        <f>IF(ISNUMBER(H558),1,0)</f>
        <v>0</v>
      </c>
      <c r="AJ558" s="5">
        <f>IF(ISNUMBER(P558),1,0)</f>
        <v>1</v>
      </c>
      <c r="AK558" s="5" t="str">
        <f>IF(AI558=1,IF(J558&gt;0,1,0),"")</f>
        <v/>
      </c>
      <c r="AL558" s="5">
        <f>IF(AJ558=1,IF(OR(Q558&gt;0,R558&gt;0),1,0),"")</f>
        <v>1</v>
      </c>
    </row>
    <row r="559" spans="1:38">
      <c r="A559">
        <v>597940</v>
      </c>
      <c r="B559" t="s">
        <v>705</v>
      </c>
      <c r="C559" t="s">
        <v>82</v>
      </c>
      <c r="D559" t="s">
        <v>24</v>
      </c>
      <c r="E559">
        <v>6</v>
      </c>
      <c r="F559">
        <v>99000</v>
      </c>
      <c r="G559" t="s">
        <v>25</v>
      </c>
      <c r="H559" t="s">
        <v>26</v>
      </c>
      <c r="I559" t="s">
        <v>26</v>
      </c>
      <c r="J559" t="s">
        <v>26</v>
      </c>
      <c r="K559" t="s">
        <v>26</v>
      </c>
      <c r="L559" t="s">
        <v>26</v>
      </c>
      <c r="M559" t="s">
        <v>26</v>
      </c>
      <c r="N559" t="s">
        <v>26</v>
      </c>
      <c r="O559" t="s">
        <v>26</v>
      </c>
      <c r="P559">
        <v>1</v>
      </c>
      <c r="Q559">
        <v>0</v>
      </c>
      <c r="R559">
        <v>1</v>
      </c>
      <c r="S559">
        <v>1</v>
      </c>
      <c r="T559">
        <v>10.101000000000001</v>
      </c>
      <c r="U559">
        <v>0.16669999999999999</v>
      </c>
      <c r="V559">
        <v>1</v>
      </c>
      <c r="W559">
        <f>E559/100</f>
        <v>0.06</v>
      </c>
      <c r="X559">
        <f>F559/1000000</f>
        <v>9.9000000000000005E-2</v>
      </c>
      <c r="Y559">
        <f>IF(D559="C",1,0)</f>
        <v>0</v>
      </c>
      <c r="Z559">
        <f>IF(G559="C",1,0)</f>
        <v>0</v>
      </c>
      <c r="AA559">
        <f>IF(G559="S",1,0)</f>
        <v>1</v>
      </c>
      <c r="AB559">
        <f>IF(G559="U",1,0)</f>
        <v>0</v>
      </c>
      <c r="AC559" s="5">
        <f>IF(AND(ISNUMBER(H559),NOT(ISNUMBER(P559))),1,0)</f>
        <v>0</v>
      </c>
      <c r="AD559" s="5">
        <f>IF(AND(ISNUMBER(H559),ISNUMBER(P559)),1,0)</f>
        <v>0</v>
      </c>
      <c r="AE559" s="5">
        <f>W559</f>
        <v>0.06</v>
      </c>
      <c r="AF559" s="5">
        <f>X559</f>
        <v>9.9000000000000005E-2</v>
      </c>
      <c r="AG559" s="5">
        <f>Y559</f>
        <v>0</v>
      </c>
      <c r="AH559" s="5">
        <f>IF(OR(G559="C",G559="S",G559="U"),1,0)</f>
        <v>1</v>
      </c>
      <c r="AI559" s="5">
        <f>IF(ISNUMBER(H559),1,0)</f>
        <v>0</v>
      </c>
      <c r="AJ559" s="5">
        <f>IF(ISNUMBER(P559),1,0)</f>
        <v>1</v>
      </c>
      <c r="AK559" s="5" t="str">
        <f>IF(AI559=1,IF(J559&gt;0,1,0),"")</f>
        <v/>
      </c>
      <c r="AL559" s="5">
        <f>IF(AJ559=1,IF(OR(Q559&gt;0,R559&gt;0),1,0),"")</f>
        <v>1</v>
      </c>
    </row>
    <row r="560" spans="1:38">
      <c r="A560">
        <v>599733</v>
      </c>
      <c r="B560" t="s">
        <v>707</v>
      </c>
      <c r="C560" t="s">
        <v>37</v>
      </c>
      <c r="D560" t="s">
        <v>24</v>
      </c>
      <c r="E560">
        <v>22</v>
      </c>
      <c r="F560">
        <v>2160000</v>
      </c>
      <c r="G560" t="s">
        <v>33</v>
      </c>
      <c r="H560" t="s">
        <v>26</v>
      </c>
      <c r="I560" t="s">
        <v>26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>
        <v>1</v>
      </c>
      <c r="Q560">
        <v>0</v>
      </c>
      <c r="R560">
        <v>0</v>
      </c>
      <c r="S560">
        <v>1</v>
      </c>
      <c r="T560">
        <v>0.46300000000000002</v>
      </c>
      <c r="U560">
        <v>4.5499999999999999E-2</v>
      </c>
      <c r="V560">
        <v>0</v>
      </c>
      <c r="W560">
        <f>E560/100</f>
        <v>0.22</v>
      </c>
      <c r="X560">
        <f>F560/1000000</f>
        <v>2.16</v>
      </c>
      <c r="Y560">
        <f>IF(D560="C",1,0)</f>
        <v>0</v>
      </c>
      <c r="Z560">
        <f>IF(G560="C",1,0)</f>
        <v>1</v>
      </c>
      <c r="AA560">
        <f>IF(G560="S",1,0)</f>
        <v>0</v>
      </c>
      <c r="AB560">
        <f>IF(G560="U",1,0)</f>
        <v>0</v>
      </c>
      <c r="AC560" s="5">
        <f>IF(AND(ISNUMBER(H560),NOT(ISNUMBER(P560))),1,0)</f>
        <v>0</v>
      </c>
      <c r="AD560" s="5">
        <f>IF(AND(ISNUMBER(H560),ISNUMBER(P560)),1,0)</f>
        <v>0</v>
      </c>
      <c r="AE560" s="5">
        <f>W560</f>
        <v>0.22</v>
      </c>
      <c r="AF560" s="5">
        <f>X560</f>
        <v>2.16</v>
      </c>
      <c r="AG560" s="5">
        <f>Y560</f>
        <v>0</v>
      </c>
      <c r="AH560" s="5">
        <f>IF(OR(G560="C",G560="S",G560="U"),1,0)</f>
        <v>1</v>
      </c>
      <c r="AI560" s="5">
        <f>IF(ISNUMBER(H560),1,0)</f>
        <v>0</v>
      </c>
      <c r="AJ560" s="5">
        <f>IF(ISNUMBER(P560),1,0)</f>
        <v>1</v>
      </c>
      <c r="AK560" s="5" t="str">
        <f>IF(AI560=1,IF(J560&gt;0,1,0),"")</f>
        <v/>
      </c>
      <c r="AL560" s="5">
        <f>IF(AJ560=1,IF(OR(Q560&gt;0,R560&gt;0),1,0),"")</f>
        <v>0</v>
      </c>
    </row>
    <row r="561" spans="1:38">
      <c r="A561">
        <v>603084</v>
      </c>
      <c r="B561" t="s">
        <v>708</v>
      </c>
      <c r="C561" t="s">
        <v>82</v>
      </c>
      <c r="D561" t="s">
        <v>24</v>
      </c>
      <c r="E561">
        <v>12</v>
      </c>
      <c r="F561">
        <v>800000</v>
      </c>
      <c r="G561" t="s">
        <v>25</v>
      </c>
      <c r="H561" t="s">
        <v>26</v>
      </c>
      <c r="I561" t="s">
        <v>26</v>
      </c>
      <c r="J561" t="s">
        <v>26</v>
      </c>
      <c r="K561" t="s">
        <v>26</v>
      </c>
      <c r="L561" t="s">
        <v>26</v>
      </c>
      <c r="M561" t="s">
        <v>26</v>
      </c>
      <c r="N561" t="s">
        <v>26</v>
      </c>
      <c r="O561" t="s">
        <v>26</v>
      </c>
      <c r="P561">
        <v>1</v>
      </c>
      <c r="Q561">
        <v>0</v>
      </c>
      <c r="R561">
        <v>1</v>
      </c>
      <c r="S561">
        <v>0</v>
      </c>
      <c r="T561">
        <v>1.25</v>
      </c>
      <c r="U561">
        <v>8.3299999999999999E-2</v>
      </c>
      <c r="V561">
        <v>1</v>
      </c>
      <c r="W561">
        <f>E561/100</f>
        <v>0.12</v>
      </c>
      <c r="X561">
        <f>F561/1000000</f>
        <v>0.8</v>
      </c>
      <c r="Y561">
        <f>IF(D561="C",1,0)</f>
        <v>0</v>
      </c>
      <c r="Z561">
        <f>IF(G561="C",1,0)</f>
        <v>0</v>
      </c>
      <c r="AA561">
        <f>IF(G561="S",1,0)</f>
        <v>1</v>
      </c>
      <c r="AB561">
        <f>IF(G561="U",1,0)</f>
        <v>0</v>
      </c>
      <c r="AC561" s="5">
        <f>IF(AND(ISNUMBER(H561),NOT(ISNUMBER(P561))),1,0)</f>
        <v>0</v>
      </c>
      <c r="AD561" s="5">
        <f>IF(AND(ISNUMBER(H561),ISNUMBER(P561)),1,0)</f>
        <v>0</v>
      </c>
      <c r="AE561" s="5">
        <f>W561</f>
        <v>0.12</v>
      </c>
      <c r="AF561" s="5">
        <f>X561</f>
        <v>0.8</v>
      </c>
      <c r="AG561" s="5">
        <f>Y561</f>
        <v>0</v>
      </c>
      <c r="AH561" s="5">
        <f>IF(OR(G561="C",G561="S",G561="U"),1,0)</f>
        <v>1</v>
      </c>
      <c r="AI561" s="5">
        <f>IF(ISNUMBER(H561),1,0)</f>
        <v>0</v>
      </c>
      <c r="AJ561" s="5">
        <f>IF(ISNUMBER(P561),1,0)</f>
        <v>1</v>
      </c>
      <c r="AK561" s="5" t="str">
        <f>IF(AI561=1,IF(J561&gt;0,1,0),"")</f>
        <v/>
      </c>
      <c r="AL561" s="5">
        <f>IF(AJ561=1,IF(OR(Q561&gt;0,R561&gt;0),1,0),"")</f>
        <v>1</v>
      </c>
    </row>
    <row r="562" spans="1:38">
      <c r="A562">
        <v>604905</v>
      </c>
      <c r="B562" t="s">
        <v>709</v>
      </c>
      <c r="C562" t="s">
        <v>82</v>
      </c>
      <c r="D562" t="s">
        <v>33</v>
      </c>
      <c r="E562">
        <v>12</v>
      </c>
      <c r="F562">
        <v>120000</v>
      </c>
      <c r="H562" t="s">
        <v>26</v>
      </c>
      <c r="I562" t="s">
        <v>26</v>
      </c>
      <c r="J562" t="s">
        <v>26</v>
      </c>
      <c r="K562" t="s">
        <v>26</v>
      </c>
      <c r="L562" t="s">
        <v>26</v>
      </c>
      <c r="M562" t="s">
        <v>26</v>
      </c>
      <c r="N562" t="s">
        <v>26</v>
      </c>
      <c r="O562" t="s">
        <v>26</v>
      </c>
      <c r="P562">
        <v>1</v>
      </c>
      <c r="Q562">
        <v>0</v>
      </c>
      <c r="R562">
        <v>1</v>
      </c>
      <c r="S562">
        <v>1</v>
      </c>
      <c r="T562">
        <v>8.3332999999999995</v>
      </c>
      <c r="U562">
        <v>8.3299999999999999E-2</v>
      </c>
      <c r="V562">
        <v>1</v>
      </c>
      <c r="W562">
        <f>E562/100</f>
        <v>0.12</v>
      </c>
      <c r="X562">
        <f>F562/1000000</f>
        <v>0.12</v>
      </c>
      <c r="Y562">
        <f>IF(D562="C",1,0)</f>
        <v>1</v>
      </c>
      <c r="Z562">
        <f>IF(G562="C",1,0)</f>
        <v>0</v>
      </c>
      <c r="AA562">
        <f>IF(G562="S",1,0)</f>
        <v>0</v>
      </c>
      <c r="AB562">
        <f>IF(G562="U",1,0)</f>
        <v>0</v>
      </c>
      <c r="AC562" s="5">
        <f>IF(AND(ISNUMBER(H562),NOT(ISNUMBER(P562))),1,0)</f>
        <v>0</v>
      </c>
      <c r="AD562" s="5">
        <f>IF(AND(ISNUMBER(H562),ISNUMBER(P562)),1,0)</f>
        <v>0</v>
      </c>
      <c r="AE562" s="5">
        <f>W562</f>
        <v>0.12</v>
      </c>
      <c r="AF562" s="5">
        <f>X562</f>
        <v>0.12</v>
      </c>
      <c r="AG562" s="5">
        <f>Y562</f>
        <v>1</v>
      </c>
      <c r="AH562" s="5">
        <f>IF(OR(G562="C",G562="S",G562="U"),1,0)</f>
        <v>0</v>
      </c>
      <c r="AI562" s="5">
        <f>IF(ISNUMBER(H562),1,0)</f>
        <v>0</v>
      </c>
      <c r="AJ562" s="5">
        <f>IF(ISNUMBER(P562),1,0)</f>
        <v>1</v>
      </c>
      <c r="AK562" s="5" t="str">
        <f>IF(AI562=1,IF(J562&gt;0,1,0),"")</f>
        <v/>
      </c>
      <c r="AL562" s="5">
        <f>IF(AJ562=1,IF(OR(Q562&gt;0,R562&gt;0),1,0),"")</f>
        <v>1</v>
      </c>
    </row>
    <row r="563" spans="1:38">
      <c r="A563">
        <v>604915</v>
      </c>
      <c r="B563" t="s">
        <v>710</v>
      </c>
      <c r="C563" t="s">
        <v>77</v>
      </c>
      <c r="D563" t="s">
        <v>24</v>
      </c>
      <c r="E563">
        <v>74</v>
      </c>
      <c r="F563">
        <v>6366746</v>
      </c>
      <c r="G563" t="s">
        <v>25</v>
      </c>
      <c r="H563" t="s">
        <v>26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>
        <v>1</v>
      </c>
      <c r="Q563">
        <v>0</v>
      </c>
      <c r="R563">
        <v>1</v>
      </c>
      <c r="S563">
        <v>1</v>
      </c>
      <c r="T563">
        <v>0.15709999999999999</v>
      </c>
      <c r="U563">
        <v>1.35E-2</v>
      </c>
      <c r="V563">
        <v>1</v>
      </c>
      <c r="W563">
        <f>E563/100</f>
        <v>0.74</v>
      </c>
      <c r="X563">
        <f>F563/1000000</f>
        <v>6.366746</v>
      </c>
      <c r="Y563">
        <f>IF(D563="C",1,0)</f>
        <v>0</v>
      </c>
      <c r="Z563">
        <f>IF(G563="C",1,0)</f>
        <v>0</v>
      </c>
      <c r="AA563">
        <f>IF(G563="S",1,0)</f>
        <v>1</v>
      </c>
      <c r="AB563">
        <f>IF(G563="U",1,0)</f>
        <v>0</v>
      </c>
      <c r="AC563" s="5">
        <f>IF(AND(ISNUMBER(H563),NOT(ISNUMBER(P563))),1,0)</f>
        <v>0</v>
      </c>
      <c r="AD563" s="5">
        <f>IF(AND(ISNUMBER(H563),ISNUMBER(P563)),1,0)</f>
        <v>0</v>
      </c>
      <c r="AE563" s="5">
        <f>W563</f>
        <v>0.74</v>
      </c>
      <c r="AF563" s="5">
        <f>X563</f>
        <v>6.366746</v>
      </c>
      <c r="AG563" s="5">
        <f>Y563</f>
        <v>0</v>
      </c>
      <c r="AH563" s="5">
        <f>IF(OR(G563="C",G563="S",G563="U"),1,0)</f>
        <v>1</v>
      </c>
      <c r="AI563" s="5">
        <f>IF(ISNUMBER(H563),1,0)</f>
        <v>0</v>
      </c>
      <c r="AJ563" s="5">
        <f>IF(ISNUMBER(P563),1,0)</f>
        <v>1</v>
      </c>
      <c r="AK563" s="5" t="str">
        <f>IF(AI563=1,IF(J563&gt;0,1,0),"")</f>
        <v/>
      </c>
      <c r="AL563" s="5">
        <f>IF(AJ563=1,IF(OR(Q563&gt;0,R563&gt;0),1,0),"")</f>
        <v>1</v>
      </c>
    </row>
    <row r="564" spans="1:38">
      <c r="A564">
        <v>605366</v>
      </c>
      <c r="B564" t="s">
        <v>711</v>
      </c>
      <c r="C564" t="s">
        <v>84</v>
      </c>
      <c r="D564" t="s">
        <v>24</v>
      </c>
      <c r="E564">
        <v>251</v>
      </c>
      <c r="F564">
        <v>5480000</v>
      </c>
      <c r="H564" t="s">
        <v>26</v>
      </c>
      <c r="I564" t="s">
        <v>26</v>
      </c>
      <c r="J564" t="s">
        <v>26</v>
      </c>
      <c r="K564" t="s">
        <v>26</v>
      </c>
      <c r="L564" t="s">
        <v>26</v>
      </c>
      <c r="M564" t="s">
        <v>26</v>
      </c>
      <c r="N564" t="s">
        <v>26</v>
      </c>
      <c r="O564" t="s">
        <v>26</v>
      </c>
      <c r="P564">
        <v>1</v>
      </c>
      <c r="Q564">
        <v>0</v>
      </c>
      <c r="R564">
        <v>0</v>
      </c>
      <c r="S564">
        <v>1</v>
      </c>
      <c r="T564">
        <v>0.1825</v>
      </c>
      <c r="U564">
        <v>4.0000000000000001E-3</v>
      </c>
      <c r="V564">
        <v>0</v>
      </c>
      <c r="W564">
        <f>E564/100</f>
        <v>2.5099999999999998</v>
      </c>
      <c r="X564">
        <f>F564/1000000</f>
        <v>5.48</v>
      </c>
      <c r="Y564">
        <f>IF(D564="C",1,0)</f>
        <v>0</v>
      </c>
      <c r="Z564">
        <f>IF(G564="C",1,0)</f>
        <v>0</v>
      </c>
      <c r="AA564">
        <f>IF(G564="S",1,0)</f>
        <v>0</v>
      </c>
      <c r="AB564">
        <f>IF(G564="U",1,0)</f>
        <v>0</v>
      </c>
      <c r="AC564" s="5">
        <f>IF(AND(ISNUMBER(H564),NOT(ISNUMBER(P564))),1,0)</f>
        <v>0</v>
      </c>
      <c r="AD564" s="5">
        <f>IF(AND(ISNUMBER(H564),ISNUMBER(P564)),1,0)</f>
        <v>0</v>
      </c>
      <c r="AE564" s="5">
        <f>W564</f>
        <v>2.5099999999999998</v>
      </c>
      <c r="AF564" s="5">
        <f>X564</f>
        <v>5.48</v>
      </c>
      <c r="AG564" s="5">
        <f>Y564</f>
        <v>0</v>
      </c>
      <c r="AH564" s="5">
        <f>IF(OR(G564="C",G564="S",G564="U"),1,0)</f>
        <v>0</v>
      </c>
      <c r="AI564" s="5">
        <f>IF(ISNUMBER(H564),1,0)</f>
        <v>0</v>
      </c>
      <c r="AJ564" s="5">
        <f>IF(ISNUMBER(P564),1,0)</f>
        <v>1</v>
      </c>
      <c r="AK564" s="5" t="str">
        <f>IF(AI564=1,IF(J564&gt;0,1,0),"")</f>
        <v/>
      </c>
      <c r="AL564" s="5">
        <f>IF(AJ564=1,IF(OR(Q564&gt;0,R564&gt;0),1,0),"")</f>
        <v>0</v>
      </c>
    </row>
    <row r="565" spans="1:38">
      <c r="A565">
        <v>606734</v>
      </c>
      <c r="B565" t="s">
        <v>712</v>
      </c>
      <c r="C565" t="s">
        <v>82</v>
      </c>
      <c r="D565" t="s">
        <v>24</v>
      </c>
      <c r="E565">
        <v>24</v>
      </c>
      <c r="F565">
        <v>793734</v>
      </c>
      <c r="G565" t="s">
        <v>25</v>
      </c>
      <c r="H565" t="s">
        <v>26</v>
      </c>
      <c r="I565" t="s">
        <v>26</v>
      </c>
      <c r="J565" t="s">
        <v>26</v>
      </c>
      <c r="K565" t="s">
        <v>26</v>
      </c>
      <c r="L565" t="s">
        <v>26</v>
      </c>
      <c r="M565" t="s">
        <v>26</v>
      </c>
      <c r="N565" t="s">
        <v>26</v>
      </c>
      <c r="O565" t="s">
        <v>26</v>
      </c>
      <c r="P565">
        <v>1</v>
      </c>
      <c r="Q565">
        <v>0</v>
      </c>
      <c r="R565">
        <v>1</v>
      </c>
      <c r="S565">
        <v>0</v>
      </c>
      <c r="T565">
        <v>1.2599</v>
      </c>
      <c r="U565">
        <v>4.1700000000000001E-2</v>
      </c>
      <c r="V565">
        <v>1</v>
      </c>
      <c r="W565">
        <f>E565/100</f>
        <v>0.24</v>
      </c>
      <c r="X565">
        <f>F565/1000000</f>
        <v>0.79373400000000005</v>
      </c>
      <c r="Y565">
        <f>IF(D565="C",1,0)</f>
        <v>0</v>
      </c>
      <c r="Z565">
        <f>IF(G565="C",1,0)</f>
        <v>0</v>
      </c>
      <c r="AA565">
        <f>IF(G565="S",1,0)</f>
        <v>1</v>
      </c>
      <c r="AB565">
        <f>IF(G565="U",1,0)</f>
        <v>0</v>
      </c>
      <c r="AC565" s="5">
        <f>IF(AND(ISNUMBER(H565),NOT(ISNUMBER(P565))),1,0)</f>
        <v>0</v>
      </c>
      <c r="AD565" s="5">
        <f>IF(AND(ISNUMBER(H565),ISNUMBER(P565)),1,0)</f>
        <v>0</v>
      </c>
      <c r="AE565" s="5">
        <f>W565</f>
        <v>0.24</v>
      </c>
      <c r="AF565" s="5">
        <f>X565</f>
        <v>0.79373400000000005</v>
      </c>
      <c r="AG565" s="5">
        <f>Y565</f>
        <v>0</v>
      </c>
      <c r="AH565" s="5">
        <f>IF(OR(G565="C",G565="S",G565="U"),1,0)</f>
        <v>1</v>
      </c>
      <c r="AI565" s="5">
        <f>IF(ISNUMBER(H565),1,0)</f>
        <v>0</v>
      </c>
      <c r="AJ565" s="5">
        <f>IF(ISNUMBER(P565),1,0)</f>
        <v>1</v>
      </c>
      <c r="AK565" s="5" t="str">
        <f>IF(AI565=1,IF(J565&gt;0,1,0),"")</f>
        <v/>
      </c>
      <c r="AL565" s="5">
        <f>IF(AJ565=1,IF(OR(Q565&gt;0,R565&gt;0),1,0),"")</f>
        <v>1</v>
      </c>
    </row>
    <row r="566" spans="1:38">
      <c r="A566">
        <v>607787</v>
      </c>
      <c r="B566" t="s">
        <v>713</v>
      </c>
      <c r="C566" t="s">
        <v>82</v>
      </c>
      <c r="D566" t="s">
        <v>33</v>
      </c>
      <c r="E566">
        <v>26</v>
      </c>
      <c r="F566">
        <v>910000</v>
      </c>
      <c r="H566" t="s">
        <v>26</v>
      </c>
      <c r="I566" t="s">
        <v>26</v>
      </c>
      <c r="J566" t="s">
        <v>26</v>
      </c>
      <c r="K566" t="s">
        <v>26</v>
      </c>
      <c r="L566" t="s">
        <v>26</v>
      </c>
      <c r="M566" t="s">
        <v>26</v>
      </c>
      <c r="N566" t="s">
        <v>26</v>
      </c>
      <c r="O566" t="s">
        <v>26</v>
      </c>
      <c r="P566">
        <v>1</v>
      </c>
      <c r="Q566">
        <v>0</v>
      </c>
      <c r="R566">
        <v>1</v>
      </c>
      <c r="S566">
        <v>1</v>
      </c>
      <c r="T566">
        <v>1.0989</v>
      </c>
      <c r="U566">
        <v>3.85E-2</v>
      </c>
      <c r="V566">
        <v>1</v>
      </c>
      <c r="W566">
        <f>E566/100</f>
        <v>0.26</v>
      </c>
      <c r="X566">
        <f>F566/1000000</f>
        <v>0.91</v>
      </c>
      <c r="Y566">
        <f>IF(D566="C",1,0)</f>
        <v>1</v>
      </c>
      <c r="Z566">
        <f>IF(G566="C",1,0)</f>
        <v>0</v>
      </c>
      <c r="AA566">
        <f>IF(G566="S",1,0)</f>
        <v>0</v>
      </c>
      <c r="AB566">
        <f>IF(G566="U",1,0)</f>
        <v>0</v>
      </c>
      <c r="AC566" s="5">
        <f>IF(AND(ISNUMBER(H566),NOT(ISNUMBER(P566))),1,0)</f>
        <v>0</v>
      </c>
      <c r="AD566" s="5">
        <f>IF(AND(ISNUMBER(H566),ISNUMBER(P566)),1,0)</f>
        <v>0</v>
      </c>
      <c r="AE566" s="5">
        <f>W566</f>
        <v>0.26</v>
      </c>
      <c r="AF566" s="5">
        <f>X566</f>
        <v>0.91</v>
      </c>
      <c r="AG566" s="5">
        <f>Y566</f>
        <v>1</v>
      </c>
      <c r="AH566" s="5">
        <f>IF(OR(G566="C",G566="S",G566="U"),1,0)</f>
        <v>0</v>
      </c>
      <c r="AI566" s="5">
        <f>IF(ISNUMBER(H566),1,0)</f>
        <v>0</v>
      </c>
      <c r="AJ566" s="5">
        <f>IF(ISNUMBER(P566),1,0)</f>
        <v>1</v>
      </c>
      <c r="AK566" s="5" t="str">
        <f>IF(AI566=1,IF(J566&gt;0,1,0),"")</f>
        <v/>
      </c>
      <c r="AL566" s="5">
        <f>IF(AJ566=1,IF(OR(Q566&gt;0,R566&gt;0),1,0),"")</f>
        <v>1</v>
      </c>
    </row>
    <row r="567" spans="1:38">
      <c r="A567">
        <v>609771</v>
      </c>
      <c r="B567" t="s">
        <v>714</v>
      </c>
      <c r="C567" t="s">
        <v>82</v>
      </c>
      <c r="D567" t="s">
        <v>24</v>
      </c>
      <c r="E567">
        <v>8</v>
      </c>
      <c r="F567">
        <v>78824</v>
      </c>
      <c r="H567" t="s">
        <v>26</v>
      </c>
      <c r="I567" t="s">
        <v>26</v>
      </c>
      <c r="J567" t="s">
        <v>26</v>
      </c>
      <c r="K567" t="s">
        <v>26</v>
      </c>
      <c r="L567" t="s">
        <v>26</v>
      </c>
      <c r="M567" t="s">
        <v>26</v>
      </c>
      <c r="N567" t="s">
        <v>26</v>
      </c>
      <c r="O567" t="s">
        <v>26</v>
      </c>
      <c r="P567">
        <v>1</v>
      </c>
      <c r="Q567">
        <v>0</v>
      </c>
      <c r="R567">
        <v>1</v>
      </c>
      <c r="S567">
        <v>1</v>
      </c>
      <c r="T567">
        <v>12.686500000000001</v>
      </c>
      <c r="U567">
        <v>0.125</v>
      </c>
      <c r="V567">
        <v>1</v>
      </c>
      <c r="W567">
        <f>E567/100</f>
        <v>0.08</v>
      </c>
      <c r="X567">
        <f>F567/1000000</f>
        <v>7.8824000000000005E-2</v>
      </c>
      <c r="Y567">
        <f>IF(D567="C",1,0)</f>
        <v>0</v>
      </c>
      <c r="Z567">
        <f>IF(G567="C",1,0)</f>
        <v>0</v>
      </c>
      <c r="AA567">
        <f>IF(G567="S",1,0)</f>
        <v>0</v>
      </c>
      <c r="AB567">
        <f>IF(G567="U",1,0)</f>
        <v>0</v>
      </c>
      <c r="AC567" s="5">
        <f>IF(AND(ISNUMBER(H567),NOT(ISNUMBER(P567))),1,0)</f>
        <v>0</v>
      </c>
      <c r="AD567" s="5">
        <f>IF(AND(ISNUMBER(H567),ISNUMBER(P567)),1,0)</f>
        <v>0</v>
      </c>
      <c r="AE567" s="5">
        <f>W567</f>
        <v>0.08</v>
      </c>
      <c r="AF567" s="5">
        <f>X567</f>
        <v>7.8824000000000005E-2</v>
      </c>
      <c r="AG567" s="5">
        <f>Y567</f>
        <v>0</v>
      </c>
      <c r="AH567" s="5">
        <f>IF(OR(G567="C",G567="S",G567="U"),1,0)</f>
        <v>0</v>
      </c>
      <c r="AI567" s="5">
        <f>IF(ISNUMBER(H567),1,0)</f>
        <v>0</v>
      </c>
      <c r="AJ567" s="5">
        <f>IF(ISNUMBER(P567),1,0)</f>
        <v>1</v>
      </c>
      <c r="AK567" s="5" t="str">
        <f>IF(AI567=1,IF(J567&gt;0,1,0),"")</f>
        <v/>
      </c>
      <c r="AL567" s="5">
        <f>IF(AJ567=1,IF(OR(Q567&gt;0,R567&gt;0),1,0),"")</f>
        <v>1</v>
      </c>
    </row>
    <row r="568" spans="1:38">
      <c r="A568">
        <v>611717</v>
      </c>
      <c r="B568" t="s">
        <v>715</v>
      </c>
      <c r="C568" t="s">
        <v>82</v>
      </c>
      <c r="D568" t="s">
        <v>24</v>
      </c>
      <c r="E568">
        <v>2</v>
      </c>
      <c r="F568">
        <v>5500</v>
      </c>
      <c r="H568" t="s">
        <v>26</v>
      </c>
      <c r="I568" t="s">
        <v>26</v>
      </c>
      <c r="J568" t="s">
        <v>26</v>
      </c>
      <c r="K568" t="s">
        <v>26</v>
      </c>
      <c r="L568" t="s">
        <v>26</v>
      </c>
      <c r="M568" t="s">
        <v>26</v>
      </c>
      <c r="N568" t="s">
        <v>26</v>
      </c>
      <c r="O568" t="s">
        <v>26</v>
      </c>
      <c r="P568">
        <v>1</v>
      </c>
      <c r="Q568">
        <v>0</v>
      </c>
      <c r="R568">
        <v>1</v>
      </c>
      <c r="S568">
        <v>1</v>
      </c>
      <c r="T568">
        <v>181.81819999999999</v>
      </c>
      <c r="U568">
        <v>0.5</v>
      </c>
      <c r="V568">
        <v>1</v>
      </c>
      <c r="W568">
        <f>E568/100</f>
        <v>0.02</v>
      </c>
      <c r="X568">
        <f>F568/1000000</f>
        <v>5.4999999999999997E-3</v>
      </c>
      <c r="Y568">
        <f>IF(D568="C",1,0)</f>
        <v>0</v>
      </c>
      <c r="Z568">
        <f>IF(G568="C",1,0)</f>
        <v>0</v>
      </c>
      <c r="AA568">
        <f>IF(G568="S",1,0)</f>
        <v>0</v>
      </c>
      <c r="AB568">
        <f>IF(G568="U",1,0)</f>
        <v>0</v>
      </c>
      <c r="AC568" s="5">
        <f>IF(AND(ISNUMBER(H568),NOT(ISNUMBER(P568))),1,0)</f>
        <v>0</v>
      </c>
      <c r="AD568" s="5">
        <f>IF(AND(ISNUMBER(H568),ISNUMBER(P568)),1,0)</f>
        <v>0</v>
      </c>
      <c r="AE568" s="5">
        <f>W568</f>
        <v>0.02</v>
      </c>
      <c r="AF568" s="5">
        <f>X568</f>
        <v>5.4999999999999997E-3</v>
      </c>
      <c r="AG568" s="5">
        <f>Y568</f>
        <v>0</v>
      </c>
      <c r="AH568" s="5">
        <f>IF(OR(G568="C",G568="S",G568="U"),1,0)</f>
        <v>0</v>
      </c>
      <c r="AI568" s="5">
        <f>IF(ISNUMBER(H568),1,0)</f>
        <v>0</v>
      </c>
      <c r="AJ568" s="5">
        <f>IF(ISNUMBER(P568),1,0)</f>
        <v>1</v>
      </c>
      <c r="AK568" s="5" t="str">
        <f>IF(AI568=1,IF(J568&gt;0,1,0),"")</f>
        <v/>
      </c>
      <c r="AL568" s="5">
        <f>IF(AJ568=1,IF(OR(Q568&gt;0,R568&gt;0),1,0),"")</f>
        <v>1</v>
      </c>
    </row>
    <row r="569" spans="1:38">
      <c r="A569">
        <v>611801</v>
      </c>
      <c r="B569" t="s">
        <v>716</v>
      </c>
      <c r="C569" t="s">
        <v>84</v>
      </c>
      <c r="D569" t="s">
        <v>33</v>
      </c>
      <c r="E569">
        <v>3</v>
      </c>
      <c r="F569">
        <v>30000</v>
      </c>
      <c r="H569" t="s">
        <v>26</v>
      </c>
      <c r="I569" t="s">
        <v>26</v>
      </c>
      <c r="J569" t="s">
        <v>26</v>
      </c>
      <c r="K569" t="s">
        <v>26</v>
      </c>
      <c r="L569" t="s">
        <v>26</v>
      </c>
      <c r="M569" t="s">
        <v>26</v>
      </c>
      <c r="N569" t="s">
        <v>26</v>
      </c>
      <c r="O569" t="s">
        <v>26</v>
      </c>
      <c r="P569">
        <v>1</v>
      </c>
      <c r="Q569">
        <v>0</v>
      </c>
      <c r="R569">
        <v>1</v>
      </c>
      <c r="S569">
        <v>1</v>
      </c>
      <c r="T569">
        <v>33.333300000000001</v>
      </c>
      <c r="U569">
        <v>0.33329999999999999</v>
      </c>
      <c r="V569">
        <v>1</v>
      </c>
      <c r="W569">
        <f>E569/100</f>
        <v>0.03</v>
      </c>
      <c r="X569">
        <f>F569/1000000</f>
        <v>0.03</v>
      </c>
      <c r="Y569">
        <f>IF(D569="C",1,0)</f>
        <v>1</v>
      </c>
      <c r="Z569">
        <f>IF(G569="C",1,0)</f>
        <v>0</v>
      </c>
      <c r="AA569">
        <f>IF(G569="S",1,0)</f>
        <v>0</v>
      </c>
      <c r="AB569">
        <f>IF(G569="U",1,0)</f>
        <v>0</v>
      </c>
      <c r="AC569" s="5">
        <f>IF(AND(ISNUMBER(H569),NOT(ISNUMBER(P569))),1,0)</f>
        <v>0</v>
      </c>
      <c r="AD569" s="5">
        <f>IF(AND(ISNUMBER(H569),ISNUMBER(P569)),1,0)</f>
        <v>0</v>
      </c>
      <c r="AE569" s="5">
        <f>W569</f>
        <v>0.03</v>
      </c>
      <c r="AF569" s="5">
        <f>X569</f>
        <v>0.03</v>
      </c>
      <c r="AG569" s="5">
        <f>Y569</f>
        <v>1</v>
      </c>
      <c r="AH569" s="5">
        <f>IF(OR(G569="C",G569="S",G569="U"),1,0)</f>
        <v>0</v>
      </c>
      <c r="AI569" s="5">
        <f>IF(ISNUMBER(H569),1,0)</f>
        <v>0</v>
      </c>
      <c r="AJ569" s="5">
        <f>IF(ISNUMBER(P569),1,0)</f>
        <v>1</v>
      </c>
      <c r="AK569" s="5" t="str">
        <f>IF(AI569=1,IF(J569&gt;0,1,0),"")</f>
        <v/>
      </c>
      <c r="AL569" s="5">
        <f>IF(AJ569=1,IF(OR(Q569&gt;0,R569&gt;0),1,0),"")</f>
        <v>1</v>
      </c>
    </row>
    <row r="570" spans="1:38">
      <c r="A570">
        <v>618188</v>
      </c>
      <c r="B570" t="s">
        <v>718</v>
      </c>
      <c r="C570" t="s">
        <v>190</v>
      </c>
      <c r="D570" t="s">
        <v>24</v>
      </c>
      <c r="E570">
        <v>74</v>
      </c>
      <c r="F570">
        <v>5750000</v>
      </c>
      <c r="G570" t="s">
        <v>25</v>
      </c>
      <c r="H570" t="s">
        <v>26</v>
      </c>
      <c r="I570" t="s">
        <v>26</v>
      </c>
      <c r="J570" t="s">
        <v>26</v>
      </c>
      <c r="K570" t="s">
        <v>26</v>
      </c>
      <c r="L570" t="s">
        <v>26</v>
      </c>
      <c r="M570" t="s">
        <v>26</v>
      </c>
      <c r="N570" t="s">
        <v>26</v>
      </c>
      <c r="O570" t="s">
        <v>26</v>
      </c>
      <c r="P570">
        <v>1</v>
      </c>
      <c r="Q570">
        <v>0</v>
      </c>
      <c r="R570">
        <v>1</v>
      </c>
      <c r="S570">
        <v>1</v>
      </c>
      <c r="T570">
        <v>0.1739</v>
      </c>
      <c r="U570">
        <v>1.35E-2</v>
      </c>
      <c r="V570">
        <v>1</v>
      </c>
      <c r="W570">
        <f>E570/100</f>
        <v>0.74</v>
      </c>
      <c r="X570">
        <f>F570/1000000</f>
        <v>5.75</v>
      </c>
      <c r="Y570">
        <f>IF(D570="C",1,0)</f>
        <v>0</v>
      </c>
      <c r="Z570">
        <f>IF(G570="C",1,0)</f>
        <v>0</v>
      </c>
      <c r="AA570">
        <f>IF(G570="S",1,0)</f>
        <v>1</v>
      </c>
      <c r="AB570">
        <f>IF(G570="U",1,0)</f>
        <v>0</v>
      </c>
      <c r="AC570" s="5">
        <f>IF(AND(ISNUMBER(H570),NOT(ISNUMBER(P570))),1,0)</f>
        <v>0</v>
      </c>
      <c r="AD570" s="5">
        <f>IF(AND(ISNUMBER(H570),ISNUMBER(P570)),1,0)</f>
        <v>0</v>
      </c>
      <c r="AE570" s="5">
        <f>W570</f>
        <v>0.74</v>
      </c>
      <c r="AF570" s="5">
        <f>X570</f>
        <v>5.75</v>
      </c>
      <c r="AG570" s="5">
        <f>Y570</f>
        <v>0</v>
      </c>
      <c r="AH570" s="5">
        <f>IF(OR(G570="C",G570="S",G570="U"),1,0)</f>
        <v>1</v>
      </c>
      <c r="AI570" s="5">
        <f>IF(ISNUMBER(H570),1,0)</f>
        <v>0</v>
      </c>
      <c r="AJ570" s="5">
        <f>IF(ISNUMBER(P570),1,0)</f>
        <v>1</v>
      </c>
      <c r="AK570" s="5" t="str">
        <f>IF(AI570=1,IF(J570&gt;0,1,0),"")</f>
        <v/>
      </c>
      <c r="AL570" s="5">
        <f>IF(AJ570=1,IF(OR(Q570&gt;0,R570&gt;0),1,0),"")</f>
        <v>1</v>
      </c>
    </row>
    <row r="571" spans="1:38">
      <c r="A571">
        <v>619301</v>
      </c>
      <c r="B571" t="s">
        <v>719</v>
      </c>
      <c r="C571" t="s">
        <v>37</v>
      </c>
      <c r="D571" t="s">
        <v>24</v>
      </c>
      <c r="E571">
        <v>4</v>
      </c>
      <c r="F571">
        <v>13057</v>
      </c>
      <c r="G571" t="s">
        <v>33</v>
      </c>
      <c r="H571" t="s">
        <v>26</v>
      </c>
      <c r="I571" t="s">
        <v>26</v>
      </c>
      <c r="J571" t="s">
        <v>26</v>
      </c>
      <c r="K571" t="s">
        <v>26</v>
      </c>
      <c r="L571" t="s">
        <v>26</v>
      </c>
      <c r="M571" t="s">
        <v>26</v>
      </c>
      <c r="N571" t="s">
        <v>26</v>
      </c>
      <c r="O571" t="s">
        <v>26</v>
      </c>
      <c r="P571">
        <v>1</v>
      </c>
      <c r="Q571">
        <v>0</v>
      </c>
      <c r="R571">
        <v>0</v>
      </c>
      <c r="S571">
        <v>1</v>
      </c>
      <c r="T571">
        <v>76.587299999999999</v>
      </c>
      <c r="U571">
        <v>0.25</v>
      </c>
      <c r="V571">
        <v>0</v>
      </c>
      <c r="W571">
        <f>E571/100</f>
        <v>0.04</v>
      </c>
      <c r="X571">
        <f>F571/1000000</f>
        <v>1.3056999999999999E-2</v>
      </c>
      <c r="Y571">
        <f>IF(D571="C",1,0)</f>
        <v>0</v>
      </c>
      <c r="Z571">
        <f>IF(G571="C",1,0)</f>
        <v>1</v>
      </c>
      <c r="AA571">
        <f>IF(G571="S",1,0)</f>
        <v>0</v>
      </c>
      <c r="AB571">
        <f>IF(G571="U",1,0)</f>
        <v>0</v>
      </c>
      <c r="AC571" s="5">
        <f>IF(AND(ISNUMBER(H571),NOT(ISNUMBER(P571))),1,0)</f>
        <v>0</v>
      </c>
      <c r="AD571" s="5">
        <f>IF(AND(ISNUMBER(H571),ISNUMBER(P571)),1,0)</f>
        <v>0</v>
      </c>
      <c r="AE571" s="5">
        <f>W571</f>
        <v>0.04</v>
      </c>
      <c r="AF571" s="5">
        <f>X571</f>
        <v>1.3056999999999999E-2</v>
      </c>
      <c r="AG571" s="5">
        <f>Y571</f>
        <v>0</v>
      </c>
      <c r="AH571" s="5">
        <f>IF(OR(G571="C",G571="S",G571="U"),1,0)</f>
        <v>1</v>
      </c>
      <c r="AI571" s="5">
        <f>IF(ISNUMBER(H571),1,0)</f>
        <v>0</v>
      </c>
      <c r="AJ571" s="5">
        <f>IF(ISNUMBER(P571),1,0)</f>
        <v>1</v>
      </c>
      <c r="AK571" s="5" t="str">
        <f>IF(AI571=1,IF(J571&gt;0,1,0),"")</f>
        <v/>
      </c>
      <c r="AL571" s="5">
        <f>IF(AJ571=1,IF(OR(Q571&gt;0,R571&gt;0),1,0),"")</f>
        <v>0</v>
      </c>
    </row>
    <row r="572" spans="1:38">
      <c r="A572">
        <v>620024</v>
      </c>
      <c r="B572" t="s">
        <v>720</v>
      </c>
      <c r="C572" t="s">
        <v>84</v>
      </c>
      <c r="D572" t="s">
        <v>24</v>
      </c>
      <c r="E572">
        <v>10</v>
      </c>
      <c r="F572">
        <v>633822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>
        <v>1</v>
      </c>
      <c r="Q572">
        <v>0</v>
      </c>
      <c r="R572">
        <v>1</v>
      </c>
      <c r="S572">
        <v>1</v>
      </c>
      <c r="T572">
        <v>1.5777000000000001</v>
      </c>
      <c r="U572">
        <v>0.1</v>
      </c>
      <c r="V572">
        <v>1</v>
      </c>
      <c r="W572">
        <f>E572/100</f>
        <v>0.1</v>
      </c>
      <c r="X572">
        <f>F572/1000000</f>
        <v>0.633822</v>
      </c>
      <c r="Y572">
        <f>IF(D572="C",1,0)</f>
        <v>0</v>
      </c>
      <c r="Z572">
        <f>IF(G572="C",1,0)</f>
        <v>0</v>
      </c>
      <c r="AA572">
        <f>IF(G572="S",1,0)</f>
        <v>0</v>
      </c>
      <c r="AB572">
        <f>IF(G572="U",1,0)</f>
        <v>0</v>
      </c>
      <c r="AC572" s="5">
        <f>IF(AND(ISNUMBER(H572),NOT(ISNUMBER(P572))),1,0)</f>
        <v>0</v>
      </c>
      <c r="AD572" s="5">
        <f>IF(AND(ISNUMBER(H572),ISNUMBER(P572)),1,0)</f>
        <v>0</v>
      </c>
      <c r="AE572" s="5">
        <f>W572</f>
        <v>0.1</v>
      </c>
      <c r="AF572" s="5">
        <f>X572</f>
        <v>0.633822</v>
      </c>
      <c r="AG572" s="5">
        <f>Y572</f>
        <v>0</v>
      </c>
      <c r="AH572" s="5">
        <f>IF(OR(G572="C",G572="S",G572="U"),1,0)</f>
        <v>0</v>
      </c>
      <c r="AI572" s="5">
        <f>IF(ISNUMBER(H572),1,0)</f>
        <v>0</v>
      </c>
      <c r="AJ572" s="5">
        <f>IF(ISNUMBER(P572),1,0)</f>
        <v>1</v>
      </c>
      <c r="AK572" s="5" t="str">
        <f>IF(AI572=1,IF(J572&gt;0,1,0),"")</f>
        <v/>
      </c>
      <c r="AL572" s="5">
        <f>IF(AJ572=1,IF(OR(Q572&gt;0,R572&gt;0),1,0),"")</f>
        <v>1</v>
      </c>
    </row>
    <row r="573" spans="1:38">
      <c r="A573">
        <v>622961</v>
      </c>
      <c r="B573" t="s">
        <v>721</v>
      </c>
      <c r="C573" t="s">
        <v>23</v>
      </c>
      <c r="D573" t="s">
        <v>24</v>
      </c>
      <c r="E573">
        <v>5</v>
      </c>
      <c r="F573">
        <v>172662</v>
      </c>
      <c r="H573" t="s">
        <v>26</v>
      </c>
      <c r="I573" t="s">
        <v>26</v>
      </c>
      <c r="J573" t="s">
        <v>26</v>
      </c>
      <c r="K573" t="s">
        <v>26</v>
      </c>
      <c r="L573" t="s">
        <v>26</v>
      </c>
      <c r="M573" t="s">
        <v>26</v>
      </c>
      <c r="N573" t="s">
        <v>26</v>
      </c>
      <c r="O573" t="s">
        <v>26</v>
      </c>
      <c r="P573">
        <v>1</v>
      </c>
      <c r="Q573">
        <v>0</v>
      </c>
      <c r="R573">
        <v>0</v>
      </c>
      <c r="S573">
        <v>1</v>
      </c>
      <c r="T573">
        <v>5.7916999999999996</v>
      </c>
      <c r="U573">
        <v>0.2</v>
      </c>
      <c r="V573">
        <v>0</v>
      </c>
      <c r="W573">
        <f>E573/100</f>
        <v>0.05</v>
      </c>
      <c r="X573">
        <f>F573/1000000</f>
        <v>0.17266200000000001</v>
      </c>
      <c r="Y573">
        <f>IF(D573="C",1,0)</f>
        <v>0</v>
      </c>
      <c r="Z573">
        <f>IF(G573="C",1,0)</f>
        <v>0</v>
      </c>
      <c r="AA573">
        <f>IF(G573="S",1,0)</f>
        <v>0</v>
      </c>
      <c r="AB573">
        <f>IF(G573="U",1,0)</f>
        <v>0</v>
      </c>
      <c r="AC573" s="5">
        <f>IF(AND(ISNUMBER(H573),NOT(ISNUMBER(P573))),1,0)</f>
        <v>0</v>
      </c>
      <c r="AD573" s="5">
        <f>IF(AND(ISNUMBER(H573),ISNUMBER(P573)),1,0)</f>
        <v>0</v>
      </c>
      <c r="AE573" s="5">
        <f>W573</f>
        <v>0.05</v>
      </c>
      <c r="AF573" s="5">
        <f>X573</f>
        <v>0.17266200000000001</v>
      </c>
      <c r="AG573" s="5">
        <f>Y573</f>
        <v>0</v>
      </c>
      <c r="AH573" s="5">
        <f>IF(OR(G573="C",G573="S",G573="U"),1,0)</f>
        <v>0</v>
      </c>
      <c r="AI573" s="5">
        <f>IF(ISNUMBER(H573),1,0)</f>
        <v>0</v>
      </c>
      <c r="AJ573" s="5">
        <f>IF(ISNUMBER(P573),1,0)</f>
        <v>1</v>
      </c>
      <c r="AK573" s="5" t="str">
        <f>IF(AI573=1,IF(J573&gt;0,1,0),"")</f>
        <v/>
      </c>
      <c r="AL573" s="5">
        <f>IF(AJ573=1,IF(OR(Q573&gt;0,R573&gt;0),1,0),"")</f>
        <v>0</v>
      </c>
    </row>
    <row r="574" spans="1:38">
      <c r="A574">
        <v>625627</v>
      </c>
      <c r="B574" t="s">
        <v>724</v>
      </c>
      <c r="C574" t="s">
        <v>101</v>
      </c>
      <c r="D574" t="s">
        <v>24</v>
      </c>
      <c r="E574">
        <v>32</v>
      </c>
      <c r="F574">
        <v>1199748</v>
      </c>
      <c r="H574" t="s">
        <v>26</v>
      </c>
      <c r="I574" t="s">
        <v>26</v>
      </c>
      <c r="J574" t="s">
        <v>26</v>
      </c>
      <c r="K574" t="s">
        <v>26</v>
      </c>
      <c r="L574" t="s">
        <v>26</v>
      </c>
      <c r="M574" t="s">
        <v>26</v>
      </c>
      <c r="N574" t="s">
        <v>26</v>
      </c>
      <c r="O574" t="s">
        <v>26</v>
      </c>
      <c r="P574">
        <v>1</v>
      </c>
      <c r="Q574">
        <v>0</v>
      </c>
      <c r="R574">
        <v>0</v>
      </c>
      <c r="S574">
        <v>1</v>
      </c>
      <c r="T574">
        <v>0.83350000000000002</v>
      </c>
      <c r="U574">
        <v>3.1300000000000001E-2</v>
      </c>
      <c r="V574">
        <v>0</v>
      </c>
      <c r="W574">
        <f>E574/100</f>
        <v>0.32</v>
      </c>
      <c r="X574">
        <f>F574/1000000</f>
        <v>1.199748</v>
      </c>
      <c r="Y574">
        <f>IF(D574="C",1,0)</f>
        <v>0</v>
      </c>
      <c r="Z574">
        <f>IF(G574="C",1,0)</f>
        <v>0</v>
      </c>
      <c r="AA574">
        <f>IF(G574="S",1,0)</f>
        <v>0</v>
      </c>
      <c r="AB574">
        <f>IF(G574="U",1,0)</f>
        <v>0</v>
      </c>
      <c r="AC574" s="5">
        <f>IF(AND(ISNUMBER(H574),NOT(ISNUMBER(P574))),1,0)</f>
        <v>0</v>
      </c>
      <c r="AD574" s="5">
        <f>IF(AND(ISNUMBER(H574),ISNUMBER(P574)),1,0)</f>
        <v>0</v>
      </c>
      <c r="AE574" s="5">
        <f>W574</f>
        <v>0.32</v>
      </c>
      <c r="AF574" s="5">
        <f>X574</f>
        <v>1.199748</v>
      </c>
      <c r="AG574" s="5">
        <f>Y574</f>
        <v>0</v>
      </c>
      <c r="AH574" s="5">
        <f>IF(OR(G574="C",G574="S",G574="U"),1,0)</f>
        <v>0</v>
      </c>
      <c r="AI574" s="5">
        <f>IF(ISNUMBER(H574),1,0)</f>
        <v>0</v>
      </c>
      <c r="AJ574" s="5">
        <f>IF(ISNUMBER(P574),1,0)</f>
        <v>1</v>
      </c>
      <c r="AK574" s="5" t="str">
        <f>IF(AI574=1,IF(J574&gt;0,1,0),"")</f>
        <v/>
      </c>
      <c r="AL574" s="5">
        <f>IF(AJ574=1,IF(OR(Q574&gt;0,R574&gt;0),1,0),"")</f>
        <v>0</v>
      </c>
    </row>
    <row r="575" spans="1:38">
      <c r="A575">
        <v>631996</v>
      </c>
      <c r="B575" t="s">
        <v>726</v>
      </c>
      <c r="C575" t="s">
        <v>23</v>
      </c>
      <c r="D575" t="s">
        <v>24</v>
      </c>
      <c r="E575">
        <v>4</v>
      </c>
      <c r="F575">
        <v>225648</v>
      </c>
      <c r="G575" t="s">
        <v>25</v>
      </c>
      <c r="H575" t="s">
        <v>26</v>
      </c>
      <c r="I575" t="s">
        <v>26</v>
      </c>
      <c r="J575" t="s">
        <v>26</v>
      </c>
      <c r="K575" t="s">
        <v>26</v>
      </c>
      <c r="L575" t="s">
        <v>26</v>
      </c>
      <c r="M575" t="s">
        <v>26</v>
      </c>
      <c r="N575" t="s">
        <v>26</v>
      </c>
      <c r="O575" t="s">
        <v>26</v>
      </c>
      <c r="P575">
        <v>1</v>
      </c>
      <c r="Q575">
        <v>0</v>
      </c>
      <c r="R575">
        <v>0</v>
      </c>
      <c r="S575">
        <v>1</v>
      </c>
      <c r="T575">
        <v>4.4317000000000002</v>
      </c>
      <c r="U575">
        <v>0.25</v>
      </c>
      <c r="V575">
        <v>0</v>
      </c>
      <c r="W575">
        <f>E575/100</f>
        <v>0.04</v>
      </c>
      <c r="X575">
        <f>F575/1000000</f>
        <v>0.22564799999999999</v>
      </c>
      <c r="Y575">
        <f>IF(D575="C",1,0)</f>
        <v>0</v>
      </c>
      <c r="Z575">
        <f>IF(G575="C",1,0)</f>
        <v>0</v>
      </c>
      <c r="AA575">
        <f>IF(G575="S",1,0)</f>
        <v>1</v>
      </c>
      <c r="AB575">
        <f>IF(G575="U",1,0)</f>
        <v>0</v>
      </c>
      <c r="AC575" s="5">
        <f>IF(AND(ISNUMBER(H575),NOT(ISNUMBER(P575))),1,0)</f>
        <v>0</v>
      </c>
      <c r="AD575" s="5">
        <f>IF(AND(ISNUMBER(H575),ISNUMBER(P575)),1,0)</f>
        <v>0</v>
      </c>
      <c r="AE575" s="5">
        <f>W575</f>
        <v>0.04</v>
      </c>
      <c r="AF575" s="5">
        <f>X575</f>
        <v>0.22564799999999999</v>
      </c>
      <c r="AG575" s="5">
        <f>Y575</f>
        <v>0</v>
      </c>
      <c r="AH575" s="5">
        <f>IF(OR(G575="C",G575="S",G575="U"),1,0)</f>
        <v>1</v>
      </c>
      <c r="AI575" s="5">
        <f>IF(ISNUMBER(H575),1,0)</f>
        <v>0</v>
      </c>
      <c r="AJ575" s="5">
        <f>IF(ISNUMBER(P575),1,0)</f>
        <v>1</v>
      </c>
      <c r="AK575" s="5" t="str">
        <f>IF(AI575=1,IF(J575&gt;0,1,0),"")</f>
        <v/>
      </c>
      <c r="AL575" s="5">
        <f>IF(AJ575=1,IF(OR(Q575&gt;0,R575&gt;0),1,0),"")</f>
        <v>0</v>
      </c>
    </row>
    <row r="576" spans="1:38">
      <c r="A576">
        <v>632952</v>
      </c>
      <c r="B576" t="s">
        <v>728</v>
      </c>
      <c r="C576" t="s">
        <v>183</v>
      </c>
      <c r="D576" t="s">
        <v>24</v>
      </c>
      <c r="E576">
        <v>1</v>
      </c>
      <c r="F576">
        <v>77000</v>
      </c>
      <c r="H576" t="s">
        <v>26</v>
      </c>
      <c r="I576" t="s">
        <v>26</v>
      </c>
      <c r="J576" t="s">
        <v>26</v>
      </c>
      <c r="K576" t="s">
        <v>26</v>
      </c>
      <c r="L576" t="s">
        <v>26</v>
      </c>
      <c r="M576" t="s">
        <v>26</v>
      </c>
      <c r="N576" t="s">
        <v>26</v>
      </c>
      <c r="O576" t="s">
        <v>26</v>
      </c>
      <c r="P576">
        <v>1</v>
      </c>
      <c r="Q576">
        <v>0</v>
      </c>
      <c r="R576">
        <v>0</v>
      </c>
      <c r="S576">
        <v>1</v>
      </c>
      <c r="T576">
        <v>12.987</v>
      </c>
      <c r="U576">
        <v>1</v>
      </c>
      <c r="V576">
        <v>0</v>
      </c>
      <c r="W576">
        <f>E576/100</f>
        <v>0.01</v>
      </c>
      <c r="X576">
        <f>F576/1000000</f>
        <v>7.6999999999999999E-2</v>
      </c>
      <c r="Y576">
        <f>IF(D576="C",1,0)</f>
        <v>0</v>
      </c>
      <c r="Z576">
        <f>IF(G576="C",1,0)</f>
        <v>0</v>
      </c>
      <c r="AA576">
        <f>IF(G576="S",1,0)</f>
        <v>0</v>
      </c>
      <c r="AB576">
        <f>IF(G576="U",1,0)</f>
        <v>0</v>
      </c>
      <c r="AC576" s="5">
        <f>IF(AND(ISNUMBER(H576),NOT(ISNUMBER(P576))),1,0)</f>
        <v>0</v>
      </c>
      <c r="AD576" s="5">
        <f>IF(AND(ISNUMBER(H576),ISNUMBER(P576)),1,0)</f>
        <v>0</v>
      </c>
      <c r="AE576" s="5">
        <f>W576</f>
        <v>0.01</v>
      </c>
      <c r="AF576" s="5">
        <f>X576</f>
        <v>7.6999999999999999E-2</v>
      </c>
      <c r="AG576" s="5">
        <f>Y576</f>
        <v>0</v>
      </c>
      <c r="AH576" s="5">
        <f>IF(OR(G576="C",G576="S",G576="U"),1,0)</f>
        <v>0</v>
      </c>
      <c r="AI576" s="5">
        <f>IF(ISNUMBER(H576),1,0)</f>
        <v>0</v>
      </c>
      <c r="AJ576" s="5">
        <f>IF(ISNUMBER(P576),1,0)</f>
        <v>1</v>
      </c>
      <c r="AK576" s="5" t="str">
        <f>IF(AI576=1,IF(J576&gt;0,1,0),"")</f>
        <v/>
      </c>
      <c r="AL576" s="5">
        <f>IF(AJ576=1,IF(OR(Q576&gt;0,R576&gt;0),1,0),"")</f>
        <v>0</v>
      </c>
    </row>
    <row r="577" spans="1:38">
      <c r="A577">
        <v>633755</v>
      </c>
      <c r="B577" t="s">
        <v>729</v>
      </c>
      <c r="C577" t="s">
        <v>82</v>
      </c>
      <c r="D577" t="s">
        <v>24</v>
      </c>
      <c r="E577">
        <v>4</v>
      </c>
      <c r="F577">
        <v>40000</v>
      </c>
      <c r="H577" t="s">
        <v>26</v>
      </c>
      <c r="I577" t="s">
        <v>26</v>
      </c>
      <c r="J577" t="s">
        <v>26</v>
      </c>
      <c r="K577" t="s">
        <v>26</v>
      </c>
      <c r="L577" t="s">
        <v>26</v>
      </c>
      <c r="M577" t="s">
        <v>26</v>
      </c>
      <c r="N577" t="s">
        <v>26</v>
      </c>
      <c r="O577" t="s">
        <v>26</v>
      </c>
      <c r="P577">
        <v>1</v>
      </c>
      <c r="Q577">
        <v>0</v>
      </c>
      <c r="R577">
        <v>0</v>
      </c>
      <c r="S577">
        <v>1</v>
      </c>
      <c r="T577">
        <v>25</v>
      </c>
      <c r="U577">
        <v>0.25</v>
      </c>
      <c r="V577">
        <v>0</v>
      </c>
      <c r="W577">
        <f>E577/100</f>
        <v>0.04</v>
      </c>
      <c r="X577">
        <f>F577/1000000</f>
        <v>0.04</v>
      </c>
      <c r="Y577">
        <f>IF(D577="C",1,0)</f>
        <v>0</v>
      </c>
      <c r="Z577">
        <f>IF(G577="C",1,0)</f>
        <v>0</v>
      </c>
      <c r="AA577">
        <f>IF(G577="S",1,0)</f>
        <v>0</v>
      </c>
      <c r="AB577">
        <f>IF(G577="U",1,0)</f>
        <v>0</v>
      </c>
      <c r="AC577" s="5">
        <f>IF(AND(ISNUMBER(H577),NOT(ISNUMBER(P577))),1,0)</f>
        <v>0</v>
      </c>
      <c r="AD577" s="5">
        <f>IF(AND(ISNUMBER(H577),ISNUMBER(P577)),1,0)</f>
        <v>0</v>
      </c>
      <c r="AE577" s="5">
        <f>W577</f>
        <v>0.04</v>
      </c>
      <c r="AF577" s="5">
        <f>X577</f>
        <v>0.04</v>
      </c>
      <c r="AG577" s="5">
        <f>Y577</f>
        <v>0</v>
      </c>
      <c r="AH577" s="5">
        <f>IF(OR(G577="C",G577="S",G577="U"),1,0)</f>
        <v>0</v>
      </c>
      <c r="AI577" s="5">
        <f>IF(ISNUMBER(H577),1,0)</f>
        <v>0</v>
      </c>
      <c r="AJ577" s="5">
        <f>IF(ISNUMBER(P577),1,0)</f>
        <v>1</v>
      </c>
      <c r="AK577" s="5" t="str">
        <f>IF(AI577=1,IF(J577&gt;0,1,0),"")</f>
        <v/>
      </c>
      <c r="AL577" s="5">
        <f>IF(AJ577=1,IF(OR(Q577&gt;0,R577&gt;0),1,0),"")</f>
        <v>0</v>
      </c>
    </row>
    <row r="578" spans="1:38">
      <c r="A578">
        <v>637172</v>
      </c>
      <c r="B578" t="s">
        <v>731</v>
      </c>
      <c r="C578" t="s">
        <v>37</v>
      </c>
      <c r="D578" t="s">
        <v>24</v>
      </c>
      <c r="E578">
        <v>3</v>
      </c>
      <c r="F578">
        <v>306735</v>
      </c>
      <c r="H578" t="s">
        <v>26</v>
      </c>
      <c r="I578" t="s">
        <v>26</v>
      </c>
      <c r="J578" t="s">
        <v>26</v>
      </c>
      <c r="K578" t="s">
        <v>26</v>
      </c>
      <c r="L578" t="s">
        <v>26</v>
      </c>
      <c r="M578" t="s">
        <v>26</v>
      </c>
      <c r="N578" t="s">
        <v>26</v>
      </c>
      <c r="O578" t="s">
        <v>26</v>
      </c>
      <c r="P578">
        <v>1</v>
      </c>
      <c r="Q578">
        <v>0</v>
      </c>
      <c r="R578">
        <v>0</v>
      </c>
      <c r="S578">
        <v>1</v>
      </c>
      <c r="T578">
        <v>3.2601</v>
      </c>
      <c r="U578">
        <v>0.33329999999999999</v>
      </c>
      <c r="V578">
        <v>0</v>
      </c>
      <c r="W578">
        <f>E578/100</f>
        <v>0.03</v>
      </c>
      <c r="X578">
        <f>F578/1000000</f>
        <v>0.30673499999999998</v>
      </c>
      <c r="Y578">
        <f>IF(D578="C",1,0)</f>
        <v>0</v>
      </c>
      <c r="Z578">
        <f>IF(G578="C",1,0)</f>
        <v>0</v>
      </c>
      <c r="AA578">
        <f>IF(G578="S",1,0)</f>
        <v>0</v>
      </c>
      <c r="AB578">
        <f>IF(G578="U",1,0)</f>
        <v>0</v>
      </c>
      <c r="AC578" s="5">
        <f>IF(AND(ISNUMBER(H578),NOT(ISNUMBER(P578))),1,0)</f>
        <v>0</v>
      </c>
      <c r="AD578" s="5">
        <f>IF(AND(ISNUMBER(H578),ISNUMBER(P578)),1,0)</f>
        <v>0</v>
      </c>
      <c r="AE578" s="5">
        <f>W578</f>
        <v>0.03</v>
      </c>
      <c r="AF578" s="5">
        <f>X578</f>
        <v>0.30673499999999998</v>
      </c>
      <c r="AG578" s="5">
        <f>Y578</f>
        <v>0</v>
      </c>
      <c r="AH578" s="5">
        <f>IF(OR(G578="C",G578="S",G578="U"),1,0)</f>
        <v>0</v>
      </c>
      <c r="AI578" s="5">
        <f>IF(ISNUMBER(H578),1,0)</f>
        <v>0</v>
      </c>
      <c r="AJ578" s="5">
        <f>IF(ISNUMBER(P578),1,0)</f>
        <v>1</v>
      </c>
      <c r="AK578" s="5" t="str">
        <f>IF(AI578=1,IF(J578&gt;0,1,0),"")</f>
        <v/>
      </c>
      <c r="AL578" s="5">
        <f>IF(AJ578=1,IF(OR(Q578&gt;0,R578&gt;0),1,0),"")</f>
        <v>0</v>
      </c>
    </row>
    <row r="579" spans="1:38">
      <c r="A579">
        <v>637704</v>
      </c>
      <c r="B579" t="s">
        <v>732</v>
      </c>
      <c r="C579" t="s">
        <v>82</v>
      </c>
      <c r="D579" t="s">
        <v>24</v>
      </c>
      <c r="E579">
        <v>102</v>
      </c>
      <c r="F579">
        <v>8664708</v>
      </c>
      <c r="G579" t="s">
        <v>25</v>
      </c>
      <c r="H579" t="s">
        <v>26</v>
      </c>
      <c r="I579" t="s">
        <v>26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>
        <v>2</v>
      </c>
      <c r="Q579">
        <v>0</v>
      </c>
      <c r="R579">
        <v>1</v>
      </c>
      <c r="S579">
        <v>2</v>
      </c>
      <c r="T579">
        <v>0.23080000000000001</v>
      </c>
      <c r="U579">
        <v>1.9599999999999999E-2</v>
      </c>
      <c r="V579">
        <v>1</v>
      </c>
      <c r="W579">
        <f>E579/100</f>
        <v>1.02</v>
      </c>
      <c r="X579">
        <f>F579/1000000</f>
        <v>8.6647079999999992</v>
      </c>
      <c r="Y579">
        <f>IF(D579="C",1,0)</f>
        <v>0</v>
      </c>
      <c r="Z579">
        <f>IF(G579="C",1,0)</f>
        <v>0</v>
      </c>
      <c r="AA579">
        <f>IF(G579="S",1,0)</f>
        <v>1</v>
      </c>
      <c r="AB579">
        <f>IF(G579="U",1,0)</f>
        <v>0</v>
      </c>
      <c r="AC579" s="5">
        <f>IF(AND(ISNUMBER(H579),NOT(ISNUMBER(P579))),1,0)</f>
        <v>0</v>
      </c>
      <c r="AD579" s="5">
        <f>IF(AND(ISNUMBER(H579),ISNUMBER(P579)),1,0)</f>
        <v>0</v>
      </c>
      <c r="AE579" s="5">
        <f>W579</f>
        <v>1.02</v>
      </c>
      <c r="AF579" s="5">
        <f>X579</f>
        <v>8.6647079999999992</v>
      </c>
      <c r="AG579" s="5">
        <f>Y579</f>
        <v>0</v>
      </c>
      <c r="AH579" s="5">
        <f>IF(OR(G579="C",G579="S",G579="U"),1,0)</f>
        <v>1</v>
      </c>
      <c r="AI579" s="5">
        <f>IF(ISNUMBER(H579),1,0)</f>
        <v>0</v>
      </c>
      <c r="AJ579" s="5">
        <f>IF(ISNUMBER(P579),1,0)</f>
        <v>1</v>
      </c>
      <c r="AK579" s="5" t="str">
        <f>IF(AI579=1,IF(J579&gt;0,1,0),"")</f>
        <v/>
      </c>
      <c r="AL579" s="5">
        <f>IF(AJ579=1,IF(OR(Q579&gt;0,R579&gt;0),1,0),"")</f>
        <v>1</v>
      </c>
    </row>
    <row r="580" spans="1:38">
      <c r="A580">
        <v>637882</v>
      </c>
      <c r="B580" t="s">
        <v>733</v>
      </c>
      <c r="C580" t="s">
        <v>37</v>
      </c>
      <c r="D580" t="s">
        <v>24</v>
      </c>
      <c r="E580">
        <v>20</v>
      </c>
      <c r="F580">
        <v>1156091</v>
      </c>
      <c r="G580" t="s">
        <v>25</v>
      </c>
      <c r="H580" t="s">
        <v>26</v>
      </c>
      <c r="I580" t="s">
        <v>26</v>
      </c>
      <c r="J580" t="s">
        <v>26</v>
      </c>
      <c r="K580" t="s">
        <v>26</v>
      </c>
      <c r="L580" t="s">
        <v>26</v>
      </c>
      <c r="M580" t="s">
        <v>26</v>
      </c>
      <c r="N580" t="s">
        <v>26</v>
      </c>
      <c r="O580" t="s">
        <v>26</v>
      </c>
      <c r="P580">
        <v>1</v>
      </c>
      <c r="Q580">
        <v>0</v>
      </c>
      <c r="R580">
        <v>0</v>
      </c>
      <c r="S580">
        <v>1</v>
      </c>
      <c r="T580">
        <v>0.86499999999999999</v>
      </c>
      <c r="U580">
        <v>0.05</v>
      </c>
      <c r="V580">
        <v>0</v>
      </c>
      <c r="W580">
        <f>E580/100</f>
        <v>0.2</v>
      </c>
      <c r="X580">
        <f>F580/1000000</f>
        <v>1.156091</v>
      </c>
      <c r="Y580">
        <f>IF(D580="C",1,0)</f>
        <v>0</v>
      </c>
      <c r="Z580">
        <f>IF(G580="C",1,0)</f>
        <v>0</v>
      </c>
      <c r="AA580">
        <f>IF(G580="S",1,0)</f>
        <v>1</v>
      </c>
      <c r="AB580">
        <f>IF(G580="U",1,0)</f>
        <v>0</v>
      </c>
      <c r="AC580" s="5">
        <f>IF(AND(ISNUMBER(H580),NOT(ISNUMBER(P580))),1,0)</f>
        <v>0</v>
      </c>
      <c r="AD580" s="5">
        <f>IF(AND(ISNUMBER(H580),ISNUMBER(P580)),1,0)</f>
        <v>0</v>
      </c>
      <c r="AE580" s="5">
        <f>W580</f>
        <v>0.2</v>
      </c>
      <c r="AF580" s="5">
        <f>X580</f>
        <v>1.156091</v>
      </c>
      <c r="AG580" s="5">
        <f>Y580</f>
        <v>0</v>
      </c>
      <c r="AH580" s="5">
        <f>IF(OR(G580="C",G580="S",G580="U"),1,0)</f>
        <v>1</v>
      </c>
      <c r="AI580" s="5">
        <f>IF(ISNUMBER(H580),1,0)</f>
        <v>0</v>
      </c>
      <c r="AJ580" s="5">
        <f>IF(ISNUMBER(P580),1,0)</f>
        <v>1</v>
      </c>
      <c r="AK580" s="5" t="str">
        <f>IF(AI580=1,IF(J580&gt;0,1,0),"")</f>
        <v/>
      </c>
      <c r="AL580" s="5">
        <f>IF(AJ580=1,IF(OR(Q580&gt;0,R580&gt;0),1,0),"")</f>
        <v>0</v>
      </c>
    </row>
    <row r="581" spans="1:38">
      <c r="A581">
        <v>639987</v>
      </c>
      <c r="B581" t="s">
        <v>734</v>
      </c>
      <c r="C581" t="s">
        <v>37</v>
      </c>
      <c r="D581" t="s">
        <v>24</v>
      </c>
      <c r="E581">
        <v>14</v>
      </c>
      <c r="F581">
        <v>179000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>
        <v>1</v>
      </c>
      <c r="Q581">
        <v>0</v>
      </c>
      <c r="R581">
        <v>0</v>
      </c>
      <c r="S581">
        <v>1</v>
      </c>
      <c r="T581">
        <v>5.5865999999999998</v>
      </c>
      <c r="U581">
        <v>7.1400000000000005E-2</v>
      </c>
      <c r="V581">
        <v>0</v>
      </c>
      <c r="W581">
        <f>E581/100</f>
        <v>0.14000000000000001</v>
      </c>
      <c r="X581">
        <f>F581/1000000</f>
        <v>0.17899999999999999</v>
      </c>
      <c r="Y581">
        <f>IF(D581="C",1,0)</f>
        <v>0</v>
      </c>
      <c r="Z581">
        <f>IF(G581="C",1,0)</f>
        <v>0</v>
      </c>
      <c r="AA581">
        <f>IF(G581="S",1,0)</f>
        <v>0</v>
      </c>
      <c r="AB581">
        <f>IF(G581="U",1,0)</f>
        <v>0</v>
      </c>
      <c r="AC581" s="5">
        <f>IF(AND(ISNUMBER(H581),NOT(ISNUMBER(P581))),1,0)</f>
        <v>0</v>
      </c>
      <c r="AD581" s="5">
        <f>IF(AND(ISNUMBER(H581),ISNUMBER(P581)),1,0)</f>
        <v>0</v>
      </c>
      <c r="AE581" s="5">
        <f>W581</f>
        <v>0.14000000000000001</v>
      </c>
      <c r="AF581" s="5">
        <f>X581</f>
        <v>0.17899999999999999</v>
      </c>
      <c r="AG581" s="5">
        <f>Y581</f>
        <v>0</v>
      </c>
      <c r="AH581" s="5">
        <f>IF(OR(G581="C",G581="S",G581="U"),1,0)</f>
        <v>0</v>
      </c>
      <c r="AI581" s="5">
        <f>IF(ISNUMBER(H581),1,0)</f>
        <v>0</v>
      </c>
      <c r="AJ581" s="5">
        <f>IF(ISNUMBER(P581),1,0)</f>
        <v>1</v>
      </c>
      <c r="AK581" s="5" t="str">
        <f>IF(AI581=1,IF(J581&gt;0,1,0),"")</f>
        <v/>
      </c>
      <c r="AL581" s="5">
        <f>IF(AJ581=1,IF(OR(Q581&gt;0,R581&gt;0),1,0),"")</f>
        <v>0</v>
      </c>
    </row>
    <row r="582" spans="1:38">
      <c r="A582">
        <v>640437</v>
      </c>
      <c r="B582" t="s">
        <v>735</v>
      </c>
      <c r="C582" t="s">
        <v>84</v>
      </c>
      <c r="D582" t="s">
        <v>24</v>
      </c>
      <c r="E582">
        <v>21</v>
      </c>
      <c r="F582">
        <v>4783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>
        <v>1</v>
      </c>
      <c r="Q582">
        <v>0</v>
      </c>
      <c r="R582">
        <v>0</v>
      </c>
      <c r="S582">
        <v>1</v>
      </c>
      <c r="T582">
        <v>209.07380000000001</v>
      </c>
      <c r="U582">
        <v>4.7600000000000003E-2</v>
      </c>
      <c r="V582">
        <v>0</v>
      </c>
      <c r="W582">
        <f>E582/100</f>
        <v>0.21</v>
      </c>
      <c r="X582">
        <f>F582/1000000</f>
        <v>4.7829999999999999E-3</v>
      </c>
      <c r="Y582">
        <f>IF(D582="C",1,0)</f>
        <v>0</v>
      </c>
      <c r="Z582">
        <f>IF(G582="C",1,0)</f>
        <v>0</v>
      </c>
      <c r="AA582">
        <f>IF(G582="S",1,0)</f>
        <v>0</v>
      </c>
      <c r="AB582">
        <f>IF(G582="U",1,0)</f>
        <v>0</v>
      </c>
      <c r="AC582" s="5">
        <f>IF(AND(ISNUMBER(H582),NOT(ISNUMBER(P582))),1,0)</f>
        <v>0</v>
      </c>
      <c r="AD582" s="5">
        <f>IF(AND(ISNUMBER(H582),ISNUMBER(P582)),1,0)</f>
        <v>0</v>
      </c>
      <c r="AE582" s="5">
        <f>W582</f>
        <v>0.21</v>
      </c>
      <c r="AF582" s="5">
        <f>X582</f>
        <v>4.7829999999999999E-3</v>
      </c>
      <c r="AG582" s="5">
        <f>Y582</f>
        <v>0</v>
      </c>
      <c r="AH582" s="5">
        <f>IF(OR(G582="C",G582="S",G582="U"),1,0)</f>
        <v>0</v>
      </c>
      <c r="AI582" s="5">
        <f>IF(ISNUMBER(H582),1,0)</f>
        <v>0</v>
      </c>
      <c r="AJ582" s="5">
        <f>IF(ISNUMBER(P582),1,0)</f>
        <v>1</v>
      </c>
      <c r="AK582" s="5" t="str">
        <f>IF(AI582=1,IF(J582&gt;0,1,0),"")</f>
        <v/>
      </c>
      <c r="AL582" s="5">
        <f>IF(AJ582=1,IF(OR(Q582&gt;0,R582&gt;0),1,0),"")</f>
        <v>0</v>
      </c>
    </row>
    <row r="583" spans="1:38">
      <c r="A583">
        <v>642467</v>
      </c>
      <c r="B583" t="s">
        <v>736</v>
      </c>
      <c r="C583" t="s">
        <v>40</v>
      </c>
      <c r="D583" t="s">
        <v>24</v>
      </c>
      <c r="E583">
        <v>46</v>
      </c>
      <c r="F583">
        <v>2557455</v>
      </c>
      <c r="G583" t="s">
        <v>33</v>
      </c>
      <c r="H583" t="s">
        <v>26</v>
      </c>
      <c r="I583" t="s">
        <v>26</v>
      </c>
      <c r="J583" t="s">
        <v>26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>
        <v>1</v>
      </c>
      <c r="Q583">
        <v>0</v>
      </c>
      <c r="R583">
        <v>1</v>
      </c>
      <c r="S583">
        <v>1</v>
      </c>
      <c r="T583">
        <v>0.39100000000000001</v>
      </c>
      <c r="U583">
        <v>2.1700000000000001E-2</v>
      </c>
      <c r="V583">
        <v>1</v>
      </c>
      <c r="W583">
        <f>E583/100</f>
        <v>0.46</v>
      </c>
      <c r="X583">
        <f>F583/1000000</f>
        <v>2.557455</v>
      </c>
      <c r="Y583">
        <f>IF(D583="C",1,0)</f>
        <v>0</v>
      </c>
      <c r="Z583">
        <f>IF(G583="C",1,0)</f>
        <v>1</v>
      </c>
      <c r="AA583">
        <f>IF(G583="S",1,0)</f>
        <v>0</v>
      </c>
      <c r="AB583">
        <f>IF(G583="U",1,0)</f>
        <v>0</v>
      </c>
      <c r="AC583" s="5">
        <f>IF(AND(ISNUMBER(H583),NOT(ISNUMBER(P583))),1,0)</f>
        <v>0</v>
      </c>
      <c r="AD583" s="5">
        <f>IF(AND(ISNUMBER(H583),ISNUMBER(P583)),1,0)</f>
        <v>0</v>
      </c>
      <c r="AE583" s="5">
        <f>W583</f>
        <v>0.46</v>
      </c>
      <c r="AF583" s="5">
        <f>X583</f>
        <v>2.557455</v>
      </c>
      <c r="AG583" s="5">
        <f>Y583</f>
        <v>0</v>
      </c>
      <c r="AH583" s="5">
        <f>IF(OR(G583="C",G583="S",G583="U"),1,0)</f>
        <v>1</v>
      </c>
      <c r="AI583" s="5">
        <f>IF(ISNUMBER(H583),1,0)</f>
        <v>0</v>
      </c>
      <c r="AJ583" s="5">
        <f>IF(ISNUMBER(P583),1,0)</f>
        <v>1</v>
      </c>
      <c r="AK583" s="5" t="str">
        <f>IF(AI583=1,IF(J583&gt;0,1,0),"")</f>
        <v/>
      </c>
      <c r="AL583" s="5">
        <f>IF(AJ583=1,IF(OR(Q583&gt;0,R583&gt;0),1,0),"")</f>
        <v>1</v>
      </c>
    </row>
    <row r="584" spans="1:38">
      <c r="A584">
        <v>646711</v>
      </c>
      <c r="B584" t="s">
        <v>737</v>
      </c>
      <c r="C584" t="s">
        <v>82</v>
      </c>
      <c r="D584" t="s">
        <v>24</v>
      </c>
      <c r="E584">
        <v>3</v>
      </c>
      <c r="F584">
        <v>162000</v>
      </c>
      <c r="G584" t="s">
        <v>25</v>
      </c>
      <c r="H584" t="s">
        <v>26</v>
      </c>
      <c r="I584" t="s">
        <v>26</v>
      </c>
      <c r="J584" t="s">
        <v>26</v>
      </c>
      <c r="K584" t="s">
        <v>26</v>
      </c>
      <c r="L584" t="s">
        <v>26</v>
      </c>
      <c r="M584" t="s">
        <v>26</v>
      </c>
      <c r="N584" t="s">
        <v>26</v>
      </c>
      <c r="O584" t="s">
        <v>26</v>
      </c>
      <c r="P584">
        <v>1</v>
      </c>
      <c r="Q584">
        <v>0</v>
      </c>
      <c r="R584">
        <v>0</v>
      </c>
      <c r="S584">
        <v>1</v>
      </c>
      <c r="T584">
        <v>6.1727999999999996</v>
      </c>
      <c r="U584">
        <v>0.33329999999999999</v>
      </c>
      <c r="V584">
        <v>0</v>
      </c>
      <c r="W584">
        <f>E584/100</f>
        <v>0.03</v>
      </c>
      <c r="X584">
        <f>F584/1000000</f>
        <v>0.16200000000000001</v>
      </c>
      <c r="Y584">
        <f>IF(D584="C",1,0)</f>
        <v>0</v>
      </c>
      <c r="Z584">
        <f>IF(G584="C",1,0)</f>
        <v>0</v>
      </c>
      <c r="AA584">
        <f>IF(G584="S",1,0)</f>
        <v>1</v>
      </c>
      <c r="AB584">
        <f>IF(G584="U",1,0)</f>
        <v>0</v>
      </c>
      <c r="AC584" s="5">
        <f>IF(AND(ISNUMBER(H584),NOT(ISNUMBER(P584))),1,0)</f>
        <v>0</v>
      </c>
      <c r="AD584" s="5">
        <f>IF(AND(ISNUMBER(H584),ISNUMBER(P584)),1,0)</f>
        <v>0</v>
      </c>
      <c r="AE584" s="5">
        <f>W584</f>
        <v>0.03</v>
      </c>
      <c r="AF584" s="5">
        <f>X584</f>
        <v>0.16200000000000001</v>
      </c>
      <c r="AG584" s="5">
        <f>Y584</f>
        <v>0</v>
      </c>
      <c r="AH584" s="5">
        <f>IF(OR(G584="C",G584="S",G584="U"),1,0)</f>
        <v>1</v>
      </c>
      <c r="AI584" s="5">
        <f>IF(ISNUMBER(H584),1,0)</f>
        <v>0</v>
      </c>
      <c r="AJ584" s="5">
        <f>IF(ISNUMBER(P584),1,0)</f>
        <v>1</v>
      </c>
      <c r="AK584" s="5" t="str">
        <f>IF(AI584=1,IF(J584&gt;0,1,0),"")</f>
        <v/>
      </c>
      <c r="AL584" s="5">
        <f>IF(AJ584=1,IF(OR(Q584&gt;0,R584&gt;0),1,0),"")</f>
        <v>0</v>
      </c>
    </row>
    <row r="585" spans="1:38">
      <c r="A585">
        <v>647472</v>
      </c>
      <c r="B585" t="s">
        <v>738</v>
      </c>
      <c r="C585" t="s">
        <v>37</v>
      </c>
      <c r="D585" t="s">
        <v>24</v>
      </c>
      <c r="E585">
        <v>1</v>
      </c>
      <c r="F585">
        <v>36649</v>
      </c>
      <c r="G585" t="s">
        <v>25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>
        <v>1</v>
      </c>
      <c r="Q585">
        <v>0</v>
      </c>
      <c r="R585">
        <v>1</v>
      </c>
      <c r="S585">
        <v>1</v>
      </c>
      <c r="T585">
        <v>27.285900000000002</v>
      </c>
      <c r="U585">
        <v>1</v>
      </c>
      <c r="V585">
        <v>1</v>
      </c>
      <c r="W585">
        <f>E585/100</f>
        <v>0.01</v>
      </c>
      <c r="X585">
        <f>F585/1000000</f>
        <v>3.6649000000000001E-2</v>
      </c>
      <c r="Y585">
        <f>IF(D585="C",1,0)</f>
        <v>0</v>
      </c>
      <c r="Z585">
        <f>IF(G585="C",1,0)</f>
        <v>0</v>
      </c>
      <c r="AA585">
        <f>IF(G585="S",1,0)</f>
        <v>1</v>
      </c>
      <c r="AB585">
        <f>IF(G585="U",1,0)</f>
        <v>0</v>
      </c>
      <c r="AC585" s="5">
        <f>IF(AND(ISNUMBER(H585),NOT(ISNUMBER(P585))),1,0)</f>
        <v>0</v>
      </c>
      <c r="AD585" s="5">
        <f>IF(AND(ISNUMBER(H585),ISNUMBER(P585)),1,0)</f>
        <v>0</v>
      </c>
      <c r="AE585" s="5">
        <f>W585</f>
        <v>0.01</v>
      </c>
      <c r="AF585" s="5">
        <f>X585</f>
        <v>3.6649000000000001E-2</v>
      </c>
      <c r="AG585" s="5">
        <f>Y585</f>
        <v>0</v>
      </c>
      <c r="AH585" s="5">
        <f>IF(OR(G585="C",G585="S",G585="U"),1,0)</f>
        <v>1</v>
      </c>
      <c r="AI585" s="5">
        <f>IF(ISNUMBER(H585),1,0)</f>
        <v>0</v>
      </c>
      <c r="AJ585" s="5">
        <f>IF(ISNUMBER(P585),1,0)</f>
        <v>1</v>
      </c>
      <c r="AK585" s="5" t="str">
        <f>IF(AI585=1,IF(J585&gt;0,1,0),"")</f>
        <v/>
      </c>
      <c r="AL585" s="5">
        <f>IF(AJ585=1,IF(OR(Q585&gt;0,R585&gt;0),1,0),"")</f>
        <v>1</v>
      </c>
    </row>
    <row r="586" spans="1:38">
      <c r="A586">
        <v>650820</v>
      </c>
      <c r="B586" t="s">
        <v>740</v>
      </c>
      <c r="C586" t="s">
        <v>37</v>
      </c>
      <c r="D586" t="s">
        <v>24</v>
      </c>
      <c r="E586">
        <v>1</v>
      </c>
      <c r="F586">
        <v>90000</v>
      </c>
      <c r="G586" t="s">
        <v>33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>
        <v>1</v>
      </c>
      <c r="Q586">
        <v>0</v>
      </c>
      <c r="R586">
        <v>1</v>
      </c>
      <c r="S586">
        <v>1</v>
      </c>
      <c r="T586">
        <v>11.1111</v>
      </c>
      <c r="U586">
        <v>1</v>
      </c>
      <c r="V586">
        <v>1</v>
      </c>
      <c r="W586">
        <f>E586/100</f>
        <v>0.01</v>
      </c>
      <c r="X586">
        <f>F586/1000000</f>
        <v>0.09</v>
      </c>
      <c r="Y586">
        <f>IF(D586="C",1,0)</f>
        <v>0</v>
      </c>
      <c r="Z586">
        <f>IF(G586="C",1,0)</f>
        <v>1</v>
      </c>
      <c r="AA586">
        <f>IF(G586="S",1,0)</f>
        <v>0</v>
      </c>
      <c r="AB586">
        <f>IF(G586="U",1,0)</f>
        <v>0</v>
      </c>
      <c r="AC586" s="5">
        <f>IF(AND(ISNUMBER(H586),NOT(ISNUMBER(P586))),1,0)</f>
        <v>0</v>
      </c>
      <c r="AD586" s="5">
        <f>IF(AND(ISNUMBER(H586),ISNUMBER(P586)),1,0)</f>
        <v>0</v>
      </c>
      <c r="AE586" s="5">
        <f>W586</f>
        <v>0.01</v>
      </c>
      <c r="AF586" s="5">
        <f>X586</f>
        <v>0.09</v>
      </c>
      <c r="AG586" s="5">
        <f>Y586</f>
        <v>0</v>
      </c>
      <c r="AH586" s="5">
        <f>IF(OR(G586="C",G586="S",G586="U"),1,0)</f>
        <v>1</v>
      </c>
      <c r="AI586" s="5">
        <f>IF(ISNUMBER(H586),1,0)</f>
        <v>0</v>
      </c>
      <c r="AJ586" s="5">
        <f>IF(ISNUMBER(P586),1,0)</f>
        <v>1</v>
      </c>
      <c r="AK586" s="5" t="str">
        <f>IF(AI586=1,IF(J586&gt;0,1,0),"")</f>
        <v/>
      </c>
      <c r="AL586" s="5">
        <f>IF(AJ586=1,IF(OR(Q586&gt;0,R586&gt;0),1,0),"")</f>
        <v>1</v>
      </c>
    </row>
    <row r="587" spans="1:38">
      <c r="A587">
        <v>651119</v>
      </c>
      <c r="B587" t="s">
        <v>741</v>
      </c>
      <c r="C587" t="s">
        <v>37</v>
      </c>
      <c r="D587" t="s">
        <v>24</v>
      </c>
      <c r="E587">
        <v>16</v>
      </c>
      <c r="F587">
        <v>160000</v>
      </c>
      <c r="G587" t="s">
        <v>25</v>
      </c>
      <c r="H587" t="s">
        <v>26</v>
      </c>
      <c r="I587" t="s">
        <v>26</v>
      </c>
      <c r="J587" t="s">
        <v>26</v>
      </c>
      <c r="K587" t="s">
        <v>26</v>
      </c>
      <c r="L587" t="s">
        <v>26</v>
      </c>
      <c r="M587" t="s">
        <v>26</v>
      </c>
      <c r="N587" t="s">
        <v>26</v>
      </c>
      <c r="O587" t="s">
        <v>26</v>
      </c>
      <c r="P587">
        <v>1</v>
      </c>
      <c r="Q587">
        <v>0</v>
      </c>
      <c r="R587">
        <v>1</v>
      </c>
      <c r="S587">
        <v>1</v>
      </c>
      <c r="T587">
        <v>6.25</v>
      </c>
      <c r="U587">
        <v>6.25E-2</v>
      </c>
      <c r="V587">
        <v>1</v>
      </c>
      <c r="W587">
        <f>E587/100</f>
        <v>0.16</v>
      </c>
      <c r="X587">
        <f>F587/1000000</f>
        <v>0.16</v>
      </c>
      <c r="Y587">
        <f>IF(D587="C",1,0)</f>
        <v>0</v>
      </c>
      <c r="Z587">
        <f>IF(G587="C",1,0)</f>
        <v>0</v>
      </c>
      <c r="AA587">
        <f>IF(G587="S",1,0)</f>
        <v>1</v>
      </c>
      <c r="AB587">
        <f>IF(G587="U",1,0)</f>
        <v>0</v>
      </c>
      <c r="AC587" s="5">
        <f>IF(AND(ISNUMBER(H587),NOT(ISNUMBER(P587))),1,0)</f>
        <v>0</v>
      </c>
      <c r="AD587" s="5">
        <f>IF(AND(ISNUMBER(H587),ISNUMBER(P587)),1,0)</f>
        <v>0</v>
      </c>
      <c r="AE587" s="5">
        <f>W587</f>
        <v>0.16</v>
      </c>
      <c r="AF587" s="5">
        <f>X587</f>
        <v>0.16</v>
      </c>
      <c r="AG587" s="5">
        <f>Y587</f>
        <v>0</v>
      </c>
      <c r="AH587" s="5">
        <f>IF(OR(G587="C",G587="S",G587="U"),1,0)</f>
        <v>1</v>
      </c>
      <c r="AI587" s="5">
        <f>IF(ISNUMBER(H587),1,0)</f>
        <v>0</v>
      </c>
      <c r="AJ587" s="5">
        <f>IF(ISNUMBER(P587),1,0)</f>
        <v>1</v>
      </c>
      <c r="AK587" s="5" t="str">
        <f>IF(AI587=1,IF(J587&gt;0,1,0),"")</f>
        <v/>
      </c>
      <c r="AL587" s="5">
        <f>IF(AJ587=1,IF(OR(Q587&gt;0,R587&gt;0),1,0),"")</f>
        <v>1</v>
      </c>
    </row>
    <row r="588" spans="1:38">
      <c r="A588">
        <v>651272</v>
      </c>
      <c r="B588" t="s">
        <v>742</v>
      </c>
      <c r="C588" t="s">
        <v>84</v>
      </c>
      <c r="D588" t="s">
        <v>24</v>
      </c>
      <c r="E588">
        <v>9</v>
      </c>
      <c r="F588">
        <v>200000</v>
      </c>
      <c r="H588" t="s">
        <v>26</v>
      </c>
      <c r="I588" t="s">
        <v>26</v>
      </c>
      <c r="J588" t="s">
        <v>26</v>
      </c>
      <c r="K588" t="s">
        <v>26</v>
      </c>
      <c r="L588" t="s">
        <v>26</v>
      </c>
      <c r="M588" t="s">
        <v>26</v>
      </c>
      <c r="N588" t="s">
        <v>26</v>
      </c>
      <c r="O588" t="s">
        <v>26</v>
      </c>
      <c r="P588">
        <v>1</v>
      </c>
      <c r="Q588">
        <v>1</v>
      </c>
      <c r="R588">
        <v>1</v>
      </c>
      <c r="S588">
        <v>1</v>
      </c>
      <c r="T588">
        <v>5</v>
      </c>
      <c r="U588">
        <v>0.1111</v>
      </c>
      <c r="V588">
        <v>1</v>
      </c>
      <c r="W588">
        <f>E588/100</f>
        <v>0.09</v>
      </c>
      <c r="X588">
        <f>F588/1000000</f>
        <v>0.2</v>
      </c>
      <c r="Y588">
        <f>IF(D588="C",1,0)</f>
        <v>0</v>
      </c>
      <c r="Z588">
        <f>IF(G588="C",1,0)</f>
        <v>0</v>
      </c>
      <c r="AA588">
        <f>IF(G588="S",1,0)</f>
        <v>0</v>
      </c>
      <c r="AB588">
        <f>IF(G588="U",1,0)</f>
        <v>0</v>
      </c>
      <c r="AC588" s="5">
        <f>IF(AND(ISNUMBER(H588),NOT(ISNUMBER(P588))),1,0)</f>
        <v>0</v>
      </c>
      <c r="AD588" s="5">
        <f>IF(AND(ISNUMBER(H588),ISNUMBER(P588)),1,0)</f>
        <v>0</v>
      </c>
      <c r="AE588" s="5">
        <f>W588</f>
        <v>0.09</v>
      </c>
      <c r="AF588" s="5">
        <f>X588</f>
        <v>0.2</v>
      </c>
      <c r="AG588" s="5">
        <f>Y588</f>
        <v>0</v>
      </c>
      <c r="AH588" s="5">
        <f>IF(OR(G588="C",G588="S",G588="U"),1,0)</f>
        <v>0</v>
      </c>
      <c r="AI588" s="5">
        <f>IF(ISNUMBER(H588),1,0)</f>
        <v>0</v>
      </c>
      <c r="AJ588" s="5">
        <f>IF(ISNUMBER(P588),1,0)</f>
        <v>1</v>
      </c>
      <c r="AK588" s="5" t="str">
        <f>IF(AI588=1,IF(J588&gt;0,1,0),"")</f>
        <v/>
      </c>
      <c r="AL588" s="5">
        <f>IF(AJ588=1,IF(OR(Q588&gt;0,R588&gt;0),1,0),"")</f>
        <v>1</v>
      </c>
    </row>
    <row r="589" spans="1:38">
      <c r="A589">
        <v>653581</v>
      </c>
      <c r="B589" t="s">
        <v>744</v>
      </c>
      <c r="C589" t="s">
        <v>23</v>
      </c>
      <c r="D589" t="s">
        <v>24</v>
      </c>
      <c r="E589">
        <v>6</v>
      </c>
      <c r="F589">
        <v>333941</v>
      </c>
      <c r="G589" t="s">
        <v>25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>
        <v>1</v>
      </c>
      <c r="Q589">
        <v>0</v>
      </c>
      <c r="R589">
        <v>1</v>
      </c>
      <c r="S589">
        <v>1</v>
      </c>
      <c r="T589">
        <v>2.9944999999999999</v>
      </c>
      <c r="U589">
        <v>0.16669999999999999</v>
      </c>
      <c r="V589">
        <v>1</v>
      </c>
      <c r="W589">
        <f>E589/100</f>
        <v>0.06</v>
      </c>
      <c r="X589">
        <f>F589/1000000</f>
        <v>0.33394099999999999</v>
      </c>
      <c r="Y589">
        <f>IF(D589="C",1,0)</f>
        <v>0</v>
      </c>
      <c r="Z589">
        <f>IF(G589="C",1,0)</f>
        <v>0</v>
      </c>
      <c r="AA589">
        <f>IF(G589="S",1,0)</f>
        <v>1</v>
      </c>
      <c r="AB589">
        <f>IF(G589="U",1,0)</f>
        <v>0</v>
      </c>
      <c r="AC589" s="5">
        <f>IF(AND(ISNUMBER(H589),NOT(ISNUMBER(P589))),1,0)</f>
        <v>0</v>
      </c>
      <c r="AD589" s="5">
        <f>IF(AND(ISNUMBER(H589),ISNUMBER(P589)),1,0)</f>
        <v>0</v>
      </c>
      <c r="AE589" s="5">
        <f>W589</f>
        <v>0.06</v>
      </c>
      <c r="AF589" s="5">
        <f>X589</f>
        <v>0.33394099999999999</v>
      </c>
      <c r="AG589" s="5">
        <f>Y589</f>
        <v>0</v>
      </c>
      <c r="AH589" s="5">
        <f>IF(OR(G589="C",G589="S",G589="U"),1,0)</f>
        <v>1</v>
      </c>
      <c r="AI589" s="5">
        <f>IF(ISNUMBER(H589),1,0)</f>
        <v>0</v>
      </c>
      <c r="AJ589" s="5">
        <f>IF(ISNUMBER(P589),1,0)</f>
        <v>1</v>
      </c>
      <c r="AK589" s="5" t="str">
        <f>IF(AI589=1,IF(J589&gt;0,1,0),"")</f>
        <v/>
      </c>
      <c r="AL589" s="5">
        <f>IF(AJ589=1,IF(OR(Q589&gt;0,R589&gt;0),1,0),"")</f>
        <v>1</v>
      </c>
    </row>
    <row r="590" spans="1:38">
      <c r="A590">
        <v>657940</v>
      </c>
      <c r="B590" t="s">
        <v>745</v>
      </c>
      <c r="C590" t="s">
        <v>84</v>
      </c>
      <c r="D590" t="s">
        <v>24</v>
      </c>
      <c r="E590">
        <v>3</v>
      </c>
      <c r="F590">
        <v>36927</v>
      </c>
      <c r="G590" t="s">
        <v>33</v>
      </c>
      <c r="H590" t="s">
        <v>26</v>
      </c>
      <c r="I590" t="s">
        <v>26</v>
      </c>
      <c r="J590" t="s">
        <v>26</v>
      </c>
      <c r="K590" t="s">
        <v>26</v>
      </c>
      <c r="L590" t="s">
        <v>26</v>
      </c>
      <c r="M590" t="s">
        <v>26</v>
      </c>
      <c r="N590" t="s">
        <v>26</v>
      </c>
      <c r="O590" t="s">
        <v>26</v>
      </c>
      <c r="P590">
        <v>1</v>
      </c>
      <c r="Q590">
        <v>0</v>
      </c>
      <c r="R590">
        <v>0</v>
      </c>
      <c r="S590">
        <v>1</v>
      </c>
      <c r="T590">
        <v>27.080500000000001</v>
      </c>
      <c r="U590">
        <v>0.33329999999999999</v>
      </c>
      <c r="V590">
        <v>0</v>
      </c>
      <c r="W590">
        <f>E590/100</f>
        <v>0.03</v>
      </c>
      <c r="X590">
        <f>F590/1000000</f>
        <v>3.6927000000000001E-2</v>
      </c>
      <c r="Y590">
        <f>IF(D590="C",1,0)</f>
        <v>0</v>
      </c>
      <c r="Z590">
        <f>IF(G590="C",1,0)</f>
        <v>1</v>
      </c>
      <c r="AA590">
        <f>IF(G590="S",1,0)</f>
        <v>0</v>
      </c>
      <c r="AB590">
        <f>IF(G590="U",1,0)</f>
        <v>0</v>
      </c>
      <c r="AC590" s="5">
        <f>IF(AND(ISNUMBER(H590),NOT(ISNUMBER(P590))),1,0)</f>
        <v>0</v>
      </c>
      <c r="AD590" s="5">
        <f>IF(AND(ISNUMBER(H590),ISNUMBER(P590)),1,0)</f>
        <v>0</v>
      </c>
      <c r="AE590" s="5">
        <f>W590</f>
        <v>0.03</v>
      </c>
      <c r="AF590" s="5">
        <f>X590</f>
        <v>3.6927000000000001E-2</v>
      </c>
      <c r="AG590" s="5">
        <f>Y590</f>
        <v>0</v>
      </c>
      <c r="AH590" s="5">
        <f>IF(OR(G590="C",G590="S",G590="U"),1,0)</f>
        <v>1</v>
      </c>
      <c r="AI590" s="5">
        <f>IF(ISNUMBER(H590),1,0)</f>
        <v>0</v>
      </c>
      <c r="AJ590" s="5">
        <f>IF(ISNUMBER(P590),1,0)</f>
        <v>1</v>
      </c>
      <c r="AK590" s="5" t="str">
        <f>IF(AI590=1,IF(J590&gt;0,1,0),"")</f>
        <v/>
      </c>
      <c r="AL590" s="5">
        <f>IF(AJ590=1,IF(OR(Q590&gt;0,R590&gt;0),1,0),"")</f>
        <v>0</v>
      </c>
    </row>
    <row r="591" spans="1:38">
      <c r="A591">
        <v>658821</v>
      </c>
      <c r="B591" t="s">
        <v>746</v>
      </c>
      <c r="C591" t="s">
        <v>84</v>
      </c>
      <c r="D591" t="s">
        <v>33</v>
      </c>
      <c r="E591">
        <v>43</v>
      </c>
      <c r="F591">
        <v>720395</v>
      </c>
      <c r="H591" t="s">
        <v>26</v>
      </c>
      <c r="I591" t="s">
        <v>26</v>
      </c>
      <c r="J591" t="s">
        <v>26</v>
      </c>
      <c r="K591" t="s">
        <v>26</v>
      </c>
      <c r="L591" t="s">
        <v>26</v>
      </c>
      <c r="M591" t="s">
        <v>26</v>
      </c>
      <c r="N591" t="s">
        <v>26</v>
      </c>
      <c r="O591" t="s">
        <v>26</v>
      </c>
      <c r="P591">
        <v>1</v>
      </c>
      <c r="Q591">
        <v>0</v>
      </c>
      <c r="R591">
        <v>1</v>
      </c>
      <c r="S591">
        <v>0</v>
      </c>
      <c r="T591">
        <v>1.3880999999999999</v>
      </c>
      <c r="U591">
        <v>2.3300000000000001E-2</v>
      </c>
      <c r="V591">
        <v>1</v>
      </c>
      <c r="W591">
        <f>E591/100</f>
        <v>0.43</v>
      </c>
      <c r="X591">
        <f>F591/1000000</f>
        <v>0.72039500000000001</v>
      </c>
      <c r="Y591">
        <f>IF(D591="C",1,0)</f>
        <v>1</v>
      </c>
      <c r="Z591">
        <f>IF(G591="C",1,0)</f>
        <v>0</v>
      </c>
      <c r="AA591">
        <f>IF(G591="S",1,0)</f>
        <v>0</v>
      </c>
      <c r="AB591">
        <f>IF(G591="U",1,0)</f>
        <v>0</v>
      </c>
      <c r="AC591" s="5">
        <f>IF(AND(ISNUMBER(H591),NOT(ISNUMBER(P591))),1,0)</f>
        <v>0</v>
      </c>
      <c r="AD591" s="5">
        <f>IF(AND(ISNUMBER(H591),ISNUMBER(P591)),1,0)</f>
        <v>0</v>
      </c>
      <c r="AE591" s="5">
        <f>W591</f>
        <v>0.43</v>
      </c>
      <c r="AF591" s="5">
        <f>X591</f>
        <v>0.72039500000000001</v>
      </c>
      <c r="AG591" s="5">
        <f>Y591</f>
        <v>1</v>
      </c>
      <c r="AH591" s="5">
        <f>IF(OR(G591="C",G591="S",G591="U"),1,0)</f>
        <v>0</v>
      </c>
      <c r="AI591" s="5">
        <f>IF(ISNUMBER(H591),1,0)</f>
        <v>0</v>
      </c>
      <c r="AJ591" s="5">
        <f>IF(ISNUMBER(P591),1,0)</f>
        <v>1</v>
      </c>
      <c r="AK591" s="5" t="str">
        <f>IF(AI591=1,IF(J591&gt;0,1,0),"")</f>
        <v/>
      </c>
      <c r="AL591" s="5">
        <f>IF(AJ591=1,IF(OR(Q591&gt;0,R591&gt;0),1,0),"")</f>
        <v>1</v>
      </c>
    </row>
    <row r="592" spans="1:38">
      <c r="A592">
        <v>661146</v>
      </c>
      <c r="B592" t="s">
        <v>747</v>
      </c>
      <c r="C592" t="s">
        <v>23</v>
      </c>
      <c r="D592" t="s">
        <v>24</v>
      </c>
      <c r="E592">
        <v>38</v>
      </c>
      <c r="F592">
        <v>2495721</v>
      </c>
      <c r="G592" t="s">
        <v>25</v>
      </c>
      <c r="H592" t="s">
        <v>26</v>
      </c>
      <c r="I592" t="s">
        <v>26</v>
      </c>
      <c r="J592" t="s">
        <v>26</v>
      </c>
      <c r="K592" t="s">
        <v>26</v>
      </c>
      <c r="L592" t="s">
        <v>26</v>
      </c>
      <c r="M592" t="s">
        <v>26</v>
      </c>
      <c r="N592" t="s">
        <v>26</v>
      </c>
      <c r="O592" t="s">
        <v>26</v>
      </c>
      <c r="P592">
        <v>1</v>
      </c>
      <c r="Q592">
        <v>0</v>
      </c>
      <c r="R592">
        <v>0</v>
      </c>
      <c r="S592">
        <v>1</v>
      </c>
      <c r="T592">
        <v>0.4007</v>
      </c>
      <c r="U592">
        <v>2.63E-2</v>
      </c>
      <c r="V592">
        <v>0</v>
      </c>
      <c r="W592">
        <f>E592/100</f>
        <v>0.38</v>
      </c>
      <c r="X592">
        <f>F592/1000000</f>
        <v>2.4957210000000001</v>
      </c>
      <c r="Y592">
        <f>IF(D592="C",1,0)</f>
        <v>0</v>
      </c>
      <c r="Z592">
        <f>IF(G592="C",1,0)</f>
        <v>0</v>
      </c>
      <c r="AA592">
        <f>IF(G592="S",1,0)</f>
        <v>1</v>
      </c>
      <c r="AB592">
        <f>IF(G592="U",1,0)</f>
        <v>0</v>
      </c>
      <c r="AC592" s="5">
        <f>IF(AND(ISNUMBER(H592),NOT(ISNUMBER(P592))),1,0)</f>
        <v>0</v>
      </c>
      <c r="AD592" s="5">
        <f>IF(AND(ISNUMBER(H592),ISNUMBER(P592)),1,0)</f>
        <v>0</v>
      </c>
      <c r="AE592" s="5">
        <f>W592</f>
        <v>0.38</v>
      </c>
      <c r="AF592" s="5">
        <f>X592</f>
        <v>2.4957210000000001</v>
      </c>
      <c r="AG592" s="5">
        <f>Y592</f>
        <v>0</v>
      </c>
      <c r="AH592" s="5">
        <f>IF(OR(G592="C",G592="S",G592="U"),1,0)</f>
        <v>1</v>
      </c>
      <c r="AI592" s="5">
        <f>IF(ISNUMBER(H592),1,0)</f>
        <v>0</v>
      </c>
      <c r="AJ592" s="5">
        <f>IF(ISNUMBER(P592),1,0)</f>
        <v>1</v>
      </c>
      <c r="AK592" s="5" t="str">
        <f>IF(AI592=1,IF(J592&gt;0,1,0),"")</f>
        <v/>
      </c>
      <c r="AL592" s="5">
        <f>IF(AJ592=1,IF(OR(Q592&gt;0,R592&gt;0),1,0),"")</f>
        <v>0</v>
      </c>
    </row>
    <row r="593" spans="1:38">
      <c r="A593">
        <v>663744</v>
      </c>
      <c r="B593" t="s">
        <v>748</v>
      </c>
      <c r="C593" t="s">
        <v>42</v>
      </c>
      <c r="D593" t="s">
        <v>24</v>
      </c>
      <c r="E593">
        <v>1</v>
      </c>
      <c r="F593">
        <v>75000</v>
      </c>
      <c r="H593" t="s">
        <v>26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>
        <v>1</v>
      </c>
      <c r="Q593">
        <v>0</v>
      </c>
      <c r="R593">
        <v>1</v>
      </c>
      <c r="S593">
        <v>0</v>
      </c>
      <c r="T593">
        <v>13.333299999999999</v>
      </c>
      <c r="U593">
        <v>1</v>
      </c>
      <c r="V593">
        <v>1</v>
      </c>
      <c r="W593">
        <f>E593/100</f>
        <v>0.01</v>
      </c>
      <c r="X593">
        <f>F593/1000000</f>
        <v>7.4999999999999997E-2</v>
      </c>
      <c r="Y593">
        <f>IF(D593="C",1,0)</f>
        <v>0</v>
      </c>
      <c r="Z593">
        <f>IF(G593="C",1,0)</f>
        <v>0</v>
      </c>
      <c r="AA593">
        <f>IF(G593="S",1,0)</f>
        <v>0</v>
      </c>
      <c r="AB593">
        <f>IF(G593="U",1,0)</f>
        <v>0</v>
      </c>
      <c r="AC593" s="5">
        <f>IF(AND(ISNUMBER(H593),NOT(ISNUMBER(P593))),1,0)</f>
        <v>0</v>
      </c>
      <c r="AD593" s="5">
        <f>IF(AND(ISNUMBER(H593),ISNUMBER(P593)),1,0)</f>
        <v>0</v>
      </c>
      <c r="AE593" s="5">
        <f>W593</f>
        <v>0.01</v>
      </c>
      <c r="AF593" s="5">
        <f>X593</f>
        <v>7.4999999999999997E-2</v>
      </c>
      <c r="AG593" s="5">
        <f>Y593</f>
        <v>0</v>
      </c>
      <c r="AH593" s="5">
        <f>IF(OR(G593="C",G593="S",G593="U"),1,0)</f>
        <v>0</v>
      </c>
      <c r="AI593" s="5">
        <f>IF(ISNUMBER(H593),1,0)</f>
        <v>0</v>
      </c>
      <c r="AJ593" s="5">
        <f>IF(ISNUMBER(P593),1,0)</f>
        <v>1</v>
      </c>
      <c r="AK593" s="5" t="str">
        <f>IF(AI593=1,IF(J593&gt;0,1,0),"")</f>
        <v/>
      </c>
      <c r="AL593" s="5">
        <f>IF(AJ593=1,IF(OR(Q593&gt;0,R593&gt;0),1,0),"")</f>
        <v>1</v>
      </c>
    </row>
    <row r="594" spans="1:38">
      <c r="A594">
        <v>668959</v>
      </c>
      <c r="B594" t="s">
        <v>749</v>
      </c>
      <c r="C594" t="s">
        <v>82</v>
      </c>
      <c r="D594" t="s">
        <v>24</v>
      </c>
      <c r="E594">
        <v>64</v>
      </c>
      <c r="F594">
        <v>1199695</v>
      </c>
      <c r="G594" t="s">
        <v>25</v>
      </c>
      <c r="H594" t="s">
        <v>26</v>
      </c>
      <c r="I594" t="s">
        <v>26</v>
      </c>
      <c r="J594" t="s">
        <v>26</v>
      </c>
      <c r="K594" t="s">
        <v>26</v>
      </c>
      <c r="L594" t="s">
        <v>26</v>
      </c>
      <c r="M594" t="s">
        <v>26</v>
      </c>
      <c r="N594" t="s">
        <v>26</v>
      </c>
      <c r="O594" t="s">
        <v>26</v>
      </c>
      <c r="P594">
        <v>1</v>
      </c>
      <c r="Q594">
        <v>0</v>
      </c>
      <c r="R594">
        <v>1</v>
      </c>
      <c r="S594">
        <v>0</v>
      </c>
      <c r="T594">
        <v>0.83350000000000002</v>
      </c>
      <c r="U594">
        <v>1.5599999999999999E-2</v>
      </c>
      <c r="V594">
        <v>1</v>
      </c>
      <c r="W594">
        <f>E594/100</f>
        <v>0.64</v>
      </c>
      <c r="X594">
        <f>F594/1000000</f>
        <v>1.199695</v>
      </c>
      <c r="Y594">
        <f>IF(D594="C",1,0)</f>
        <v>0</v>
      </c>
      <c r="Z594">
        <f>IF(G594="C",1,0)</f>
        <v>0</v>
      </c>
      <c r="AA594">
        <f>IF(G594="S",1,0)</f>
        <v>1</v>
      </c>
      <c r="AB594">
        <f>IF(G594="U",1,0)</f>
        <v>0</v>
      </c>
      <c r="AC594" s="5">
        <f>IF(AND(ISNUMBER(H594),NOT(ISNUMBER(P594))),1,0)</f>
        <v>0</v>
      </c>
      <c r="AD594" s="5">
        <f>IF(AND(ISNUMBER(H594),ISNUMBER(P594)),1,0)</f>
        <v>0</v>
      </c>
      <c r="AE594" s="5">
        <f>W594</f>
        <v>0.64</v>
      </c>
      <c r="AF594" s="5">
        <f>X594</f>
        <v>1.199695</v>
      </c>
      <c r="AG594" s="5">
        <f>Y594</f>
        <v>0</v>
      </c>
      <c r="AH594" s="5">
        <f>IF(OR(G594="C",G594="S",G594="U"),1,0)</f>
        <v>1</v>
      </c>
      <c r="AI594" s="5">
        <f>IF(ISNUMBER(H594),1,0)</f>
        <v>0</v>
      </c>
      <c r="AJ594" s="5">
        <f>IF(ISNUMBER(P594),1,0)</f>
        <v>1</v>
      </c>
      <c r="AK594" s="5" t="str">
        <f>IF(AI594=1,IF(J594&gt;0,1,0),"")</f>
        <v/>
      </c>
      <c r="AL594" s="5">
        <f>IF(AJ594=1,IF(OR(Q594&gt;0,R594&gt;0),1,0),"")</f>
        <v>1</v>
      </c>
    </row>
    <row r="595" spans="1:38">
      <c r="A595">
        <v>670583</v>
      </c>
      <c r="B595" t="s">
        <v>751</v>
      </c>
      <c r="C595" t="s">
        <v>82</v>
      </c>
      <c r="D595" t="s">
        <v>24</v>
      </c>
      <c r="E595">
        <v>16</v>
      </c>
      <c r="F595">
        <v>259013</v>
      </c>
      <c r="H595" t="s">
        <v>26</v>
      </c>
      <c r="I595" t="s">
        <v>26</v>
      </c>
      <c r="J595" t="s">
        <v>26</v>
      </c>
      <c r="K595" t="s">
        <v>26</v>
      </c>
      <c r="L595" t="s">
        <v>26</v>
      </c>
      <c r="M595" t="s">
        <v>26</v>
      </c>
      <c r="N595" t="s">
        <v>26</v>
      </c>
      <c r="O595" t="s">
        <v>26</v>
      </c>
      <c r="P595">
        <v>1</v>
      </c>
      <c r="Q595">
        <v>0</v>
      </c>
      <c r="R595">
        <v>0</v>
      </c>
      <c r="S595">
        <v>1</v>
      </c>
      <c r="T595">
        <v>3.8607999999999998</v>
      </c>
      <c r="U595">
        <v>6.25E-2</v>
      </c>
      <c r="V595">
        <v>0</v>
      </c>
      <c r="W595">
        <f>E595/100</f>
        <v>0.16</v>
      </c>
      <c r="X595">
        <f>F595/1000000</f>
        <v>0.25901299999999999</v>
      </c>
      <c r="Y595">
        <f>IF(D595="C",1,0)</f>
        <v>0</v>
      </c>
      <c r="Z595">
        <f>IF(G595="C",1,0)</f>
        <v>0</v>
      </c>
      <c r="AA595">
        <f>IF(G595="S",1,0)</f>
        <v>0</v>
      </c>
      <c r="AB595">
        <f>IF(G595="U",1,0)</f>
        <v>0</v>
      </c>
      <c r="AC595" s="5">
        <f>IF(AND(ISNUMBER(H595),NOT(ISNUMBER(P595))),1,0)</f>
        <v>0</v>
      </c>
      <c r="AD595" s="5">
        <f>IF(AND(ISNUMBER(H595),ISNUMBER(P595)),1,0)</f>
        <v>0</v>
      </c>
      <c r="AE595" s="5">
        <f>W595</f>
        <v>0.16</v>
      </c>
      <c r="AF595" s="5">
        <f>X595</f>
        <v>0.25901299999999999</v>
      </c>
      <c r="AG595" s="5">
        <f>Y595</f>
        <v>0</v>
      </c>
      <c r="AH595" s="5">
        <f>IF(OR(G595="C",G595="S",G595="U"),1,0)</f>
        <v>0</v>
      </c>
      <c r="AI595" s="5">
        <f>IF(ISNUMBER(H595),1,0)</f>
        <v>0</v>
      </c>
      <c r="AJ595" s="5">
        <f>IF(ISNUMBER(P595),1,0)</f>
        <v>1</v>
      </c>
      <c r="AK595" s="5" t="str">
        <f>IF(AI595=1,IF(J595&gt;0,1,0),"")</f>
        <v/>
      </c>
      <c r="AL595" s="5">
        <f>IF(AJ595=1,IF(OR(Q595&gt;0,R595&gt;0),1,0),"")</f>
        <v>0</v>
      </c>
    </row>
    <row r="596" spans="1:38">
      <c r="A596">
        <v>672523</v>
      </c>
      <c r="B596" t="s">
        <v>752</v>
      </c>
      <c r="C596" t="s">
        <v>37</v>
      </c>
      <c r="D596" t="s">
        <v>24</v>
      </c>
      <c r="E596">
        <v>37</v>
      </c>
      <c r="F596">
        <v>2002600</v>
      </c>
      <c r="G596" t="s">
        <v>25</v>
      </c>
      <c r="H596" t="s">
        <v>26</v>
      </c>
      <c r="I596" t="s">
        <v>26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>
        <v>1</v>
      </c>
      <c r="Q596">
        <v>0</v>
      </c>
      <c r="R596">
        <v>0</v>
      </c>
      <c r="S596">
        <v>1</v>
      </c>
      <c r="T596">
        <v>0.49940000000000001</v>
      </c>
      <c r="U596">
        <v>2.7E-2</v>
      </c>
      <c r="V596">
        <v>0</v>
      </c>
      <c r="W596">
        <f>E596/100</f>
        <v>0.37</v>
      </c>
      <c r="X596">
        <f>F596/1000000</f>
        <v>2.0026000000000002</v>
      </c>
      <c r="Y596">
        <f>IF(D596="C",1,0)</f>
        <v>0</v>
      </c>
      <c r="Z596">
        <f>IF(G596="C",1,0)</f>
        <v>0</v>
      </c>
      <c r="AA596">
        <f>IF(G596="S",1,0)</f>
        <v>1</v>
      </c>
      <c r="AB596">
        <f>IF(G596="U",1,0)</f>
        <v>0</v>
      </c>
      <c r="AC596" s="5">
        <f>IF(AND(ISNUMBER(H596),NOT(ISNUMBER(P596))),1,0)</f>
        <v>0</v>
      </c>
      <c r="AD596" s="5">
        <f>IF(AND(ISNUMBER(H596),ISNUMBER(P596)),1,0)</f>
        <v>0</v>
      </c>
      <c r="AE596" s="5">
        <f>W596</f>
        <v>0.37</v>
      </c>
      <c r="AF596" s="5">
        <f>X596</f>
        <v>2.0026000000000002</v>
      </c>
      <c r="AG596" s="5">
        <f>Y596</f>
        <v>0</v>
      </c>
      <c r="AH596" s="5">
        <f>IF(OR(G596="C",G596="S",G596="U"),1,0)</f>
        <v>1</v>
      </c>
      <c r="AI596" s="5">
        <f>IF(ISNUMBER(H596),1,0)</f>
        <v>0</v>
      </c>
      <c r="AJ596" s="5">
        <f>IF(ISNUMBER(P596),1,0)</f>
        <v>1</v>
      </c>
      <c r="AK596" s="5" t="str">
        <f>IF(AI596=1,IF(J596&gt;0,1,0),"")</f>
        <v/>
      </c>
      <c r="AL596" s="5">
        <f>IF(AJ596=1,IF(OR(Q596&gt;0,R596&gt;0),1,0),"")</f>
        <v>0</v>
      </c>
    </row>
    <row r="597" spans="1:38">
      <c r="A597">
        <v>674120</v>
      </c>
      <c r="B597" t="s">
        <v>754</v>
      </c>
      <c r="C597" t="s">
        <v>84</v>
      </c>
      <c r="D597" t="s">
        <v>24</v>
      </c>
      <c r="E597">
        <v>6</v>
      </c>
      <c r="F597">
        <v>10000</v>
      </c>
      <c r="H597" t="s">
        <v>26</v>
      </c>
      <c r="I597" t="s">
        <v>26</v>
      </c>
      <c r="J597" t="s">
        <v>26</v>
      </c>
      <c r="K597" t="s">
        <v>26</v>
      </c>
      <c r="L597" t="s">
        <v>26</v>
      </c>
      <c r="M597" t="s">
        <v>26</v>
      </c>
      <c r="N597" t="s">
        <v>26</v>
      </c>
      <c r="O597" t="s">
        <v>26</v>
      </c>
      <c r="P597">
        <v>1</v>
      </c>
      <c r="Q597">
        <v>0</v>
      </c>
      <c r="R597">
        <v>0</v>
      </c>
      <c r="S597">
        <v>1</v>
      </c>
      <c r="T597">
        <v>100</v>
      </c>
      <c r="U597">
        <v>0.16669999999999999</v>
      </c>
      <c r="V597">
        <v>0</v>
      </c>
      <c r="W597">
        <f>E597/100</f>
        <v>0.06</v>
      </c>
      <c r="X597">
        <f>F597/1000000</f>
        <v>0.01</v>
      </c>
      <c r="Y597">
        <f>IF(D597="C",1,0)</f>
        <v>0</v>
      </c>
      <c r="Z597">
        <f>IF(G597="C",1,0)</f>
        <v>0</v>
      </c>
      <c r="AA597">
        <f>IF(G597="S",1,0)</f>
        <v>0</v>
      </c>
      <c r="AB597">
        <f>IF(G597="U",1,0)</f>
        <v>0</v>
      </c>
      <c r="AC597" s="5">
        <f>IF(AND(ISNUMBER(H597),NOT(ISNUMBER(P597))),1,0)</f>
        <v>0</v>
      </c>
      <c r="AD597" s="5">
        <f>IF(AND(ISNUMBER(H597),ISNUMBER(P597)),1,0)</f>
        <v>0</v>
      </c>
      <c r="AE597" s="5">
        <f>W597</f>
        <v>0.06</v>
      </c>
      <c r="AF597" s="5">
        <f>X597</f>
        <v>0.01</v>
      </c>
      <c r="AG597" s="5">
        <f>Y597</f>
        <v>0</v>
      </c>
      <c r="AH597" s="5">
        <f>IF(OR(G597="C",G597="S",G597="U"),1,0)</f>
        <v>0</v>
      </c>
      <c r="AI597" s="5">
        <f>IF(ISNUMBER(H597),1,0)</f>
        <v>0</v>
      </c>
      <c r="AJ597" s="5">
        <f>IF(ISNUMBER(P597),1,0)</f>
        <v>1</v>
      </c>
      <c r="AK597" s="5" t="str">
        <f>IF(AI597=1,IF(J597&gt;0,1,0),"")</f>
        <v/>
      </c>
      <c r="AL597" s="5">
        <f>IF(AJ597=1,IF(OR(Q597&gt;0,R597&gt;0),1,0),"")</f>
        <v>0</v>
      </c>
    </row>
    <row r="598" spans="1:38">
      <c r="A598">
        <v>674126</v>
      </c>
      <c r="B598" t="s">
        <v>755</v>
      </c>
      <c r="C598" t="s">
        <v>23</v>
      </c>
      <c r="D598" t="s">
        <v>24</v>
      </c>
      <c r="E598">
        <v>15</v>
      </c>
      <c r="F598">
        <v>257885</v>
      </c>
      <c r="H598" t="s">
        <v>26</v>
      </c>
      <c r="I598" t="s">
        <v>26</v>
      </c>
      <c r="J598" t="s">
        <v>26</v>
      </c>
      <c r="K598" t="s">
        <v>26</v>
      </c>
      <c r="L598" t="s">
        <v>26</v>
      </c>
      <c r="M598" t="s">
        <v>26</v>
      </c>
      <c r="N598" t="s">
        <v>26</v>
      </c>
      <c r="O598" t="s">
        <v>26</v>
      </c>
      <c r="P598">
        <v>1</v>
      </c>
      <c r="Q598">
        <v>0</v>
      </c>
      <c r="R598">
        <v>0</v>
      </c>
      <c r="S598">
        <v>1</v>
      </c>
      <c r="T598">
        <v>3.8776999999999999</v>
      </c>
      <c r="U598">
        <v>6.6699999999999995E-2</v>
      </c>
      <c r="V598">
        <v>0</v>
      </c>
      <c r="W598">
        <f>E598/100</f>
        <v>0.15</v>
      </c>
      <c r="X598">
        <f>F598/1000000</f>
        <v>0.25788499999999998</v>
      </c>
      <c r="Y598">
        <f>IF(D598="C",1,0)</f>
        <v>0</v>
      </c>
      <c r="Z598">
        <f>IF(G598="C",1,0)</f>
        <v>0</v>
      </c>
      <c r="AA598">
        <f>IF(G598="S",1,0)</f>
        <v>0</v>
      </c>
      <c r="AB598">
        <f>IF(G598="U",1,0)</f>
        <v>0</v>
      </c>
      <c r="AC598" s="5">
        <f>IF(AND(ISNUMBER(H598),NOT(ISNUMBER(P598))),1,0)</f>
        <v>0</v>
      </c>
      <c r="AD598" s="5">
        <f>IF(AND(ISNUMBER(H598),ISNUMBER(P598)),1,0)</f>
        <v>0</v>
      </c>
      <c r="AE598" s="5">
        <f>W598</f>
        <v>0.15</v>
      </c>
      <c r="AF598" s="5">
        <f>X598</f>
        <v>0.25788499999999998</v>
      </c>
      <c r="AG598" s="5">
        <f>Y598</f>
        <v>0</v>
      </c>
      <c r="AH598" s="5">
        <f>IF(OR(G598="C",G598="S",G598="U"),1,0)</f>
        <v>0</v>
      </c>
      <c r="AI598" s="5">
        <f>IF(ISNUMBER(H598),1,0)</f>
        <v>0</v>
      </c>
      <c r="AJ598" s="5">
        <f>IF(ISNUMBER(P598),1,0)</f>
        <v>1</v>
      </c>
      <c r="AK598" s="5" t="str">
        <f>IF(AI598=1,IF(J598&gt;0,1,0),"")</f>
        <v/>
      </c>
      <c r="AL598" s="5">
        <f>IF(AJ598=1,IF(OR(Q598&gt;0,R598&gt;0),1,0),"")</f>
        <v>0</v>
      </c>
    </row>
    <row r="599" spans="1:38">
      <c r="A599">
        <v>674152</v>
      </c>
      <c r="B599" t="s">
        <v>756</v>
      </c>
      <c r="C599" t="s">
        <v>82</v>
      </c>
      <c r="D599" t="s">
        <v>24</v>
      </c>
      <c r="E599">
        <v>12</v>
      </c>
      <c r="F599">
        <v>15450</v>
      </c>
      <c r="G599" t="s">
        <v>25</v>
      </c>
      <c r="H599" t="s">
        <v>26</v>
      </c>
      <c r="I599" t="s">
        <v>26</v>
      </c>
      <c r="J599" t="s">
        <v>26</v>
      </c>
      <c r="K599" t="s">
        <v>26</v>
      </c>
      <c r="L599" t="s">
        <v>26</v>
      </c>
      <c r="M599" t="s">
        <v>26</v>
      </c>
      <c r="N599" t="s">
        <v>26</v>
      </c>
      <c r="O599" t="s">
        <v>26</v>
      </c>
      <c r="P599">
        <v>1</v>
      </c>
      <c r="Q599">
        <v>0</v>
      </c>
      <c r="R599">
        <v>1</v>
      </c>
      <c r="S599">
        <v>1</v>
      </c>
      <c r="T599">
        <v>64.724900000000005</v>
      </c>
      <c r="U599">
        <v>8.3299999999999999E-2</v>
      </c>
      <c r="V599">
        <v>1</v>
      </c>
      <c r="W599">
        <f>E599/100</f>
        <v>0.12</v>
      </c>
      <c r="X599">
        <f>F599/1000000</f>
        <v>1.545E-2</v>
      </c>
      <c r="Y599">
        <f>IF(D599="C",1,0)</f>
        <v>0</v>
      </c>
      <c r="Z599">
        <f>IF(G599="C",1,0)</f>
        <v>0</v>
      </c>
      <c r="AA599">
        <f>IF(G599="S",1,0)</f>
        <v>1</v>
      </c>
      <c r="AB599">
        <f>IF(G599="U",1,0)</f>
        <v>0</v>
      </c>
      <c r="AC599" s="5">
        <f>IF(AND(ISNUMBER(H599),NOT(ISNUMBER(P599))),1,0)</f>
        <v>0</v>
      </c>
      <c r="AD599" s="5">
        <f>IF(AND(ISNUMBER(H599),ISNUMBER(P599)),1,0)</f>
        <v>0</v>
      </c>
      <c r="AE599" s="5">
        <f>W599</f>
        <v>0.12</v>
      </c>
      <c r="AF599" s="5">
        <f>X599</f>
        <v>1.545E-2</v>
      </c>
      <c r="AG599" s="5">
        <f>Y599</f>
        <v>0</v>
      </c>
      <c r="AH599" s="5">
        <f>IF(OR(G599="C",G599="S",G599="U"),1,0)</f>
        <v>1</v>
      </c>
      <c r="AI599" s="5">
        <f>IF(ISNUMBER(H599),1,0)</f>
        <v>0</v>
      </c>
      <c r="AJ599" s="5">
        <f>IF(ISNUMBER(P599),1,0)</f>
        <v>1</v>
      </c>
      <c r="AK599" s="5" t="str">
        <f>IF(AI599=1,IF(J599&gt;0,1,0),"")</f>
        <v/>
      </c>
      <c r="AL599" s="5">
        <f>IF(AJ599=1,IF(OR(Q599&gt;0,R599&gt;0),1,0),"")</f>
        <v>1</v>
      </c>
    </row>
    <row r="600" spans="1:38">
      <c r="A600">
        <v>674633</v>
      </c>
      <c r="B600" t="s">
        <v>757</v>
      </c>
      <c r="C600" t="s">
        <v>82</v>
      </c>
      <c r="D600" t="s">
        <v>24</v>
      </c>
      <c r="E600">
        <v>7</v>
      </c>
      <c r="F600">
        <v>332769</v>
      </c>
      <c r="G600" t="s">
        <v>25</v>
      </c>
      <c r="H600" t="s">
        <v>26</v>
      </c>
      <c r="I600" t="s">
        <v>26</v>
      </c>
      <c r="J600" t="s">
        <v>26</v>
      </c>
      <c r="K600" t="s">
        <v>26</v>
      </c>
      <c r="L600" t="s">
        <v>26</v>
      </c>
      <c r="M600" t="s">
        <v>26</v>
      </c>
      <c r="N600" t="s">
        <v>26</v>
      </c>
      <c r="O600" t="s">
        <v>26</v>
      </c>
      <c r="P600">
        <v>1</v>
      </c>
      <c r="Q600">
        <v>0</v>
      </c>
      <c r="R600">
        <v>0</v>
      </c>
      <c r="S600">
        <v>1</v>
      </c>
      <c r="T600">
        <v>3.0051000000000001</v>
      </c>
      <c r="U600">
        <v>0.1429</v>
      </c>
      <c r="V600">
        <v>0</v>
      </c>
      <c r="W600">
        <f>E600/100</f>
        <v>7.0000000000000007E-2</v>
      </c>
      <c r="X600">
        <f>F600/1000000</f>
        <v>0.33276899999999998</v>
      </c>
      <c r="Y600">
        <f>IF(D600="C",1,0)</f>
        <v>0</v>
      </c>
      <c r="Z600">
        <f>IF(G600="C",1,0)</f>
        <v>0</v>
      </c>
      <c r="AA600">
        <f>IF(G600="S",1,0)</f>
        <v>1</v>
      </c>
      <c r="AB600">
        <f>IF(G600="U",1,0)</f>
        <v>0</v>
      </c>
      <c r="AC600" s="5">
        <f>IF(AND(ISNUMBER(H600),NOT(ISNUMBER(P600))),1,0)</f>
        <v>0</v>
      </c>
      <c r="AD600" s="5">
        <f>IF(AND(ISNUMBER(H600),ISNUMBER(P600)),1,0)</f>
        <v>0</v>
      </c>
      <c r="AE600" s="5">
        <f>W600</f>
        <v>7.0000000000000007E-2</v>
      </c>
      <c r="AF600" s="5">
        <f>X600</f>
        <v>0.33276899999999998</v>
      </c>
      <c r="AG600" s="5">
        <f>Y600</f>
        <v>0</v>
      </c>
      <c r="AH600" s="5">
        <f>IF(OR(G600="C",G600="S",G600="U"),1,0)</f>
        <v>1</v>
      </c>
      <c r="AI600" s="5">
        <f>IF(ISNUMBER(H600),1,0)</f>
        <v>0</v>
      </c>
      <c r="AJ600" s="5">
        <f>IF(ISNUMBER(P600),1,0)</f>
        <v>1</v>
      </c>
      <c r="AK600" s="5" t="str">
        <f>IF(AI600=1,IF(J600&gt;0,1,0),"")</f>
        <v/>
      </c>
      <c r="AL600" s="5">
        <f>IF(AJ600=1,IF(OR(Q600&gt;0,R600&gt;0),1,0),"")</f>
        <v>0</v>
      </c>
    </row>
    <row r="601" spans="1:38">
      <c r="A601">
        <v>675046</v>
      </c>
      <c r="B601" t="s">
        <v>758</v>
      </c>
      <c r="C601" t="s">
        <v>37</v>
      </c>
      <c r="D601" t="s">
        <v>24</v>
      </c>
      <c r="E601">
        <v>138</v>
      </c>
      <c r="F601">
        <v>9413177</v>
      </c>
      <c r="G601" t="s">
        <v>25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>
        <v>1</v>
      </c>
      <c r="Q601">
        <v>0</v>
      </c>
      <c r="R601">
        <v>0</v>
      </c>
      <c r="S601">
        <v>1</v>
      </c>
      <c r="T601">
        <v>0.1062</v>
      </c>
      <c r="U601">
        <v>7.1999999999999998E-3</v>
      </c>
      <c r="V601">
        <v>0</v>
      </c>
      <c r="W601">
        <f>E601/100</f>
        <v>1.38</v>
      </c>
      <c r="X601">
        <f>F601/1000000</f>
        <v>9.4131769999999992</v>
      </c>
      <c r="Y601">
        <f>IF(D601="C",1,0)</f>
        <v>0</v>
      </c>
      <c r="Z601">
        <f>IF(G601="C",1,0)</f>
        <v>0</v>
      </c>
      <c r="AA601">
        <f>IF(G601="S",1,0)</f>
        <v>1</v>
      </c>
      <c r="AB601">
        <f>IF(G601="U",1,0)</f>
        <v>0</v>
      </c>
      <c r="AC601" s="5">
        <f>IF(AND(ISNUMBER(H601),NOT(ISNUMBER(P601))),1,0)</f>
        <v>0</v>
      </c>
      <c r="AD601" s="5">
        <f>IF(AND(ISNUMBER(H601),ISNUMBER(P601)),1,0)</f>
        <v>0</v>
      </c>
      <c r="AE601" s="5">
        <f>W601</f>
        <v>1.38</v>
      </c>
      <c r="AF601" s="5">
        <f>X601</f>
        <v>9.4131769999999992</v>
      </c>
      <c r="AG601" s="5">
        <f>Y601</f>
        <v>0</v>
      </c>
      <c r="AH601" s="5">
        <f>IF(OR(G601="C",G601="S",G601="U"),1,0)</f>
        <v>1</v>
      </c>
      <c r="AI601" s="5">
        <f>IF(ISNUMBER(H601),1,0)</f>
        <v>0</v>
      </c>
      <c r="AJ601" s="5">
        <f>IF(ISNUMBER(P601),1,0)</f>
        <v>1</v>
      </c>
      <c r="AK601" s="5" t="str">
        <f>IF(AI601=1,IF(J601&gt;0,1,0),"")</f>
        <v/>
      </c>
      <c r="AL601" s="5">
        <f>IF(AJ601=1,IF(OR(Q601&gt;0,R601&gt;0),1,0),"")</f>
        <v>0</v>
      </c>
    </row>
    <row r="602" spans="1:38">
      <c r="A602">
        <v>676748</v>
      </c>
      <c r="B602" t="s">
        <v>759</v>
      </c>
      <c r="C602" t="s">
        <v>23</v>
      </c>
      <c r="D602" t="s">
        <v>33</v>
      </c>
      <c r="E602">
        <v>2</v>
      </c>
      <c r="F602">
        <v>14000</v>
      </c>
      <c r="H602" t="s">
        <v>26</v>
      </c>
      <c r="I602" t="s">
        <v>26</v>
      </c>
      <c r="J602" t="s">
        <v>26</v>
      </c>
      <c r="K602" t="s">
        <v>26</v>
      </c>
      <c r="L602" t="s">
        <v>26</v>
      </c>
      <c r="M602" t="s">
        <v>26</v>
      </c>
      <c r="N602" t="s">
        <v>26</v>
      </c>
      <c r="O602" t="s">
        <v>26</v>
      </c>
      <c r="P602">
        <v>1</v>
      </c>
      <c r="Q602">
        <v>0</v>
      </c>
      <c r="R602">
        <v>1</v>
      </c>
      <c r="S602">
        <v>1</v>
      </c>
      <c r="T602">
        <v>71.428600000000003</v>
      </c>
      <c r="U602">
        <v>0.5</v>
      </c>
      <c r="V602">
        <v>1</v>
      </c>
      <c r="W602">
        <f>E602/100</f>
        <v>0.02</v>
      </c>
      <c r="X602">
        <f>F602/1000000</f>
        <v>1.4E-2</v>
      </c>
      <c r="Y602">
        <f>IF(D602="C",1,0)</f>
        <v>1</v>
      </c>
      <c r="Z602">
        <f>IF(G602="C",1,0)</f>
        <v>0</v>
      </c>
      <c r="AA602">
        <f>IF(G602="S",1,0)</f>
        <v>0</v>
      </c>
      <c r="AB602">
        <f>IF(G602="U",1,0)</f>
        <v>0</v>
      </c>
      <c r="AC602" s="5">
        <f>IF(AND(ISNUMBER(H602),NOT(ISNUMBER(P602))),1,0)</f>
        <v>0</v>
      </c>
      <c r="AD602" s="5">
        <f>IF(AND(ISNUMBER(H602),ISNUMBER(P602)),1,0)</f>
        <v>0</v>
      </c>
      <c r="AE602" s="5">
        <f>W602</f>
        <v>0.02</v>
      </c>
      <c r="AF602" s="5">
        <f>X602</f>
        <v>1.4E-2</v>
      </c>
      <c r="AG602" s="5">
        <f>Y602</f>
        <v>1</v>
      </c>
      <c r="AH602" s="5">
        <f>IF(OR(G602="C",G602="S",G602="U"),1,0)</f>
        <v>0</v>
      </c>
      <c r="AI602" s="5">
        <f>IF(ISNUMBER(H602),1,0)</f>
        <v>0</v>
      </c>
      <c r="AJ602" s="5">
        <f>IF(ISNUMBER(P602),1,0)</f>
        <v>1</v>
      </c>
      <c r="AK602" s="5" t="str">
        <f>IF(AI602=1,IF(J602&gt;0,1,0),"")</f>
        <v/>
      </c>
      <c r="AL602" s="5">
        <f>IF(AJ602=1,IF(OR(Q602&gt;0,R602&gt;0),1,0),"")</f>
        <v>1</v>
      </c>
    </row>
    <row r="603" spans="1:38">
      <c r="A603">
        <v>680418</v>
      </c>
      <c r="B603" t="s">
        <v>760</v>
      </c>
      <c r="C603" t="s">
        <v>84</v>
      </c>
      <c r="D603" t="s">
        <v>24</v>
      </c>
      <c r="E603">
        <v>18</v>
      </c>
      <c r="F603">
        <v>768728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>
        <v>1</v>
      </c>
      <c r="Q603">
        <v>0</v>
      </c>
      <c r="R603">
        <v>0</v>
      </c>
      <c r="S603">
        <v>1</v>
      </c>
      <c r="T603">
        <v>1.3008999999999999</v>
      </c>
      <c r="U603">
        <v>5.5599999999999997E-2</v>
      </c>
      <c r="V603">
        <v>0</v>
      </c>
      <c r="W603">
        <f>E603/100</f>
        <v>0.18</v>
      </c>
      <c r="X603">
        <f>F603/1000000</f>
        <v>0.76872799999999997</v>
      </c>
      <c r="Y603">
        <f>IF(D603="C",1,0)</f>
        <v>0</v>
      </c>
      <c r="Z603">
        <f>IF(G603="C",1,0)</f>
        <v>0</v>
      </c>
      <c r="AA603">
        <f>IF(G603="S",1,0)</f>
        <v>0</v>
      </c>
      <c r="AB603">
        <f>IF(G603="U",1,0)</f>
        <v>0</v>
      </c>
      <c r="AC603" s="5">
        <f>IF(AND(ISNUMBER(H603),NOT(ISNUMBER(P603))),1,0)</f>
        <v>0</v>
      </c>
      <c r="AD603" s="5">
        <f>IF(AND(ISNUMBER(H603),ISNUMBER(P603)),1,0)</f>
        <v>0</v>
      </c>
      <c r="AE603" s="5">
        <f>W603</f>
        <v>0.18</v>
      </c>
      <c r="AF603" s="5">
        <f>X603</f>
        <v>0.76872799999999997</v>
      </c>
      <c r="AG603" s="5">
        <f>Y603</f>
        <v>0</v>
      </c>
      <c r="AH603" s="5">
        <f>IF(OR(G603="C",G603="S",G603="U"),1,0)</f>
        <v>0</v>
      </c>
      <c r="AI603" s="5">
        <f>IF(ISNUMBER(H603),1,0)</f>
        <v>0</v>
      </c>
      <c r="AJ603" s="5">
        <f>IF(ISNUMBER(P603),1,0)</f>
        <v>1</v>
      </c>
      <c r="AK603" s="5" t="str">
        <f>IF(AI603=1,IF(J603&gt;0,1,0),"")</f>
        <v/>
      </c>
      <c r="AL603" s="5">
        <f>IF(AJ603=1,IF(OR(Q603&gt;0,R603&gt;0),1,0),"")</f>
        <v>0</v>
      </c>
    </row>
    <row r="604" spans="1:38">
      <c r="A604">
        <v>680745</v>
      </c>
      <c r="B604" t="s">
        <v>762</v>
      </c>
      <c r="C604" t="s">
        <v>23</v>
      </c>
      <c r="D604" t="s">
        <v>24</v>
      </c>
      <c r="E604">
        <v>10</v>
      </c>
      <c r="F604">
        <v>1293037</v>
      </c>
      <c r="G604" t="s">
        <v>25</v>
      </c>
      <c r="H604" t="s">
        <v>26</v>
      </c>
      <c r="I604" t="s">
        <v>26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>
        <v>1</v>
      </c>
      <c r="Q604">
        <v>0</v>
      </c>
      <c r="R604">
        <v>0</v>
      </c>
      <c r="S604">
        <v>1</v>
      </c>
      <c r="T604">
        <v>0.77339999999999998</v>
      </c>
      <c r="U604">
        <v>0.1</v>
      </c>
      <c r="V604">
        <v>0</v>
      </c>
      <c r="W604">
        <f>E604/100</f>
        <v>0.1</v>
      </c>
      <c r="X604">
        <f>F604/1000000</f>
        <v>1.293037</v>
      </c>
      <c r="Y604">
        <f>IF(D604="C",1,0)</f>
        <v>0</v>
      </c>
      <c r="Z604">
        <f>IF(G604="C",1,0)</f>
        <v>0</v>
      </c>
      <c r="AA604">
        <f>IF(G604="S",1,0)</f>
        <v>1</v>
      </c>
      <c r="AB604">
        <f>IF(G604="U",1,0)</f>
        <v>0</v>
      </c>
      <c r="AC604" s="5">
        <f>IF(AND(ISNUMBER(H604),NOT(ISNUMBER(P604))),1,0)</f>
        <v>0</v>
      </c>
      <c r="AD604" s="5">
        <f>IF(AND(ISNUMBER(H604),ISNUMBER(P604)),1,0)</f>
        <v>0</v>
      </c>
      <c r="AE604" s="5">
        <f>W604</f>
        <v>0.1</v>
      </c>
      <c r="AF604" s="5">
        <f>X604</f>
        <v>1.293037</v>
      </c>
      <c r="AG604" s="5">
        <f>Y604</f>
        <v>0</v>
      </c>
      <c r="AH604" s="5">
        <f>IF(OR(G604="C",G604="S",G604="U"),1,0)</f>
        <v>1</v>
      </c>
      <c r="AI604" s="5">
        <f>IF(ISNUMBER(H604),1,0)</f>
        <v>0</v>
      </c>
      <c r="AJ604" s="5">
        <f>IF(ISNUMBER(P604),1,0)</f>
        <v>1</v>
      </c>
      <c r="AK604" s="5" t="str">
        <f>IF(AI604=1,IF(J604&gt;0,1,0),"")</f>
        <v/>
      </c>
      <c r="AL604" s="5">
        <f>IF(AJ604=1,IF(OR(Q604&gt;0,R604&gt;0),1,0),"")</f>
        <v>0</v>
      </c>
    </row>
    <row r="605" spans="1:38">
      <c r="A605">
        <v>681315</v>
      </c>
      <c r="B605" t="s">
        <v>763</v>
      </c>
      <c r="C605" t="s">
        <v>82</v>
      </c>
      <c r="D605" t="s">
        <v>24</v>
      </c>
      <c r="E605">
        <v>4</v>
      </c>
      <c r="F605">
        <v>70623</v>
      </c>
      <c r="G605" t="s">
        <v>25</v>
      </c>
      <c r="H605" t="s">
        <v>26</v>
      </c>
      <c r="I605" t="s">
        <v>26</v>
      </c>
      <c r="J605" t="s">
        <v>26</v>
      </c>
      <c r="K605" t="s">
        <v>26</v>
      </c>
      <c r="L605" t="s">
        <v>26</v>
      </c>
      <c r="M605" t="s">
        <v>26</v>
      </c>
      <c r="N605" t="s">
        <v>26</v>
      </c>
      <c r="O605" t="s">
        <v>26</v>
      </c>
      <c r="P605">
        <v>1</v>
      </c>
      <c r="Q605">
        <v>0</v>
      </c>
      <c r="R605">
        <v>1</v>
      </c>
      <c r="S605">
        <v>0</v>
      </c>
      <c r="T605">
        <v>14.159700000000001</v>
      </c>
      <c r="U605">
        <v>0.25</v>
      </c>
      <c r="V605">
        <v>1</v>
      </c>
      <c r="W605">
        <f>E605/100</f>
        <v>0.04</v>
      </c>
      <c r="X605">
        <f>F605/1000000</f>
        <v>7.0623000000000005E-2</v>
      </c>
      <c r="Y605">
        <f>IF(D605="C",1,0)</f>
        <v>0</v>
      </c>
      <c r="Z605">
        <f>IF(G605="C",1,0)</f>
        <v>0</v>
      </c>
      <c r="AA605">
        <f>IF(G605="S",1,0)</f>
        <v>1</v>
      </c>
      <c r="AB605">
        <f>IF(G605="U",1,0)</f>
        <v>0</v>
      </c>
      <c r="AC605" s="5">
        <f>IF(AND(ISNUMBER(H605),NOT(ISNUMBER(P605))),1,0)</f>
        <v>0</v>
      </c>
      <c r="AD605" s="5">
        <f>IF(AND(ISNUMBER(H605),ISNUMBER(P605)),1,0)</f>
        <v>0</v>
      </c>
      <c r="AE605" s="5">
        <f>W605</f>
        <v>0.04</v>
      </c>
      <c r="AF605" s="5">
        <f>X605</f>
        <v>7.0623000000000005E-2</v>
      </c>
      <c r="AG605" s="5">
        <f>Y605</f>
        <v>0</v>
      </c>
      <c r="AH605" s="5">
        <f>IF(OR(G605="C",G605="S",G605="U"),1,0)</f>
        <v>1</v>
      </c>
      <c r="AI605" s="5">
        <f>IF(ISNUMBER(H605),1,0)</f>
        <v>0</v>
      </c>
      <c r="AJ605" s="5">
        <f>IF(ISNUMBER(P605),1,0)</f>
        <v>1</v>
      </c>
      <c r="AK605" s="5" t="str">
        <f>IF(AI605=1,IF(J605&gt;0,1,0),"")</f>
        <v/>
      </c>
      <c r="AL605" s="5">
        <f>IF(AJ605=1,IF(OR(Q605&gt;0,R605&gt;0),1,0),"")</f>
        <v>1</v>
      </c>
    </row>
    <row r="606" spans="1:38">
      <c r="A606">
        <v>682513</v>
      </c>
      <c r="B606" t="s">
        <v>764</v>
      </c>
      <c r="C606" t="s">
        <v>37</v>
      </c>
      <c r="D606" t="s">
        <v>33</v>
      </c>
      <c r="E606">
        <v>4</v>
      </c>
      <c r="F606">
        <v>20000</v>
      </c>
      <c r="H606" t="s">
        <v>26</v>
      </c>
      <c r="I606" t="s">
        <v>26</v>
      </c>
      <c r="J606" t="s">
        <v>26</v>
      </c>
      <c r="K606" t="s">
        <v>26</v>
      </c>
      <c r="L606" t="s">
        <v>26</v>
      </c>
      <c r="M606" t="s">
        <v>26</v>
      </c>
      <c r="N606" t="s">
        <v>26</v>
      </c>
      <c r="O606" t="s">
        <v>26</v>
      </c>
      <c r="P606">
        <v>1</v>
      </c>
      <c r="Q606">
        <v>0</v>
      </c>
      <c r="R606">
        <v>0</v>
      </c>
      <c r="S606">
        <v>1</v>
      </c>
      <c r="T606">
        <v>50</v>
      </c>
      <c r="U606">
        <v>0.25</v>
      </c>
      <c r="V606">
        <v>0</v>
      </c>
      <c r="W606">
        <f>E606/100</f>
        <v>0.04</v>
      </c>
      <c r="X606">
        <f>F606/1000000</f>
        <v>0.02</v>
      </c>
      <c r="Y606">
        <f>IF(D606="C",1,0)</f>
        <v>1</v>
      </c>
      <c r="Z606">
        <f>IF(G606="C",1,0)</f>
        <v>0</v>
      </c>
      <c r="AA606">
        <f>IF(G606="S",1,0)</f>
        <v>0</v>
      </c>
      <c r="AB606">
        <f>IF(G606="U",1,0)</f>
        <v>0</v>
      </c>
      <c r="AC606" s="5">
        <f>IF(AND(ISNUMBER(H606),NOT(ISNUMBER(P606))),1,0)</f>
        <v>0</v>
      </c>
      <c r="AD606" s="5">
        <f>IF(AND(ISNUMBER(H606),ISNUMBER(P606)),1,0)</f>
        <v>0</v>
      </c>
      <c r="AE606" s="5">
        <f>W606</f>
        <v>0.04</v>
      </c>
      <c r="AF606" s="5">
        <f>X606</f>
        <v>0.02</v>
      </c>
      <c r="AG606" s="5">
        <f>Y606</f>
        <v>1</v>
      </c>
      <c r="AH606" s="5">
        <f>IF(OR(G606="C",G606="S",G606="U"),1,0)</f>
        <v>0</v>
      </c>
      <c r="AI606" s="5">
        <f>IF(ISNUMBER(H606),1,0)</f>
        <v>0</v>
      </c>
      <c r="AJ606" s="5">
        <f>IF(ISNUMBER(P606),1,0)</f>
        <v>1</v>
      </c>
      <c r="AK606" s="5" t="str">
        <f>IF(AI606=1,IF(J606&gt;0,1,0),"")</f>
        <v/>
      </c>
      <c r="AL606" s="5">
        <f>IF(AJ606=1,IF(OR(Q606&gt;0,R606&gt;0),1,0),"")</f>
        <v>0</v>
      </c>
    </row>
    <row r="607" spans="1:38">
      <c r="A607">
        <v>688893</v>
      </c>
      <c r="B607" t="s">
        <v>765</v>
      </c>
      <c r="C607" t="s">
        <v>23</v>
      </c>
      <c r="D607" t="s">
        <v>24</v>
      </c>
      <c r="E607">
        <v>20</v>
      </c>
      <c r="F607">
        <v>1350000</v>
      </c>
      <c r="G607" t="s">
        <v>25</v>
      </c>
      <c r="H607" t="s">
        <v>26</v>
      </c>
      <c r="I607" t="s">
        <v>26</v>
      </c>
      <c r="J607" t="s">
        <v>26</v>
      </c>
      <c r="K607" t="s">
        <v>26</v>
      </c>
      <c r="L607" t="s">
        <v>26</v>
      </c>
      <c r="M607" t="s">
        <v>26</v>
      </c>
      <c r="N607" t="s">
        <v>26</v>
      </c>
      <c r="O607" t="s">
        <v>26</v>
      </c>
      <c r="P607">
        <v>1</v>
      </c>
      <c r="Q607">
        <v>0</v>
      </c>
      <c r="R607">
        <v>1</v>
      </c>
      <c r="S607">
        <v>1</v>
      </c>
      <c r="T607">
        <v>0.74070000000000003</v>
      </c>
      <c r="U607">
        <v>0.05</v>
      </c>
      <c r="V607">
        <v>1</v>
      </c>
      <c r="W607">
        <f>E607/100</f>
        <v>0.2</v>
      </c>
      <c r="X607">
        <f>F607/1000000</f>
        <v>1.35</v>
      </c>
      <c r="Y607">
        <f>IF(D607="C",1,0)</f>
        <v>0</v>
      </c>
      <c r="Z607">
        <f>IF(G607="C",1,0)</f>
        <v>0</v>
      </c>
      <c r="AA607">
        <f>IF(G607="S",1,0)</f>
        <v>1</v>
      </c>
      <c r="AB607">
        <f>IF(G607="U",1,0)</f>
        <v>0</v>
      </c>
      <c r="AC607" s="5">
        <f>IF(AND(ISNUMBER(H607),NOT(ISNUMBER(P607))),1,0)</f>
        <v>0</v>
      </c>
      <c r="AD607" s="5">
        <f>IF(AND(ISNUMBER(H607),ISNUMBER(P607)),1,0)</f>
        <v>0</v>
      </c>
      <c r="AE607" s="5">
        <f>W607</f>
        <v>0.2</v>
      </c>
      <c r="AF607" s="5">
        <f>X607</f>
        <v>1.35</v>
      </c>
      <c r="AG607" s="5">
        <f>Y607</f>
        <v>0</v>
      </c>
      <c r="AH607" s="5">
        <f>IF(OR(G607="C",G607="S",G607="U"),1,0)</f>
        <v>1</v>
      </c>
      <c r="AI607" s="5">
        <f>IF(ISNUMBER(H607),1,0)</f>
        <v>0</v>
      </c>
      <c r="AJ607" s="5">
        <f>IF(ISNUMBER(P607),1,0)</f>
        <v>1</v>
      </c>
      <c r="AK607" s="5" t="str">
        <f>IF(AI607=1,IF(J607&gt;0,1,0),"")</f>
        <v/>
      </c>
      <c r="AL607" s="5">
        <f>IF(AJ607=1,IF(OR(Q607&gt;0,R607&gt;0),1,0),"")</f>
        <v>1</v>
      </c>
    </row>
    <row r="608" spans="1:38">
      <c r="A608">
        <v>689450</v>
      </c>
      <c r="B608" t="s">
        <v>766</v>
      </c>
      <c r="C608" t="s">
        <v>84</v>
      </c>
      <c r="D608" t="s">
        <v>24</v>
      </c>
      <c r="E608">
        <v>9</v>
      </c>
      <c r="F608">
        <v>69437</v>
      </c>
      <c r="H608" t="s">
        <v>26</v>
      </c>
      <c r="I608" t="s">
        <v>26</v>
      </c>
      <c r="J608" t="s">
        <v>26</v>
      </c>
      <c r="K608" t="s">
        <v>26</v>
      </c>
      <c r="L608" t="s">
        <v>26</v>
      </c>
      <c r="M608" t="s">
        <v>26</v>
      </c>
      <c r="N608" t="s">
        <v>26</v>
      </c>
      <c r="O608" t="s">
        <v>26</v>
      </c>
      <c r="P608">
        <v>1</v>
      </c>
      <c r="Q608">
        <v>0</v>
      </c>
      <c r="R608">
        <v>0</v>
      </c>
      <c r="S608">
        <v>1</v>
      </c>
      <c r="T608">
        <v>14.4015</v>
      </c>
      <c r="U608">
        <v>0.1111</v>
      </c>
      <c r="V608">
        <v>0</v>
      </c>
      <c r="W608">
        <f>E608/100</f>
        <v>0.09</v>
      </c>
      <c r="X608">
        <f>F608/1000000</f>
        <v>6.9436999999999999E-2</v>
      </c>
      <c r="Y608">
        <f>IF(D608="C",1,0)</f>
        <v>0</v>
      </c>
      <c r="Z608">
        <f>IF(G608="C",1,0)</f>
        <v>0</v>
      </c>
      <c r="AA608">
        <f>IF(G608="S",1,0)</f>
        <v>0</v>
      </c>
      <c r="AB608">
        <f>IF(G608="U",1,0)</f>
        <v>0</v>
      </c>
      <c r="AC608" s="5">
        <f>IF(AND(ISNUMBER(H608),NOT(ISNUMBER(P608))),1,0)</f>
        <v>0</v>
      </c>
      <c r="AD608" s="5">
        <f>IF(AND(ISNUMBER(H608),ISNUMBER(P608)),1,0)</f>
        <v>0</v>
      </c>
      <c r="AE608" s="5">
        <f>W608</f>
        <v>0.09</v>
      </c>
      <c r="AF608" s="5">
        <f>X608</f>
        <v>6.9436999999999999E-2</v>
      </c>
      <c r="AG608" s="5">
        <f>Y608</f>
        <v>0</v>
      </c>
      <c r="AH608" s="5">
        <f>IF(OR(G608="C",G608="S",G608="U"),1,0)</f>
        <v>0</v>
      </c>
      <c r="AI608" s="5">
        <f>IF(ISNUMBER(H608),1,0)</f>
        <v>0</v>
      </c>
      <c r="AJ608" s="5">
        <f>IF(ISNUMBER(P608),1,0)</f>
        <v>1</v>
      </c>
      <c r="AK608" s="5" t="str">
        <f>IF(AI608=1,IF(J608&gt;0,1,0),"")</f>
        <v/>
      </c>
      <c r="AL608" s="5">
        <f>IF(AJ608=1,IF(OR(Q608&gt;0,R608&gt;0),1,0),"")</f>
        <v>0</v>
      </c>
    </row>
    <row r="609" spans="1:38">
      <c r="A609">
        <v>689729</v>
      </c>
      <c r="B609" t="s">
        <v>767</v>
      </c>
      <c r="C609" t="s">
        <v>37</v>
      </c>
      <c r="D609" t="s">
        <v>24</v>
      </c>
      <c r="E609">
        <v>12</v>
      </c>
      <c r="F609">
        <v>240540</v>
      </c>
      <c r="H609" t="s">
        <v>26</v>
      </c>
      <c r="I609" t="s">
        <v>26</v>
      </c>
      <c r="J609" t="s">
        <v>26</v>
      </c>
      <c r="K609" t="s">
        <v>26</v>
      </c>
      <c r="L609" t="s">
        <v>26</v>
      </c>
      <c r="M609" t="s">
        <v>26</v>
      </c>
      <c r="N609" t="s">
        <v>26</v>
      </c>
      <c r="O609" t="s">
        <v>26</v>
      </c>
      <c r="P609">
        <v>1</v>
      </c>
      <c r="Q609">
        <v>0</v>
      </c>
      <c r="R609">
        <v>0</v>
      </c>
      <c r="S609">
        <v>1</v>
      </c>
      <c r="T609">
        <v>4.1573000000000002</v>
      </c>
      <c r="U609">
        <v>8.3299999999999999E-2</v>
      </c>
      <c r="V609">
        <v>0</v>
      </c>
      <c r="W609">
        <f>E609/100</f>
        <v>0.12</v>
      </c>
      <c r="X609">
        <f>F609/1000000</f>
        <v>0.24054</v>
      </c>
      <c r="Y609">
        <f>IF(D609="C",1,0)</f>
        <v>0</v>
      </c>
      <c r="Z609">
        <f>IF(G609="C",1,0)</f>
        <v>0</v>
      </c>
      <c r="AA609">
        <f>IF(G609="S",1,0)</f>
        <v>0</v>
      </c>
      <c r="AB609">
        <f>IF(G609="U",1,0)</f>
        <v>0</v>
      </c>
      <c r="AC609" s="5">
        <f>IF(AND(ISNUMBER(H609),NOT(ISNUMBER(P609))),1,0)</f>
        <v>0</v>
      </c>
      <c r="AD609" s="5">
        <f>IF(AND(ISNUMBER(H609),ISNUMBER(P609)),1,0)</f>
        <v>0</v>
      </c>
      <c r="AE609" s="5">
        <f>W609</f>
        <v>0.12</v>
      </c>
      <c r="AF609" s="5">
        <f>X609</f>
        <v>0.24054</v>
      </c>
      <c r="AG609" s="5">
        <f>Y609</f>
        <v>0</v>
      </c>
      <c r="AH609" s="5">
        <f>IF(OR(G609="C",G609="S",G609="U"),1,0)</f>
        <v>0</v>
      </c>
      <c r="AI609" s="5">
        <f>IF(ISNUMBER(H609),1,0)</f>
        <v>0</v>
      </c>
      <c r="AJ609" s="5">
        <f>IF(ISNUMBER(P609),1,0)</f>
        <v>1</v>
      </c>
      <c r="AK609" s="5" t="str">
        <f>IF(AI609=1,IF(J609&gt;0,1,0),"")</f>
        <v/>
      </c>
      <c r="AL609" s="5">
        <f>IF(AJ609=1,IF(OR(Q609&gt;0,R609&gt;0),1,0),"")</f>
        <v>0</v>
      </c>
    </row>
    <row r="610" spans="1:38">
      <c r="A610">
        <v>690628</v>
      </c>
      <c r="B610" t="s">
        <v>768</v>
      </c>
      <c r="C610" t="s">
        <v>42</v>
      </c>
      <c r="D610" t="s">
        <v>24</v>
      </c>
      <c r="E610">
        <v>1</v>
      </c>
      <c r="F610">
        <v>80646</v>
      </c>
      <c r="G610" t="s">
        <v>33</v>
      </c>
      <c r="H610" t="s">
        <v>26</v>
      </c>
      <c r="I610" t="s">
        <v>26</v>
      </c>
      <c r="J610" t="s">
        <v>26</v>
      </c>
      <c r="K610" t="s">
        <v>26</v>
      </c>
      <c r="L610" t="s">
        <v>26</v>
      </c>
      <c r="M610" t="s">
        <v>26</v>
      </c>
      <c r="N610" t="s">
        <v>26</v>
      </c>
      <c r="O610" t="s">
        <v>26</v>
      </c>
      <c r="P610">
        <v>1</v>
      </c>
      <c r="Q610">
        <v>0</v>
      </c>
      <c r="R610">
        <v>1</v>
      </c>
      <c r="S610">
        <v>1</v>
      </c>
      <c r="T610">
        <v>12.399900000000001</v>
      </c>
      <c r="U610">
        <v>1</v>
      </c>
      <c r="V610">
        <v>1</v>
      </c>
      <c r="W610">
        <f>E610/100</f>
        <v>0.01</v>
      </c>
      <c r="X610">
        <f>F610/1000000</f>
        <v>8.0645999999999995E-2</v>
      </c>
      <c r="Y610">
        <f>IF(D610="C",1,0)</f>
        <v>0</v>
      </c>
      <c r="Z610">
        <f>IF(G610="C",1,0)</f>
        <v>1</v>
      </c>
      <c r="AA610">
        <f>IF(G610="S",1,0)</f>
        <v>0</v>
      </c>
      <c r="AB610">
        <f>IF(G610="U",1,0)</f>
        <v>0</v>
      </c>
      <c r="AC610" s="5">
        <f>IF(AND(ISNUMBER(H610),NOT(ISNUMBER(P610))),1,0)</f>
        <v>0</v>
      </c>
      <c r="AD610" s="5">
        <f>IF(AND(ISNUMBER(H610),ISNUMBER(P610)),1,0)</f>
        <v>0</v>
      </c>
      <c r="AE610" s="5">
        <f>W610</f>
        <v>0.01</v>
      </c>
      <c r="AF610" s="5">
        <f>X610</f>
        <v>8.0645999999999995E-2</v>
      </c>
      <c r="AG610" s="5">
        <f>Y610</f>
        <v>0</v>
      </c>
      <c r="AH610" s="5">
        <f>IF(OR(G610="C",G610="S",G610="U"),1,0)</f>
        <v>1</v>
      </c>
      <c r="AI610" s="5">
        <f>IF(ISNUMBER(H610),1,0)</f>
        <v>0</v>
      </c>
      <c r="AJ610" s="5">
        <f>IF(ISNUMBER(P610),1,0)</f>
        <v>1</v>
      </c>
      <c r="AK610" s="5" t="str">
        <f>IF(AI610=1,IF(J610&gt;0,1,0),"")</f>
        <v/>
      </c>
      <c r="AL610" s="5">
        <f>IF(AJ610=1,IF(OR(Q610&gt;0,R610&gt;0),1,0),"")</f>
        <v>1</v>
      </c>
    </row>
    <row r="611" spans="1:38">
      <c r="A611">
        <v>692189</v>
      </c>
      <c r="B611" t="s">
        <v>769</v>
      </c>
      <c r="C611" t="s">
        <v>23</v>
      </c>
      <c r="D611" t="s">
        <v>24</v>
      </c>
      <c r="E611">
        <v>6</v>
      </c>
      <c r="F611">
        <v>673550</v>
      </c>
      <c r="G611" t="s">
        <v>25</v>
      </c>
      <c r="H611" t="s">
        <v>26</v>
      </c>
      <c r="I611" t="s">
        <v>26</v>
      </c>
      <c r="J611" t="s">
        <v>26</v>
      </c>
      <c r="K611" t="s">
        <v>26</v>
      </c>
      <c r="L611" t="s">
        <v>26</v>
      </c>
      <c r="M611" t="s">
        <v>26</v>
      </c>
      <c r="N611" t="s">
        <v>26</v>
      </c>
      <c r="O611" t="s">
        <v>26</v>
      </c>
      <c r="P611">
        <v>1</v>
      </c>
      <c r="Q611">
        <v>0</v>
      </c>
      <c r="R611">
        <v>0</v>
      </c>
      <c r="S611">
        <v>1</v>
      </c>
      <c r="T611">
        <v>1.4846999999999999</v>
      </c>
      <c r="U611">
        <v>0.16669999999999999</v>
      </c>
      <c r="V611">
        <v>0</v>
      </c>
      <c r="W611">
        <f>E611/100</f>
        <v>0.06</v>
      </c>
      <c r="X611">
        <f>F611/1000000</f>
        <v>0.67354999999999998</v>
      </c>
      <c r="Y611">
        <f>IF(D611="C",1,0)</f>
        <v>0</v>
      </c>
      <c r="Z611">
        <f>IF(G611="C",1,0)</f>
        <v>0</v>
      </c>
      <c r="AA611">
        <f>IF(G611="S",1,0)</f>
        <v>1</v>
      </c>
      <c r="AB611">
        <f>IF(G611="U",1,0)</f>
        <v>0</v>
      </c>
      <c r="AC611" s="5">
        <f>IF(AND(ISNUMBER(H611),NOT(ISNUMBER(P611))),1,0)</f>
        <v>0</v>
      </c>
      <c r="AD611" s="5">
        <f>IF(AND(ISNUMBER(H611),ISNUMBER(P611)),1,0)</f>
        <v>0</v>
      </c>
      <c r="AE611" s="5">
        <f>W611</f>
        <v>0.06</v>
      </c>
      <c r="AF611" s="5">
        <f>X611</f>
        <v>0.67354999999999998</v>
      </c>
      <c r="AG611" s="5">
        <f>Y611</f>
        <v>0</v>
      </c>
      <c r="AH611" s="5">
        <f>IF(OR(G611="C",G611="S",G611="U"),1,0)</f>
        <v>1</v>
      </c>
      <c r="AI611" s="5">
        <f>IF(ISNUMBER(H611),1,0)</f>
        <v>0</v>
      </c>
      <c r="AJ611" s="5">
        <f>IF(ISNUMBER(P611),1,0)</f>
        <v>1</v>
      </c>
      <c r="AK611" s="5" t="str">
        <f>IF(AI611=1,IF(J611&gt;0,1,0),"")</f>
        <v/>
      </c>
      <c r="AL611" s="5">
        <f>IF(AJ611=1,IF(OR(Q611&gt;0,R611&gt;0),1,0),"")</f>
        <v>0</v>
      </c>
    </row>
    <row r="612" spans="1:38">
      <c r="A612">
        <v>700465</v>
      </c>
      <c r="B612" t="s">
        <v>774</v>
      </c>
      <c r="C612" t="s">
        <v>23</v>
      </c>
      <c r="D612" t="s">
        <v>24</v>
      </c>
      <c r="E612">
        <v>1</v>
      </c>
      <c r="F612">
        <v>8500</v>
      </c>
      <c r="H612" t="s">
        <v>26</v>
      </c>
      <c r="I612" t="s">
        <v>26</v>
      </c>
      <c r="J612" t="s">
        <v>26</v>
      </c>
      <c r="K612" t="s">
        <v>26</v>
      </c>
      <c r="L612" t="s">
        <v>26</v>
      </c>
      <c r="M612" t="s">
        <v>26</v>
      </c>
      <c r="N612" t="s">
        <v>26</v>
      </c>
      <c r="O612" t="s">
        <v>26</v>
      </c>
      <c r="P612">
        <v>1</v>
      </c>
      <c r="Q612">
        <v>0</v>
      </c>
      <c r="R612">
        <v>1</v>
      </c>
      <c r="S612">
        <v>1</v>
      </c>
      <c r="T612">
        <v>117.64709999999999</v>
      </c>
      <c r="U612">
        <v>1</v>
      </c>
      <c r="V612">
        <v>1</v>
      </c>
      <c r="W612">
        <f>E612/100</f>
        <v>0.01</v>
      </c>
      <c r="X612">
        <f>F612/1000000</f>
        <v>8.5000000000000006E-3</v>
      </c>
      <c r="Y612">
        <f>IF(D612="C",1,0)</f>
        <v>0</v>
      </c>
      <c r="Z612">
        <f>IF(G612="C",1,0)</f>
        <v>0</v>
      </c>
      <c r="AA612">
        <f>IF(G612="S",1,0)</f>
        <v>0</v>
      </c>
      <c r="AB612">
        <f>IF(G612="U",1,0)</f>
        <v>0</v>
      </c>
      <c r="AC612" s="5">
        <f>IF(AND(ISNUMBER(H612),NOT(ISNUMBER(P612))),1,0)</f>
        <v>0</v>
      </c>
      <c r="AD612" s="5">
        <f>IF(AND(ISNUMBER(H612),ISNUMBER(P612)),1,0)</f>
        <v>0</v>
      </c>
      <c r="AE612" s="5">
        <f>W612</f>
        <v>0.01</v>
      </c>
      <c r="AF612" s="5">
        <f>X612</f>
        <v>8.5000000000000006E-3</v>
      </c>
      <c r="AG612" s="5">
        <f>Y612</f>
        <v>0</v>
      </c>
      <c r="AH612" s="5">
        <f>IF(OR(G612="C",G612="S",G612="U"),1,0)</f>
        <v>0</v>
      </c>
      <c r="AI612" s="5">
        <f>IF(ISNUMBER(H612),1,0)</f>
        <v>0</v>
      </c>
      <c r="AJ612" s="5">
        <f>IF(ISNUMBER(P612),1,0)</f>
        <v>1</v>
      </c>
      <c r="AK612" s="5" t="str">
        <f>IF(AI612=1,IF(J612&gt;0,1,0),"")</f>
        <v/>
      </c>
      <c r="AL612" s="5">
        <f>IF(AJ612=1,IF(OR(Q612&gt;0,R612&gt;0),1,0),"")</f>
        <v>1</v>
      </c>
    </row>
    <row r="613" spans="1:38">
      <c r="A613">
        <v>706321</v>
      </c>
      <c r="B613" t="s">
        <v>775</v>
      </c>
      <c r="C613" t="s">
        <v>82</v>
      </c>
      <c r="D613" t="s">
        <v>24</v>
      </c>
      <c r="E613">
        <v>2</v>
      </c>
      <c r="F613">
        <v>35000</v>
      </c>
      <c r="H613" t="s">
        <v>26</v>
      </c>
      <c r="I613" t="s">
        <v>26</v>
      </c>
      <c r="J613" t="s">
        <v>26</v>
      </c>
      <c r="K613" t="s">
        <v>26</v>
      </c>
      <c r="L613" t="s">
        <v>26</v>
      </c>
      <c r="M613" t="s">
        <v>26</v>
      </c>
      <c r="N613" t="s">
        <v>26</v>
      </c>
      <c r="O613" t="s">
        <v>26</v>
      </c>
      <c r="P613">
        <v>1</v>
      </c>
      <c r="Q613">
        <v>0</v>
      </c>
      <c r="R613">
        <v>0</v>
      </c>
      <c r="S613">
        <v>1</v>
      </c>
      <c r="T613">
        <v>28.571400000000001</v>
      </c>
      <c r="U613">
        <v>0.5</v>
      </c>
      <c r="V613">
        <v>0</v>
      </c>
      <c r="W613">
        <f>E613/100</f>
        <v>0.02</v>
      </c>
      <c r="X613">
        <f>F613/1000000</f>
        <v>3.5000000000000003E-2</v>
      </c>
      <c r="Y613">
        <f>IF(D613="C",1,0)</f>
        <v>0</v>
      </c>
      <c r="Z613">
        <f>IF(G613="C",1,0)</f>
        <v>0</v>
      </c>
      <c r="AA613">
        <f>IF(G613="S",1,0)</f>
        <v>0</v>
      </c>
      <c r="AB613">
        <f>IF(G613="U",1,0)</f>
        <v>0</v>
      </c>
      <c r="AC613" s="5">
        <f>IF(AND(ISNUMBER(H613),NOT(ISNUMBER(P613))),1,0)</f>
        <v>0</v>
      </c>
      <c r="AD613" s="5">
        <f>IF(AND(ISNUMBER(H613),ISNUMBER(P613)),1,0)</f>
        <v>0</v>
      </c>
      <c r="AE613" s="5">
        <f>W613</f>
        <v>0.02</v>
      </c>
      <c r="AF613" s="5">
        <f>X613</f>
        <v>3.5000000000000003E-2</v>
      </c>
      <c r="AG613" s="5">
        <f>Y613</f>
        <v>0</v>
      </c>
      <c r="AH613" s="5">
        <f>IF(OR(G613="C",G613="S",G613="U"),1,0)</f>
        <v>0</v>
      </c>
      <c r="AI613" s="5">
        <f>IF(ISNUMBER(H613),1,0)</f>
        <v>0</v>
      </c>
      <c r="AJ613" s="5">
        <f>IF(ISNUMBER(P613),1,0)</f>
        <v>1</v>
      </c>
      <c r="AK613" s="5" t="str">
        <f>IF(AI613=1,IF(J613&gt;0,1,0),"")</f>
        <v/>
      </c>
      <c r="AL613" s="5">
        <f>IF(AJ613=1,IF(OR(Q613&gt;0,R613&gt;0),1,0),"")</f>
        <v>0</v>
      </c>
    </row>
    <row r="614" spans="1:38">
      <c r="A614">
        <v>707290</v>
      </c>
      <c r="B614" t="s">
        <v>776</v>
      </c>
      <c r="C614" t="s">
        <v>82</v>
      </c>
      <c r="D614" t="s">
        <v>24</v>
      </c>
      <c r="E614">
        <v>8</v>
      </c>
      <c r="F614">
        <v>875000</v>
      </c>
      <c r="G614" t="s">
        <v>33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>
        <v>1</v>
      </c>
      <c r="Q614">
        <v>0</v>
      </c>
      <c r="R614">
        <v>1</v>
      </c>
      <c r="S614">
        <v>1</v>
      </c>
      <c r="T614">
        <v>1.1429</v>
      </c>
      <c r="U614">
        <v>0.125</v>
      </c>
      <c r="V614">
        <v>1</v>
      </c>
      <c r="W614">
        <f>E614/100</f>
        <v>0.08</v>
      </c>
      <c r="X614">
        <f>F614/1000000</f>
        <v>0.875</v>
      </c>
      <c r="Y614">
        <f>IF(D614="C",1,0)</f>
        <v>0</v>
      </c>
      <c r="Z614">
        <f>IF(G614="C",1,0)</f>
        <v>1</v>
      </c>
      <c r="AA614">
        <f>IF(G614="S",1,0)</f>
        <v>0</v>
      </c>
      <c r="AB614">
        <f>IF(G614="U",1,0)</f>
        <v>0</v>
      </c>
      <c r="AC614" s="5">
        <f>IF(AND(ISNUMBER(H614),NOT(ISNUMBER(P614))),1,0)</f>
        <v>0</v>
      </c>
      <c r="AD614" s="5">
        <f>IF(AND(ISNUMBER(H614),ISNUMBER(P614)),1,0)</f>
        <v>0</v>
      </c>
      <c r="AE614" s="5">
        <f>W614</f>
        <v>0.08</v>
      </c>
      <c r="AF614" s="5">
        <f>X614</f>
        <v>0.875</v>
      </c>
      <c r="AG614" s="5">
        <f>Y614</f>
        <v>0</v>
      </c>
      <c r="AH614" s="5">
        <f>IF(OR(G614="C",G614="S",G614="U"),1,0)</f>
        <v>1</v>
      </c>
      <c r="AI614" s="5">
        <f>IF(ISNUMBER(H614),1,0)</f>
        <v>0</v>
      </c>
      <c r="AJ614" s="5">
        <f>IF(ISNUMBER(P614),1,0)</f>
        <v>1</v>
      </c>
      <c r="AK614" s="5" t="str">
        <f>IF(AI614=1,IF(J614&gt;0,1,0),"")</f>
        <v/>
      </c>
      <c r="AL614" s="5">
        <f>IF(AJ614=1,IF(OR(Q614&gt;0,R614&gt;0),1,0),"")</f>
        <v>1</v>
      </c>
    </row>
    <row r="615" spans="1:38">
      <c r="A615">
        <v>710154</v>
      </c>
      <c r="B615" t="s">
        <v>777</v>
      </c>
      <c r="C615" t="s">
        <v>82</v>
      </c>
      <c r="D615" t="s">
        <v>24</v>
      </c>
      <c r="E615">
        <v>2</v>
      </c>
      <c r="F615">
        <v>20000</v>
      </c>
      <c r="H615" t="s">
        <v>26</v>
      </c>
      <c r="I615" t="s">
        <v>26</v>
      </c>
      <c r="J615" t="s">
        <v>26</v>
      </c>
      <c r="K615" t="s">
        <v>26</v>
      </c>
      <c r="L615" t="s">
        <v>26</v>
      </c>
      <c r="M615" t="s">
        <v>26</v>
      </c>
      <c r="N615" t="s">
        <v>26</v>
      </c>
      <c r="O615" t="s">
        <v>26</v>
      </c>
      <c r="P615">
        <v>1</v>
      </c>
      <c r="Q615">
        <v>0</v>
      </c>
      <c r="R615">
        <v>1</v>
      </c>
      <c r="S615">
        <v>0</v>
      </c>
      <c r="T615">
        <v>50</v>
      </c>
      <c r="U615">
        <v>0.5</v>
      </c>
      <c r="V615">
        <v>1</v>
      </c>
      <c r="W615">
        <f>E615/100</f>
        <v>0.02</v>
      </c>
      <c r="X615">
        <f>F615/1000000</f>
        <v>0.02</v>
      </c>
      <c r="Y615">
        <f>IF(D615="C",1,0)</f>
        <v>0</v>
      </c>
      <c r="Z615">
        <f>IF(G615="C",1,0)</f>
        <v>0</v>
      </c>
      <c r="AA615">
        <f>IF(G615="S",1,0)</f>
        <v>0</v>
      </c>
      <c r="AB615">
        <f>IF(G615="U",1,0)</f>
        <v>0</v>
      </c>
      <c r="AC615" s="5">
        <f>IF(AND(ISNUMBER(H615),NOT(ISNUMBER(P615))),1,0)</f>
        <v>0</v>
      </c>
      <c r="AD615" s="5">
        <f>IF(AND(ISNUMBER(H615),ISNUMBER(P615)),1,0)</f>
        <v>0</v>
      </c>
      <c r="AE615" s="5">
        <f>W615</f>
        <v>0.02</v>
      </c>
      <c r="AF615" s="5">
        <f>X615</f>
        <v>0.02</v>
      </c>
      <c r="AG615" s="5">
        <f>Y615</f>
        <v>0</v>
      </c>
      <c r="AH615" s="5">
        <f>IF(OR(G615="C",G615="S",G615="U"),1,0)</f>
        <v>0</v>
      </c>
      <c r="AI615" s="5">
        <f>IF(ISNUMBER(H615),1,0)</f>
        <v>0</v>
      </c>
      <c r="AJ615" s="5">
        <f>IF(ISNUMBER(P615),1,0)</f>
        <v>1</v>
      </c>
      <c r="AK615" s="5" t="str">
        <f>IF(AI615=1,IF(J615&gt;0,1,0),"")</f>
        <v/>
      </c>
      <c r="AL615" s="5">
        <f>IF(AJ615=1,IF(OR(Q615&gt;0,R615&gt;0),1,0),"")</f>
        <v>1</v>
      </c>
    </row>
    <row r="616" spans="1:38">
      <c r="A616">
        <v>711218</v>
      </c>
      <c r="B616" t="s">
        <v>778</v>
      </c>
      <c r="C616" t="s">
        <v>37</v>
      </c>
      <c r="D616" t="s">
        <v>24</v>
      </c>
      <c r="E616">
        <v>405</v>
      </c>
      <c r="F616">
        <v>61625</v>
      </c>
      <c r="H616" t="s">
        <v>26</v>
      </c>
      <c r="I616" t="s">
        <v>26</v>
      </c>
      <c r="J616" t="s">
        <v>26</v>
      </c>
      <c r="K616" t="s">
        <v>26</v>
      </c>
      <c r="L616" t="s">
        <v>26</v>
      </c>
      <c r="M616" t="s">
        <v>26</v>
      </c>
      <c r="N616" t="s">
        <v>26</v>
      </c>
      <c r="O616" t="s">
        <v>26</v>
      </c>
      <c r="P616">
        <v>1</v>
      </c>
      <c r="Q616">
        <v>0</v>
      </c>
      <c r="R616">
        <v>0</v>
      </c>
      <c r="S616">
        <v>1</v>
      </c>
      <c r="T616">
        <v>16.2272</v>
      </c>
      <c r="U616">
        <v>2.5000000000000001E-3</v>
      </c>
      <c r="V616">
        <v>0</v>
      </c>
      <c r="W616">
        <f>E616/100</f>
        <v>4.05</v>
      </c>
      <c r="X616">
        <f>F616/1000000</f>
        <v>6.1624999999999999E-2</v>
      </c>
      <c r="Y616">
        <f>IF(D616="C",1,0)</f>
        <v>0</v>
      </c>
      <c r="Z616">
        <f>IF(G616="C",1,0)</f>
        <v>0</v>
      </c>
      <c r="AA616">
        <f>IF(G616="S",1,0)</f>
        <v>0</v>
      </c>
      <c r="AB616">
        <f>IF(G616="U",1,0)</f>
        <v>0</v>
      </c>
      <c r="AC616" s="5">
        <f>IF(AND(ISNUMBER(H616),NOT(ISNUMBER(P616))),1,0)</f>
        <v>0</v>
      </c>
      <c r="AD616" s="5">
        <f>IF(AND(ISNUMBER(H616),ISNUMBER(P616)),1,0)</f>
        <v>0</v>
      </c>
      <c r="AE616" s="5">
        <f>W616</f>
        <v>4.05</v>
      </c>
      <c r="AF616" s="5">
        <f>X616</f>
        <v>6.1624999999999999E-2</v>
      </c>
      <c r="AG616" s="5">
        <f>Y616</f>
        <v>0</v>
      </c>
      <c r="AH616" s="5">
        <f>IF(OR(G616="C",G616="S",G616="U"),1,0)</f>
        <v>0</v>
      </c>
      <c r="AI616" s="5">
        <f>IF(ISNUMBER(H616),1,0)</f>
        <v>0</v>
      </c>
      <c r="AJ616" s="5">
        <f>IF(ISNUMBER(P616),1,0)</f>
        <v>1</v>
      </c>
      <c r="AK616" s="5" t="str">
        <f>IF(AI616=1,IF(J616&gt;0,1,0),"")</f>
        <v/>
      </c>
      <c r="AL616" s="5">
        <f>IF(AJ616=1,IF(OR(Q616&gt;0,R616&gt;0),1,0),"")</f>
        <v>0</v>
      </c>
    </row>
    <row r="617" spans="1:38">
      <c r="A617">
        <v>714026</v>
      </c>
      <c r="B617" t="s">
        <v>779</v>
      </c>
      <c r="C617" t="s">
        <v>23</v>
      </c>
      <c r="D617" t="s">
        <v>24</v>
      </c>
      <c r="E617">
        <v>12</v>
      </c>
      <c r="F617">
        <v>250000</v>
      </c>
      <c r="H617" t="s">
        <v>26</v>
      </c>
      <c r="I617" t="s">
        <v>26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>
        <v>1</v>
      </c>
      <c r="Q617">
        <v>0</v>
      </c>
      <c r="R617">
        <v>1</v>
      </c>
      <c r="S617">
        <v>1</v>
      </c>
      <c r="T617">
        <v>4</v>
      </c>
      <c r="U617">
        <v>8.3299999999999999E-2</v>
      </c>
      <c r="V617">
        <v>1</v>
      </c>
      <c r="W617">
        <f>E617/100</f>
        <v>0.12</v>
      </c>
      <c r="X617">
        <f>F617/1000000</f>
        <v>0.25</v>
      </c>
      <c r="Y617">
        <f>IF(D617="C",1,0)</f>
        <v>0</v>
      </c>
      <c r="Z617">
        <f>IF(G617="C",1,0)</f>
        <v>0</v>
      </c>
      <c r="AA617">
        <f>IF(G617="S",1,0)</f>
        <v>0</v>
      </c>
      <c r="AB617">
        <f>IF(G617="U",1,0)</f>
        <v>0</v>
      </c>
      <c r="AC617" s="5">
        <f>IF(AND(ISNUMBER(H617),NOT(ISNUMBER(P617))),1,0)</f>
        <v>0</v>
      </c>
      <c r="AD617" s="5">
        <f>IF(AND(ISNUMBER(H617),ISNUMBER(P617)),1,0)</f>
        <v>0</v>
      </c>
      <c r="AE617" s="5">
        <f>W617</f>
        <v>0.12</v>
      </c>
      <c r="AF617" s="5">
        <f>X617</f>
        <v>0.25</v>
      </c>
      <c r="AG617" s="5">
        <f>Y617</f>
        <v>0</v>
      </c>
      <c r="AH617" s="5">
        <f>IF(OR(G617="C",G617="S",G617="U"),1,0)</f>
        <v>0</v>
      </c>
      <c r="AI617" s="5">
        <f>IF(ISNUMBER(H617),1,0)</f>
        <v>0</v>
      </c>
      <c r="AJ617" s="5">
        <f>IF(ISNUMBER(P617),1,0)</f>
        <v>1</v>
      </c>
      <c r="AK617" s="5" t="str">
        <f>IF(AI617=1,IF(J617&gt;0,1,0),"")</f>
        <v/>
      </c>
      <c r="AL617" s="5">
        <f>IF(AJ617=1,IF(OR(Q617&gt;0,R617&gt;0),1,0),"")</f>
        <v>1</v>
      </c>
    </row>
    <row r="618" spans="1:38">
      <c r="A618">
        <v>717687</v>
      </c>
      <c r="B618" t="s">
        <v>780</v>
      </c>
      <c r="C618" t="s">
        <v>105</v>
      </c>
      <c r="D618" t="s">
        <v>24</v>
      </c>
      <c r="E618">
        <v>60</v>
      </c>
      <c r="F618">
        <v>4510054</v>
      </c>
      <c r="G618" t="s">
        <v>25</v>
      </c>
      <c r="H618" t="s">
        <v>26</v>
      </c>
      <c r="I618" t="s">
        <v>26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>
        <v>1</v>
      </c>
      <c r="Q618">
        <v>1</v>
      </c>
      <c r="R618">
        <v>0</v>
      </c>
      <c r="S618">
        <v>1</v>
      </c>
      <c r="T618">
        <v>0.22170000000000001</v>
      </c>
      <c r="U618">
        <v>1.67E-2</v>
      </c>
      <c r="V618">
        <v>1</v>
      </c>
      <c r="W618">
        <f>E618/100</f>
        <v>0.6</v>
      </c>
      <c r="X618">
        <f>F618/1000000</f>
        <v>4.5100540000000002</v>
      </c>
      <c r="Y618">
        <f>IF(D618="C",1,0)</f>
        <v>0</v>
      </c>
      <c r="Z618">
        <f>IF(G618="C",1,0)</f>
        <v>0</v>
      </c>
      <c r="AA618">
        <f>IF(G618="S",1,0)</f>
        <v>1</v>
      </c>
      <c r="AB618">
        <f>IF(G618="U",1,0)</f>
        <v>0</v>
      </c>
      <c r="AC618" s="5">
        <f>IF(AND(ISNUMBER(H618),NOT(ISNUMBER(P618))),1,0)</f>
        <v>0</v>
      </c>
      <c r="AD618" s="5">
        <f>IF(AND(ISNUMBER(H618),ISNUMBER(P618)),1,0)</f>
        <v>0</v>
      </c>
      <c r="AE618" s="5">
        <f>W618</f>
        <v>0.6</v>
      </c>
      <c r="AF618" s="5">
        <f>X618</f>
        <v>4.5100540000000002</v>
      </c>
      <c r="AG618" s="5">
        <f>Y618</f>
        <v>0</v>
      </c>
      <c r="AH618" s="5">
        <f>IF(OR(G618="C",G618="S",G618="U"),1,0)</f>
        <v>1</v>
      </c>
      <c r="AI618" s="5">
        <f>IF(ISNUMBER(H618),1,0)</f>
        <v>0</v>
      </c>
      <c r="AJ618" s="5">
        <f>IF(ISNUMBER(P618),1,0)</f>
        <v>1</v>
      </c>
      <c r="AK618" s="5" t="str">
        <f>IF(AI618=1,IF(J618&gt;0,1,0),"")</f>
        <v/>
      </c>
      <c r="AL618" s="5">
        <f>IF(AJ618=1,IF(OR(Q618&gt;0,R618&gt;0),1,0),"")</f>
        <v>1</v>
      </c>
    </row>
    <row r="619" spans="1:38">
      <c r="A619">
        <v>728021</v>
      </c>
      <c r="B619" t="s">
        <v>782</v>
      </c>
      <c r="C619" t="s">
        <v>84</v>
      </c>
      <c r="D619" t="s">
        <v>33</v>
      </c>
      <c r="E619">
        <v>7</v>
      </c>
      <c r="F619">
        <v>60000</v>
      </c>
      <c r="H619" t="s">
        <v>26</v>
      </c>
      <c r="I619" t="s">
        <v>26</v>
      </c>
      <c r="J619" t="s">
        <v>26</v>
      </c>
      <c r="K619" t="s">
        <v>26</v>
      </c>
      <c r="L619" t="s">
        <v>26</v>
      </c>
      <c r="M619" t="s">
        <v>26</v>
      </c>
      <c r="N619" t="s">
        <v>26</v>
      </c>
      <c r="O619" t="s">
        <v>26</v>
      </c>
      <c r="P619">
        <v>1</v>
      </c>
      <c r="Q619">
        <v>0</v>
      </c>
      <c r="R619">
        <v>1</v>
      </c>
      <c r="S619">
        <v>1</v>
      </c>
      <c r="T619">
        <v>16.666699999999999</v>
      </c>
      <c r="U619">
        <v>0.1429</v>
      </c>
      <c r="V619">
        <v>1</v>
      </c>
      <c r="W619">
        <f>E619/100</f>
        <v>7.0000000000000007E-2</v>
      </c>
      <c r="X619">
        <f>F619/1000000</f>
        <v>0.06</v>
      </c>
      <c r="Y619">
        <f>IF(D619="C",1,0)</f>
        <v>1</v>
      </c>
      <c r="Z619">
        <f>IF(G619="C",1,0)</f>
        <v>0</v>
      </c>
      <c r="AA619">
        <f>IF(G619="S",1,0)</f>
        <v>0</v>
      </c>
      <c r="AB619">
        <f>IF(G619="U",1,0)</f>
        <v>0</v>
      </c>
      <c r="AC619" s="5">
        <f>IF(AND(ISNUMBER(H619),NOT(ISNUMBER(P619))),1,0)</f>
        <v>0</v>
      </c>
      <c r="AD619" s="5">
        <f>IF(AND(ISNUMBER(H619),ISNUMBER(P619)),1,0)</f>
        <v>0</v>
      </c>
      <c r="AE619" s="5">
        <f>W619</f>
        <v>7.0000000000000007E-2</v>
      </c>
      <c r="AF619" s="5">
        <f>X619</f>
        <v>0.06</v>
      </c>
      <c r="AG619" s="5">
        <f>Y619</f>
        <v>1</v>
      </c>
      <c r="AH619" s="5">
        <f>IF(OR(G619="C",G619="S",G619="U"),1,0)</f>
        <v>0</v>
      </c>
      <c r="AI619" s="5">
        <f>IF(ISNUMBER(H619),1,0)</f>
        <v>0</v>
      </c>
      <c r="AJ619" s="5">
        <f>IF(ISNUMBER(P619),1,0)</f>
        <v>1</v>
      </c>
      <c r="AK619" s="5" t="str">
        <f>IF(AI619=1,IF(J619&gt;0,1,0),"")</f>
        <v/>
      </c>
      <c r="AL619" s="5">
        <f>IF(AJ619=1,IF(OR(Q619&gt;0,R619&gt;0),1,0),"")</f>
        <v>1</v>
      </c>
    </row>
    <row r="620" spans="1:38">
      <c r="A620">
        <v>729023</v>
      </c>
      <c r="B620" t="s">
        <v>783</v>
      </c>
      <c r="C620" t="s">
        <v>338</v>
      </c>
      <c r="D620" t="s">
        <v>24</v>
      </c>
      <c r="E620">
        <v>16</v>
      </c>
      <c r="F620">
        <v>342685</v>
      </c>
      <c r="G620" t="s">
        <v>33</v>
      </c>
      <c r="H620" t="s">
        <v>26</v>
      </c>
      <c r="I620" t="s">
        <v>26</v>
      </c>
      <c r="J620" t="s">
        <v>26</v>
      </c>
      <c r="K620" t="s">
        <v>26</v>
      </c>
      <c r="L620" t="s">
        <v>26</v>
      </c>
      <c r="M620" t="s">
        <v>26</v>
      </c>
      <c r="N620" t="s">
        <v>26</v>
      </c>
      <c r="O620" t="s">
        <v>26</v>
      </c>
      <c r="P620">
        <v>1</v>
      </c>
      <c r="Q620">
        <v>0</v>
      </c>
      <c r="R620">
        <v>0</v>
      </c>
      <c r="S620">
        <v>1</v>
      </c>
      <c r="T620">
        <v>2.9180999999999999</v>
      </c>
      <c r="U620">
        <v>6.25E-2</v>
      </c>
      <c r="V620">
        <v>0</v>
      </c>
      <c r="W620">
        <f>E620/100</f>
        <v>0.16</v>
      </c>
      <c r="X620">
        <f>F620/1000000</f>
        <v>0.34268500000000002</v>
      </c>
      <c r="Y620">
        <f>IF(D620="C",1,0)</f>
        <v>0</v>
      </c>
      <c r="Z620">
        <f>IF(G620="C",1,0)</f>
        <v>1</v>
      </c>
      <c r="AA620">
        <f>IF(G620="S",1,0)</f>
        <v>0</v>
      </c>
      <c r="AB620">
        <f>IF(G620="U",1,0)</f>
        <v>0</v>
      </c>
      <c r="AC620" s="5">
        <f>IF(AND(ISNUMBER(H620),NOT(ISNUMBER(P620))),1,0)</f>
        <v>0</v>
      </c>
      <c r="AD620" s="5">
        <f>IF(AND(ISNUMBER(H620),ISNUMBER(P620)),1,0)</f>
        <v>0</v>
      </c>
      <c r="AE620" s="5">
        <f>W620</f>
        <v>0.16</v>
      </c>
      <c r="AF620" s="5">
        <f>X620</f>
        <v>0.34268500000000002</v>
      </c>
      <c r="AG620" s="5">
        <f>Y620</f>
        <v>0</v>
      </c>
      <c r="AH620" s="5">
        <f>IF(OR(G620="C",G620="S",G620="U"),1,0)</f>
        <v>1</v>
      </c>
      <c r="AI620" s="5">
        <f>IF(ISNUMBER(H620),1,0)</f>
        <v>0</v>
      </c>
      <c r="AJ620" s="5">
        <f>IF(ISNUMBER(P620),1,0)</f>
        <v>1</v>
      </c>
      <c r="AK620" s="5" t="str">
        <f>IF(AI620=1,IF(J620&gt;0,1,0),"")</f>
        <v/>
      </c>
      <c r="AL620" s="5">
        <f>IF(AJ620=1,IF(OR(Q620&gt;0,R620&gt;0),1,0),"")</f>
        <v>0</v>
      </c>
    </row>
    <row r="621" spans="1:38">
      <c r="A621">
        <v>738710</v>
      </c>
      <c r="B621" t="s">
        <v>785</v>
      </c>
      <c r="C621" t="s">
        <v>37</v>
      </c>
      <c r="D621" t="s">
        <v>24</v>
      </c>
      <c r="E621">
        <v>4</v>
      </c>
      <c r="F621">
        <v>350000</v>
      </c>
      <c r="H621" t="s">
        <v>26</v>
      </c>
      <c r="I621" t="s">
        <v>26</v>
      </c>
      <c r="J621" t="s">
        <v>26</v>
      </c>
      <c r="K621" t="s">
        <v>26</v>
      </c>
      <c r="L621" t="s">
        <v>26</v>
      </c>
      <c r="M621" t="s">
        <v>26</v>
      </c>
      <c r="N621" t="s">
        <v>26</v>
      </c>
      <c r="O621" t="s">
        <v>26</v>
      </c>
      <c r="P621">
        <v>1</v>
      </c>
      <c r="Q621">
        <v>0</v>
      </c>
      <c r="R621">
        <v>1</v>
      </c>
      <c r="S621">
        <v>1</v>
      </c>
      <c r="T621">
        <v>2.8571</v>
      </c>
      <c r="U621">
        <v>0.25</v>
      </c>
      <c r="V621">
        <v>1</v>
      </c>
      <c r="W621">
        <f>E621/100</f>
        <v>0.04</v>
      </c>
      <c r="X621">
        <f>F621/1000000</f>
        <v>0.35</v>
      </c>
      <c r="Y621">
        <f>IF(D621="C",1,0)</f>
        <v>0</v>
      </c>
      <c r="Z621">
        <f>IF(G621="C",1,0)</f>
        <v>0</v>
      </c>
      <c r="AA621">
        <f>IF(G621="S",1,0)</f>
        <v>0</v>
      </c>
      <c r="AB621">
        <f>IF(G621="U",1,0)</f>
        <v>0</v>
      </c>
      <c r="AC621" s="5">
        <f>IF(AND(ISNUMBER(H621),NOT(ISNUMBER(P621))),1,0)</f>
        <v>0</v>
      </c>
      <c r="AD621" s="5">
        <f>IF(AND(ISNUMBER(H621),ISNUMBER(P621)),1,0)</f>
        <v>0</v>
      </c>
      <c r="AE621" s="5">
        <f>W621</f>
        <v>0.04</v>
      </c>
      <c r="AF621" s="5">
        <f>X621</f>
        <v>0.35</v>
      </c>
      <c r="AG621" s="5">
        <f>Y621</f>
        <v>0</v>
      </c>
      <c r="AH621" s="5">
        <f>IF(OR(G621="C",G621="S",G621="U"),1,0)</f>
        <v>0</v>
      </c>
      <c r="AI621" s="5">
        <f>IF(ISNUMBER(H621),1,0)</f>
        <v>0</v>
      </c>
      <c r="AJ621" s="5">
        <f>IF(ISNUMBER(P621),1,0)</f>
        <v>1</v>
      </c>
      <c r="AK621" s="5" t="str">
        <f>IF(AI621=1,IF(J621&gt;0,1,0),"")</f>
        <v/>
      </c>
      <c r="AL621" s="5">
        <f>IF(AJ621=1,IF(OR(Q621&gt;0,R621&gt;0),1,0),"")</f>
        <v>1</v>
      </c>
    </row>
    <row r="622" spans="1:38">
      <c r="A622">
        <v>743026</v>
      </c>
      <c r="B622" t="s">
        <v>786</v>
      </c>
      <c r="C622" t="s">
        <v>787</v>
      </c>
      <c r="D622" t="s">
        <v>24</v>
      </c>
      <c r="E622">
        <v>5</v>
      </c>
      <c r="F622">
        <v>416940</v>
      </c>
      <c r="G622" t="s">
        <v>25</v>
      </c>
      <c r="H622" t="s">
        <v>26</v>
      </c>
      <c r="I622" t="s">
        <v>26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26</v>
      </c>
      <c r="P622">
        <v>1</v>
      </c>
      <c r="Q622">
        <v>0</v>
      </c>
      <c r="R622">
        <v>0</v>
      </c>
      <c r="S622">
        <v>1</v>
      </c>
      <c r="T622">
        <v>2.3984000000000001</v>
      </c>
      <c r="U622">
        <v>0.2</v>
      </c>
      <c r="V622">
        <v>0</v>
      </c>
      <c r="W622">
        <f>E622/100</f>
        <v>0.05</v>
      </c>
      <c r="X622">
        <f>F622/1000000</f>
        <v>0.41693999999999998</v>
      </c>
      <c r="Y622">
        <f>IF(D622="C",1,0)</f>
        <v>0</v>
      </c>
      <c r="Z622">
        <f>IF(G622="C",1,0)</f>
        <v>0</v>
      </c>
      <c r="AA622">
        <f>IF(G622="S",1,0)</f>
        <v>1</v>
      </c>
      <c r="AB622">
        <f>IF(G622="U",1,0)</f>
        <v>0</v>
      </c>
      <c r="AC622" s="5">
        <f>IF(AND(ISNUMBER(H622),NOT(ISNUMBER(P622))),1,0)</f>
        <v>0</v>
      </c>
      <c r="AD622" s="5">
        <f>IF(AND(ISNUMBER(H622),ISNUMBER(P622)),1,0)</f>
        <v>0</v>
      </c>
      <c r="AE622" s="5">
        <f>W622</f>
        <v>0.05</v>
      </c>
      <c r="AF622" s="5">
        <f>X622</f>
        <v>0.41693999999999998</v>
      </c>
      <c r="AG622" s="5">
        <f>Y622</f>
        <v>0</v>
      </c>
      <c r="AH622" s="5">
        <f>IF(OR(G622="C",G622="S",G622="U"),1,0)</f>
        <v>1</v>
      </c>
      <c r="AI622" s="5">
        <f>IF(ISNUMBER(H622),1,0)</f>
        <v>0</v>
      </c>
      <c r="AJ622" s="5">
        <f>IF(ISNUMBER(P622),1,0)</f>
        <v>1</v>
      </c>
      <c r="AK622" s="5" t="str">
        <f>IF(AI622=1,IF(J622&gt;0,1,0),"")</f>
        <v/>
      </c>
      <c r="AL622" s="5">
        <f>IF(AJ622=1,IF(OR(Q622&gt;0,R622&gt;0),1,0),"")</f>
        <v>0</v>
      </c>
    </row>
    <row r="623" spans="1:38">
      <c r="A623">
        <v>744007</v>
      </c>
      <c r="B623" t="s">
        <v>788</v>
      </c>
      <c r="C623" t="s">
        <v>37</v>
      </c>
      <c r="D623" t="s">
        <v>24</v>
      </c>
      <c r="E623">
        <v>23</v>
      </c>
      <c r="F623">
        <v>270000</v>
      </c>
      <c r="H623" t="s">
        <v>26</v>
      </c>
      <c r="I623" t="s">
        <v>26</v>
      </c>
      <c r="J623" t="s">
        <v>26</v>
      </c>
      <c r="K623" t="s">
        <v>26</v>
      </c>
      <c r="L623" t="s">
        <v>26</v>
      </c>
      <c r="M623" t="s">
        <v>26</v>
      </c>
      <c r="N623" t="s">
        <v>26</v>
      </c>
      <c r="O623" t="s">
        <v>26</v>
      </c>
      <c r="P623">
        <v>1</v>
      </c>
      <c r="Q623">
        <v>0</v>
      </c>
      <c r="R623">
        <v>0</v>
      </c>
      <c r="S623">
        <v>1</v>
      </c>
      <c r="T623">
        <v>3.7037</v>
      </c>
      <c r="U623">
        <v>4.3499999999999997E-2</v>
      </c>
      <c r="V623">
        <v>0</v>
      </c>
      <c r="W623">
        <f>E623/100</f>
        <v>0.23</v>
      </c>
      <c r="X623">
        <f>F623/1000000</f>
        <v>0.27</v>
      </c>
      <c r="Y623">
        <f>IF(D623="C",1,0)</f>
        <v>0</v>
      </c>
      <c r="Z623">
        <f>IF(G623="C",1,0)</f>
        <v>0</v>
      </c>
      <c r="AA623">
        <f>IF(G623="S",1,0)</f>
        <v>0</v>
      </c>
      <c r="AB623">
        <f>IF(G623="U",1,0)</f>
        <v>0</v>
      </c>
      <c r="AC623" s="5">
        <f>IF(AND(ISNUMBER(H623),NOT(ISNUMBER(P623))),1,0)</f>
        <v>0</v>
      </c>
      <c r="AD623" s="5">
        <f>IF(AND(ISNUMBER(H623),ISNUMBER(P623)),1,0)</f>
        <v>0</v>
      </c>
      <c r="AE623" s="5">
        <f>W623</f>
        <v>0.23</v>
      </c>
      <c r="AF623" s="5">
        <f>X623</f>
        <v>0.27</v>
      </c>
      <c r="AG623" s="5">
        <f>Y623</f>
        <v>0</v>
      </c>
      <c r="AH623" s="5">
        <f>IF(OR(G623="C",G623="S",G623="U"),1,0)</f>
        <v>0</v>
      </c>
      <c r="AI623" s="5">
        <f>IF(ISNUMBER(H623),1,0)</f>
        <v>0</v>
      </c>
      <c r="AJ623" s="5">
        <f>IF(ISNUMBER(P623),1,0)</f>
        <v>1</v>
      </c>
      <c r="AK623" s="5" t="str">
        <f>IF(AI623=1,IF(J623&gt;0,1,0),"")</f>
        <v/>
      </c>
      <c r="AL623" s="5">
        <f>IF(AJ623=1,IF(OR(Q623&gt;0,R623&gt;0),1,0),"")</f>
        <v>0</v>
      </c>
    </row>
    <row r="624" spans="1:38">
      <c r="A624">
        <v>745268</v>
      </c>
      <c r="B624" t="s">
        <v>789</v>
      </c>
      <c r="C624" t="s">
        <v>37</v>
      </c>
      <c r="D624" t="s">
        <v>24</v>
      </c>
      <c r="E624">
        <v>1</v>
      </c>
      <c r="F624">
        <v>143800</v>
      </c>
      <c r="H624" t="s">
        <v>26</v>
      </c>
      <c r="I624" t="s">
        <v>26</v>
      </c>
      <c r="J624" t="s">
        <v>26</v>
      </c>
      <c r="K624" t="s">
        <v>26</v>
      </c>
      <c r="L624" t="s">
        <v>26</v>
      </c>
      <c r="M624" t="s">
        <v>26</v>
      </c>
      <c r="N624" t="s">
        <v>26</v>
      </c>
      <c r="O624" t="s">
        <v>26</v>
      </c>
      <c r="P624">
        <v>1</v>
      </c>
      <c r="Q624">
        <v>0</v>
      </c>
      <c r="R624">
        <v>1</v>
      </c>
      <c r="S624">
        <v>1</v>
      </c>
      <c r="T624">
        <v>6.9541000000000004</v>
      </c>
      <c r="U624">
        <v>1</v>
      </c>
      <c r="V624">
        <v>1</v>
      </c>
      <c r="W624">
        <f>E624/100</f>
        <v>0.01</v>
      </c>
      <c r="X624">
        <f>F624/1000000</f>
        <v>0.14380000000000001</v>
      </c>
      <c r="Y624">
        <f>IF(D624="C",1,0)</f>
        <v>0</v>
      </c>
      <c r="Z624">
        <f>IF(G624="C",1,0)</f>
        <v>0</v>
      </c>
      <c r="AA624">
        <f>IF(G624="S",1,0)</f>
        <v>0</v>
      </c>
      <c r="AB624">
        <f>IF(G624="U",1,0)</f>
        <v>0</v>
      </c>
      <c r="AC624" s="5">
        <f>IF(AND(ISNUMBER(H624),NOT(ISNUMBER(P624))),1,0)</f>
        <v>0</v>
      </c>
      <c r="AD624" s="5">
        <f>IF(AND(ISNUMBER(H624),ISNUMBER(P624)),1,0)</f>
        <v>0</v>
      </c>
      <c r="AE624" s="5">
        <f>W624</f>
        <v>0.01</v>
      </c>
      <c r="AF624" s="5">
        <f>X624</f>
        <v>0.14380000000000001</v>
      </c>
      <c r="AG624" s="5">
        <f>Y624</f>
        <v>0</v>
      </c>
      <c r="AH624" s="5">
        <f>IF(OR(G624="C",G624="S",G624="U"),1,0)</f>
        <v>0</v>
      </c>
      <c r="AI624" s="5">
        <f>IF(ISNUMBER(H624),1,0)</f>
        <v>0</v>
      </c>
      <c r="AJ624" s="5">
        <f>IF(ISNUMBER(P624),1,0)</f>
        <v>1</v>
      </c>
      <c r="AK624" s="5" t="str">
        <f>IF(AI624=1,IF(J624&gt;0,1,0),"")</f>
        <v/>
      </c>
      <c r="AL624" s="5">
        <f>IF(AJ624=1,IF(OR(Q624&gt;0,R624&gt;0),1,0),"")</f>
        <v>1</v>
      </c>
    </row>
    <row r="625" spans="1:38">
      <c r="A625">
        <v>757187</v>
      </c>
      <c r="B625" t="s">
        <v>791</v>
      </c>
      <c r="C625" t="s">
        <v>82</v>
      </c>
      <c r="D625" t="s">
        <v>24</v>
      </c>
      <c r="E625">
        <v>19</v>
      </c>
      <c r="F625">
        <v>130000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>
        <v>1</v>
      </c>
      <c r="Q625">
        <v>1</v>
      </c>
      <c r="R625">
        <v>1</v>
      </c>
      <c r="S625">
        <v>0</v>
      </c>
      <c r="T625">
        <v>7.6923000000000004</v>
      </c>
      <c r="U625">
        <v>5.2600000000000001E-2</v>
      </c>
      <c r="V625">
        <v>1</v>
      </c>
      <c r="W625">
        <f>E625/100</f>
        <v>0.19</v>
      </c>
      <c r="X625">
        <f>F625/1000000</f>
        <v>0.13</v>
      </c>
      <c r="Y625">
        <f>IF(D625="C",1,0)</f>
        <v>0</v>
      </c>
      <c r="Z625">
        <f>IF(G625="C",1,0)</f>
        <v>0</v>
      </c>
      <c r="AA625">
        <f>IF(G625="S",1,0)</f>
        <v>0</v>
      </c>
      <c r="AB625">
        <f>IF(G625="U",1,0)</f>
        <v>0</v>
      </c>
      <c r="AC625" s="5">
        <f>IF(AND(ISNUMBER(H625),NOT(ISNUMBER(P625))),1,0)</f>
        <v>0</v>
      </c>
      <c r="AD625" s="5">
        <f>IF(AND(ISNUMBER(H625),ISNUMBER(P625)),1,0)</f>
        <v>0</v>
      </c>
      <c r="AE625" s="5">
        <f>W625</f>
        <v>0.19</v>
      </c>
      <c r="AF625" s="5">
        <f>X625</f>
        <v>0.13</v>
      </c>
      <c r="AG625" s="5">
        <f>Y625</f>
        <v>0</v>
      </c>
      <c r="AH625" s="5">
        <f>IF(OR(G625="C",G625="S",G625="U"),1,0)</f>
        <v>0</v>
      </c>
      <c r="AI625" s="5">
        <f>IF(ISNUMBER(H625),1,0)</f>
        <v>0</v>
      </c>
      <c r="AJ625" s="5">
        <f>IF(ISNUMBER(P625),1,0)</f>
        <v>1</v>
      </c>
      <c r="AK625" s="5" t="str">
        <f>IF(AI625=1,IF(J625&gt;0,1,0),"")</f>
        <v/>
      </c>
      <c r="AL625" s="5">
        <f>IF(AJ625=1,IF(OR(Q625&gt;0,R625&gt;0),1,0),"")</f>
        <v>1</v>
      </c>
    </row>
    <row r="626" spans="1:38">
      <c r="A626">
        <v>762399</v>
      </c>
      <c r="B626" t="s">
        <v>792</v>
      </c>
      <c r="C626" t="s">
        <v>82</v>
      </c>
      <c r="D626" t="s">
        <v>24</v>
      </c>
      <c r="E626">
        <v>1</v>
      </c>
      <c r="F626">
        <v>75818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>
        <v>1</v>
      </c>
      <c r="Q626">
        <v>0</v>
      </c>
      <c r="R626">
        <v>0</v>
      </c>
      <c r="S626">
        <v>1</v>
      </c>
      <c r="T626">
        <v>13.189500000000001</v>
      </c>
      <c r="U626">
        <v>1</v>
      </c>
      <c r="V626">
        <v>0</v>
      </c>
      <c r="W626">
        <f>E626/100</f>
        <v>0.01</v>
      </c>
      <c r="X626">
        <f>F626/1000000</f>
        <v>7.5817999999999997E-2</v>
      </c>
      <c r="Y626">
        <f>IF(D626="C",1,0)</f>
        <v>0</v>
      </c>
      <c r="Z626">
        <f>IF(G626="C",1,0)</f>
        <v>0</v>
      </c>
      <c r="AA626">
        <f>IF(G626="S",1,0)</f>
        <v>0</v>
      </c>
      <c r="AB626">
        <f>IF(G626="U",1,0)</f>
        <v>0</v>
      </c>
      <c r="AC626" s="5">
        <f>IF(AND(ISNUMBER(H626),NOT(ISNUMBER(P626))),1,0)</f>
        <v>0</v>
      </c>
      <c r="AD626" s="5">
        <f>IF(AND(ISNUMBER(H626),ISNUMBER(P626)),1,0)</f>
        <v>0</v>
      </c>
      <c r="AE626" s="5">
        <f>W626</f>
        <v>0.01</v>
      </c>
      <c r="AF626" s="5">
        <f>X626</f>
        <v>7.5817999999999997E-2</v>
      </c>
      <c r="AG626" s="5">
        <f>Y626</f>
        <v>0</v>
      </c>
      <c r="AH626" s="5">
        <f>IF(OR(G626="C",G626="S",G626="U"),1,0)</f>
        <v>0</v>
      </c>
      <c r="AI626" s="5">
        <f>IF(ISNUMBER(H626),1,0)</f>
        <v>0</v>
      </c>
      <c r="AJ626" s="5">
        <f>IF(ISNUMBER(P626),1,0)</f>
        <v>1</v>
      </c>
      <c r="AK626" s="5" t="str">
        <f>IF(AI626=1,IF(J626&gt;0,1,0),"")</f>
        <v/>
      </c>
      <c r="AL626" s="5">
        <f>IF(AJ626=1,IF(OR(Q626&gt;0,R626&gt;0),1,0),"")</f>
        <v>0</v>
      </c>
    </row>
    <row r="627" spans="1:38">
      <c r="A627">
        <v>762936</v>
      </c>
      <c r="B627" t="s">
        <v>793</v>
      </c>
      <c r="C627" t="s">
        <v>787</v>
      </c>
      <c r="D627" t="s">
        <v>33</v>
      </c>
      <c r="E627">
        <v>3</v>
      </c>
      <c r="F627">
        <v>900000</v>
      </c>
      <c r="H627" t="s">
        <v>26</v>
      </c>
      <c r="I627" t="s">
        <v>26</v>
      </c>
      <c r="J627" t="s">
        <v>26</v>
      </c>
      <c r="K627" t="s">
        <v>26</v>
      </c>
      <c r="L627" t="s">
        <v>26</v>
      </c>
      <c r="M627" t="s">
        <v>26</v>
      </c>
      <c r="N627" t="s">
        <v>26</v>
      </c>
      <c r="O627" t="s">
        <v>26</v>
      </c>
      <c r="P627">
        <v>1</v>
      </c>
      <c r="Q627">
        <v>0</v>
      </c>
      <c r="R627">
        <v>1</v>
      </c>
      <c r="S627">
        <v>1</v>
      </c>
      <c r="T627">
        <v>1.1111</v>
      </c>
      <c r="U627">
        <v>0.33329999999999999</v>
      </c>
      <c r="V627">
        <v>1</v>
      </c>
      <c r="W627">
        <f>E627/100</f>
        <v>0.03</v>
      </c>
      <c r="X627">
        <f>F627/1000000</f>
        <v>0.9</v>
      </c>
      <c r="Y627">
        <f>IF(D627="C",1,0)</f>
        <v>1</v>
      </c>
      <c r="Z627">
        <f>IF(G627="C",1,0)</f>
        <v>0</v>
      </c>
      <c r="AA627">
        <f>IF(G627="S",1,0)</f>
        <v>0</v>
      </c>
      <c r="AB627">
        <f>IF(G627="U",1,0)</f>
        <v>0</v>
      </c>
      <c r="AC627" s="5">
        <f>IF(AND(ISNUMBER(H627),NOT(ISNUMBER(P627))),1,0)</f>
        <v>0</v>
      </c>
      <c r="AD627" s="5">
        <f>IF(AND(ISNUMBER(H627),ISNUMBER(P627)),1,0)</f>
        <v>0</v>
      </c>
      <c r="AE627" s="5">
        <f>W627</f>
        <v>0.03</v>
      </c>
      <c r="AF627" s="5">
        <f>X627</f>
        <v>0.9</v>
      </c>
      <c r="AG627" s="5">
        <f>Y627</f>
        <v>1</v>
      </c>
      <c r="AH627" s="5">
        <f>IF(OR(G627="C",G627="S",G627="U"),1,0)</f>
        <v>0</v>
      </c>
      <c r="AI627" s="5">
        <f>IF(ISNUMBER(H627),1,0)</f>
        <v>0</v>
      </c>
      <c r="AJ627" s="5">
        <f>IF(ISNUMBER(P627),1,0)</f>
        <v>1</v>
      </c>
      <c r="AK627" s="5" t="str">
        <f>IF(AI627=1,IF(J627&gt;0,1,0),"")</f>
        <v/>
      </c>
      <c r="AL627" s="5">
        <f>IF(AJ627=1,IF(OR(Q627&gt;0,R627&gt;0),1,0),"")</f>
        <v>1</v>
      </c>
    </row>
    <row r="628" spans="1:38">
      <c r="A628">
        <v>766090</v>
      </c>
      <c r="B628" t="s">
        <v>794</v>
      </c>
      <c r="C628" t="s">
        <v>23</v>
      </c>
      <c r="D628" t="s">
        <v>24</v>
      </c>
      <c r="E628">
        <v>68</v>
      </c>
      <c r="F628">
        <v>150000</v>
      </c>
      <c r="H628" t="s">
        <v>26</v>
      </c>
      <c r="I628" t="s">
        <v>26</v>
      </c>
      <c r="J628" t="s">
        <v>26</v>
      </c>
      <c r="K628" t="s">
        <v>26</v>
      </c>
      <c r="L628" t="s">
        <v>26</v>
      </c>
      <c r="M628" t="s">
        <v>26</v>
      </c>
      <c r="N628" t="s">
        <v>26</v>
      </c>
      <c r="O628" t="s">
        <v>26</v>
      </c>
      <c r="P628">
        <v>1</v>
      </c>
      <c r="Q628">
        <v>0</v>
      </c>
      <c r="R628">
        <v>0</v>
      </c>
      <c r="S628">
        <v>1</v>
      </c>
      <c r="T628">
        <v>6.6666999999999996</v>
      </c>
      <c r="U628">
        <v>1.47E-2</v>
      </c>
      <c r="V628">
        <v>0</v>
      </c>
      <c r="W628">
        <f>E628/100</f>
        <v>0.68</v>
      </c>
      <c r="X628">
        <f>F628/1000000</f>
        <v>0.15</v>
      </c>
      <c r="Y628">
        <f>IF(D628="C",1,0)</f>
        <v>0</v>
      </c>
      <c r="Z628">
        <f>IF(G628="C",1,0)</f>
        <v>0</v>
      </c>
      <c r="AA628">
        <f>IF(G628="S",1,0)</f>
        <v>0</v>
      </c>
      <c r="AB628">
        <f>IF(G628="U",1,0)</f>
        <v>0</v>
      </c>
      <c r="AC628" s="5">
        <f>IF(AND(ISNUMBER(H628),NOT(ISNUMBER(P628))),1,0)</f>
        <v>0</v>
      </c>
      <c r="AD628" s="5">
        <f>IF(AND(ISNUMBER(H628),ISNUMBER(P628)),1,0)</f>
        <v>0</v>
      </c>
      <c r="AE628" s="5">
        <f>W628</f>
        <v>0.68</v>
      </c>
      <c r="AF628" s="5">
        <f>X628</f>
        <v>0.15</v>
      </c>
      <c r="AG628" s="5">
        <f>Y628</f>
        <v>0</v>
      </c>
      <c r="AH628" s="5">
        <f>IF(OR(G628="C",G628="S",G628="U"),1,0)</f>
        <v>0</v>
      </c>
      <c r="AI628" s="5">
        <f>IF(ISNUMBER(H628),1,0)</f>
        <v>0</v>
      </c>
      <c r="AJ628" s="5">
        <f>IF(ISNUMBER(P628),1,0)</f>
        <v>1</v>
      </c>
      <c r="AK628" s="5" t="str">
        <f>IF(AI628=1,IF(J628&gt;0,1,0),"")</f>
        <v/>
      </c>
      <c r="AL628" s="5">
        <f>IF(AJ628=1,IF(OR(Q628&gt;0,R628&gt;0),1,0),"")</f>
        <v>0</v>
      </c>
    </row>
    <row r="629" spans="1:38">
      <c r="A629">
        <v>770851</v>
      </c>
      <c r="B629" t="s">
        <v>795</v>
      </c>
      <c r="C629" t="s">
        <v>212</v>
      </c>
      <c r="D629" t="s">
        <v>24</v>
      </c>
      <c r="E629">
        <v>16</v>
      </c>
      <c r="F629">
        <v>1697000</v>
      </c>
      <c r="G629" t="s">
        <v>25</v>
      </c>
      <c r="H629" t="s">
        <v>26</v>
      </c>
      <c r="I629" t="s">
        <v>26</v>
      </c>
      <c r="J629" t="s">
        <v>26</v>
      </c>
      <c r="K629" t="s">
        <v>26</v>
      </c>
      <c r="L629" t="s">
        <v>26</v>
      </c>
      <c r="M629" t="s">
        <v>26</v>
      </c>
      <c r="N629" t="s">
        <v>26</v>
      </c>
      <c r="O629" t="s">
        <v>26</v>
      </c>
      <c r="P629">
        <v>1</v>
      </c>
      <c r="Q629">
        <v>0</v>
      </c>
      <c r="R629">
        <v>0</v>
      </c>
      <c r="S629">
        <v>1</v>
      </c>
      <c r="T629">
        <v>0.58930000000000005</v>
      </c>
      <c r="U629">
        <v>6.25E-2</v>
      </c>
      <c r="V629">
        <v>0</v>
      </c>
      <c r="W629">
        <f>E629/100</f>
        <v>0.16</v>
      </c>
      <c r="X629">
        <f>F629/1000000</f>
        <v>1.6970000000000001</v>
      </c>
      <c r="Y629">
        <f>IF(D629="C",1,0)</f>
        <v>0</v>
      </c>
      <c r="Z629">
        <f>IF(G629="C",1,0)</f>
        <v>0</v>
      </c>
      <c r="AA629">
        <f>IF(G629="S",1,0)</f>
        <v>1</v>
      </c>
      <c r="AB629">
        <f>IF(G629="U",1,0)</f>
        <v>0</v>
      </c>
      <c r="AC629" s="5">
        <f>IF(AND(ISNUMBER(H629),NOT(ISNUMBER(P629))),1,0)</f>
        <v>0</v>
      </c>
      <c r="AD629" s="5">
        <f>IF(AND(ISNUMBER(H629),ISNUMBER(P629)),1,0)</f>
        <v>0</v>
      </c>
      <c r="AE629" s="5">
        <f>W629</f>
        <v>0.16</v>
      </c>
      <c r="AF629" s="5">
        <f>X629</f>
        <v>1.6970000000000001</v>
      </c>
      <c r="AG629" s="5">
        <f>Y629</f>
        <v>0</v>
      </c>
      <c r="AH629" s="5">
        <f>IF(OR(G629="C",G629="S",G629="U"),1,0)</f>
        <v>1</v>
      </c>
      <c r="AI629" s="5">
        <f>IF(ISNUMBER(H629),1,0)</f>
        <v>0</v>
      </c>
      <c r="AJ629" s="5">
        <f>IF(ISNUMBER(P629),1,0)</f>
        <v>1</v>
      </c>
      <c r="AK629" s="5" t="str">
        <f>IF(AI629=1,IF(J629&gt;0,1,0),"")</f>
        <v/>
      </c>
      <c r="AL629" s="5">
        <f>IF(AJ629=1,IF(OR(Q629&gt;0,R629&gt;0),1,0),"")</f>
        <v>0</v>
      </c>
    </row>
    <row r="630" spans="1:38">
      <c r="A630">
        <v>773700</v>
      </c>
      <c r="B630" t="s">
        <v>796</v>
      </c>
      <c r="C630" t="s">
        <v>82</v>
      </c>
      <c r="D630" t="s">
        <v>24</v>
      </c>
      <c r="E630">
        <v>1</v>
      </c>
      <c r="F630">
        <v>61583</v>
      </c>
      <c r="H630" t="s">
        <v>26</v>
      </c>
      <c r="I630" t="s">
        <v>26</v>
      </c>
      <c r="J630" t="s">
        <v>26</v>
      </c>
      <c r="K630" t="s">
        <v>26</v>
      </c>
      <c r="L630" t="s">
        <v>26</v>
      </c>
      <c r="M630" t="s">
        <v>26</v>
      </c>
      <c r="N630" t="s">
        <v>26</v>
      </c>
      <c r="O630" t="s">
        <v>26</v>
      </c>
      <c r="P630">
        <v>1</v>
      </c>
      <c r="Q630">
        <v>0</v>
      </c>
      <c r="R630">
        <v>1</v>
      </c>
      <c r="S630">
        <v>0</v>
      </c>
      <c r="T630">
        <v>16.238199999999999</v>
      </c>
      <c r="U630">
        <v>1</v>
      </c>
      <c r="V630">
        <v>1</v>
      </c>
      <c r="W630">
        <f>E630/100</f>
        <v>0.01</v>
      </c>
      <c r="X630">
        <f>F630/1000000</f>
        <v>6.1582999999999999E-2</v>
      </c>
      <c r="Y630">
        <f>IF(D630="C",1,0)</f>
        <v>0</v>
      </c>
      <c r="Z630">
        <f>IF(G630="C",1,0)</f>
        <v>0</v>
      </c>
      <c r="AA630">
        <f>IF(G630="S",1,0)</f>
        <v>0</v>
      </c>
      <c r="AB630">
        <f>IF(G630="U",1,0)</f>
        <v>0</v>
      </c>
      <c r="AC630" s="5">
        <f>IF(AND(ISNUMBER(H630),NOT(ISNUMBER(P630))),1,0)</f>
        <v>0</v>
      </c>
      <c r="AD630" s="5">
        <f>IF(AND(ISNUMBER(H630),ISNUMBER(P630)),1,0)</f>
        <v>0</v>
      </c>
      <c r="AE630" s="5">
        <f>W630</f>
        <v>0.01</v>
      </c>
      <c r="AF630" s="5">
        <f>X630</f>
        <v>6.1582999999999999E-2</v>
      </c>
      <c r="AG630" s="5">
        <f>Y630</f>
        <v>0</v>
      </c>
      <c r="AH630" s="5">
        <f>IF(OR(G630="C",G630="S",G630="U"),1,0)</f>
        <v>0</v>
      </c>
      <c r="AI630" s="5">
        <f>IF(ISNUMBER(H630),1,0)</f>
        <v>0</v>
      </c>
      <c r="AJ630" s="5">
        <f>IF(ISNUMBER(P630),1,0)</f>
        <v>1</v>
      </c>
      <c r="AK630" s="5" t="str">
        <f>IF(AI630=1,IF(J630&gt;0,1,0),"")</f>
        <v/>
      </c>
      <c r="AL630" s="5">
        <f>IF(AJ630=1,IF(OR(Q630&gt;0,R630&gt;0),1,0),"")</f>
        <v>1</v>
      </c>
    </row>
    <row r="631" spans="1:38">
      <c r="A631">
        <v>783010</v>
      </c>
      <c r="B631" t="s">
        <v>797</v>
      </c>
      <c r="C631" t="s">
        <v>77</v>
      </c>
      <c r="D631" t="s">
        <v>24</v>
      </c>
      <c r="E631">
        <v>27</v>
      </c>
      <c r="F631">
        <v>1903157</v>
      </c>
      <c r="G631" t="s">
        <v>25</v>
      </c>
      <c r="H631" t="s">
        <v>26</v>
      </c>
      <c r="I631" t="s">
        <v>26</v>
      </c>
      <c r="J631" t="s">
        <v>26</v>
      </c>
      <c r="K631" t="s">
        <v>26</v>
      </c>
      <c r="L631" t="s">
        <v>26</v>
      </c>
      <c r="M631" t="s">
        <v>26</v>
      </c>
      <c r="N631" t="s">
        <v>26</v>
      </c>
      <c r="O631" t="s">
        <v>26</v>
      </c>
      <c r="P631">
        <v>1</v>
      </c>
      <c r="Q631">
        <v>0</v>
      </c>
      <c r="R631">
        <v>1</v>
      </c>
      <c r="S631">
        <v>1</v>
      </c>
      <c r="T631">
        <v>0.52539999999999998</v>
      </c>
      <c r="U631">
        <v>3.6999999999999998E-2</v>
      </c>
      <c r="V631">
        <v>1</v>
      </c>
      <c r="W631">
        <f>E631/100</f>
        <v>0.27</v>
      </c>
      <c r="X631">
        <f>F631/1000000</f>
        <v>1.903157</v>
      </c>
      <c r="Y631">
        <f>IF(D631="C",1,0)</f>
        <v>0</v>
      </c>
      <c r="Z631">
        <f>IF(G631="C",1,0)</f>
        <v>0</v>
      </c>
      <c r="AA631">
        <f>IF(G631="S",1,0)</f>
        <v>1</v>
      </c>
      <c r="AB631">
        <f>IF(G631="U",1,0)</f>
        <v>0</v>
      </c>
      <c r="AC631" s="5">
        <f>IF(AND(ISNUMBER(H631),NOT(ISNUMBER(P631))),1,0)</f>
        <v>0</v>
      </c>
      <c r="AD631" s="5">
        <f>IF(AND(ISNUMBER(H631),ISNUMBER(P631)),1,0)</f>
        <v>0</v>
      </c>
      <c r="AE631" s="5">
        <f>W631</f>
        <v>0.27</v>
      </c>
      <c r="AF631" s="5">
        <f>X631</f>
        <v>1.903157</v>
      </c>
      <c r="AG631" s="5">
        <f>Y631</f>
        <v>0</v>
      </c>
      <c r="AH631" s="5">
        <f>IF(OR(G631="C",G631="S",G631="U"),1,0)</f>
        <v>1</v>
      </c>
      <c r="AI631" s="5">
        <f>IF(ISNUMBER(H631),1,0)</f>
        <v>0</v>
      </c>
      <c r="AJ631" s="5">
        <f>IF(ISNUMBER(P631),1,0)</f>
        <v>1</v>
      </c>
      <c r="AK631" s="5" t="str">
        <f>IF(AI631=1,IF(J631&gt;0,1,0),"")</f>
        <v/>
      </c>
      <c r="AL631" s="5">
        <f>IF(AJ631=1,IF(OR(Q631&gt;0,R631&gt;0),1,0),"")</f>
        <v>1</v>
      </c>
    </row>
    <row r="632" spans="1:38">
      <c r="A632">
        <v>786388</v>
      </c>
      <c r="B632" t="s">
        <v>798</v>
      </c>
      <c r="C632" t="s">
        <v>368</v>
      </c>
      <c r="D632" t="s">
        <v>24</v>
      </c>
      <c r="E632">
        <v>1</v>
      </c>
      <c r="F632">
        <v>80250</v>
      </c>
      <c r="H632" t="s">
        <v>26</v>
      </c>
      <c r="I632" t="s">
        <v>26</v>
      </c>
      <c r="J632" t="s">
        <v>26</v>
      </c>
      <c r="K632" t="s">
        <v>26</v>
      </c>
      <c r="L632" t="s">
        <v>26</v>
      </c>
      <c r="M632" t="s">
        <v>26</v>
      </c>
      <c r="N632" t="s">
        <v>26</v>
      </c>
      <c r="O632" t="s">
        <v>26</v>
      </c>
      <c r="P632">
        <v>1</v>
      </c>
      <c r="Q632">
        <v>0</v>
      </c>
      <c r="R632">
        <v>0</v>
      </c>
      <c r="S632">
        <v>1</v>
      </c>
      <c r="T632">
        <v>12.4611</v>
      </c>
      <c r="U632">
        <v>1</v>
      </c>
      <c r="V632">
        <v>0</v>
      </c>
      <c r="W632">
        <f>E632/100</f>
        <v>0.01</v>
      </c>
      <c r="X632">
        <f>F632/1000000</f>
        <v>8.0250000000000002E-2</v>
      </c>
      <c r="Y632">
        <f>IF(D632="C",1,0)</f>
        <v>0</v>
      </c>
      <c r="Z632">
        <f>IF(G632="C",1,0)</f>
        <v>0</v>
      </c>
      <c r="AA632">
        <f>IF(G632="S",1,0)</f>
        <v>0</v>
      </c>
      <c r="AB632">
        <f>IF(G632="U",1,0)</f>
        <v>0</v>
      </c>
      <c r="AC632" s="5">
        <f>IF(AND(ISNUMBER(H632),NOT(ISNUMBER(P632))),1,0)</f>
        <v>0</v>
      </c>
      <c r="AD632" s="5">
        <f>IF(AND(ISNUMBER(H632),ISNUMBER(P632)),1,0)</f>
        <v>0</v>
      </c>
      <c r="AE632" s="5">
        <f>W632</f>
        <v>0.01</v>
      </c>
      <c r="AF632" s="5">
        <f>X632</f>
        <v>8.0250000000000002E-2</v>
      </c>
      <c r="AG632" s="5">
        <f>Y632</f>
        <v>0</v>
      </c>
      <c r="AH632" s="5">
        <f>IF(OR(G632="C",G632="S",G632="U"),1,0)</f>
        <v>0</v>
      </c>
      <c r="AI632" s="5">
        <f>IF(ISNUMBER(H632),1,0)</f>
        <v>0</v>
      </c>
      <c r="AJ632" s="5">
        <f>IF(ISNUMBER(P632),1,0)</f>
        <v>1</v>
      </c>
      <c r="AK632" s="5" t="str">
        <f>IF(AI632=1,IF(J632&gt;0,1,0),"")</f>
        <v/>
      </c>
      <c r="AL632" s="5">
        <f>IF(AJ632=1,IF(OR(Q632&gt;0,R632&gt;0),1,0),"")</f>
        <v>0</v>
      </c>
    </row>
    <row r="633" spans="1:38">
      <c r="A633">
        <v>792926</v>
      </c>
      <c r="B633" t="s">
        <v>799</v>
      </c>
      <c r="C633" t="s">
        <v>82</v>
      </c>
      <c r="D633" t="s">
        <v>24</v>
      </c>
      <c r="E633">
        <v>21</v>
      </c>
      <c r="F633">
        <v>1500000</v>
      </c>
      <c r="G633" t="s">
        <v>25</v>
      </c>
      <c r="H633" t="s">
        <v>26</v>
      </c>
      <c r="I633" t="s">
        <v>26</v>
      </c>
      <c r="J633" t="s">
        <v>26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>
        <v>1</v>
      </c>
      <c r="Q633">
        <v>0</v>
      </c>
      <c r="R633">
        <v>1</v>
      </c>
      <c r="S633">
        <v>0</v>
      </c>
      <c r="T633">
        <v>0.66669999999999996</v>
      </c>
      <c r="U633">
        <v>4.7600000000000003E-2</v>
      </c>
      <c r="V633">
        <v>1</v>
      </c>
      <c r="W633">
        <f>E633/100</f>
        <v>0.21</v>
      </c>
      <c r="X633">
        <f>F633/1000000</f>
        <v>1.5</v>
      </c>
      <c r="Y633">
        <f>IF(D633="C",1,0)</f>
        <v>0</v>
      </c>
      <c r="Z633">
        <f>IF(G633="C",1,0)</f>
        <v>0</v>
      </c>
      <c r="AA633">
        <f>IF(G633="S",1,0)</f>
        <v>1</v>
      </c>
      <c r="AB633">
        <f>IF(G633="U",1,0)</f>
        <v>0</v>
      </c>
      <c r="AC633" s="5">
        <f>IF(AND(ISNUMBER(H633),NOT(ISNUMBER(P633))),1,0)</f>
        <v>0</v>
      </c>
      <c r="AD633" s="5">
        <f>IF(AND(ISNUMBER(H633),ISNUMBER(P633)),1,0)</f>
        <v>0</v>
      </c>
      <c r="AE633" s="5">
        <f>W633</f>
        <v>0.21</v>
      </c>
      <c r="AF633" s="5">
        <f>X633</f>
        <v>1.5</v>
      </c>
      <c r="AG633" s="5">
        <f>Y633</f>
        <v>0</v>
      </c>
      <c r="AH633" s="5">
        <f>IF(OR(G633="C",G633="S",G633="U"),1,0)</f>
        <v>1</v>
      </c>
      <c r="AI633" s="5">
        <f>IF(ISNUMBER(H633),1,0)</f>
        <v>0</v>
      </c>
      <c r="AJ633" s="5">
        <f>IF(ISNUMBER(P633),1,0)</f>
        <v>1</v>
      </c>
      <c r="AK633" s="5" t="str">
        <f>IF(AI633=1,IF(J633&gt;0,1,0),"")</f>
        <v/>
      </c>
      <c r="AL633" s="5">
        <f>IF(AJ633=1,IF(OR(Q633&gt;0,R633&gt;0),1,0),"")</f>
        <v>1</v>
      </c>
    </row>
    <row r="634" spans="1:38">
      <c r="A634">
        <v>795363</v>
      </c>
      <c r="B634" t="s">
        <v>801</v>
      </c>
      <c r="C634" t="s">
        <v>42</v>
      </c>
      <c r="D634" t="s">
        <v>24</v>
      </c>
      <c r="E634">
        <v>7</v>
      </c>
      <c r="F634">
        <v>420000</v>
      </c>
      <c r="G634" t="s">
        <v>33</v>
      </c>
      <c r="H634" t="s">
        <v>26</v>
      </c>
      <c r="I634" t="s">
        <v>26</v>
      </c>
      <c r="J634" t="s">
        <v>26</v>
      </c>
      <c r="K634" t="s">
        <v>26</v>
      </c>
      <c r="L634" t="s">
        <v>26</v>
      </c>
      <c r="M634" t="s">
        <v>26</v>
      </c>
      <c r="N634" t="s">
        <v>26</v>
      </c>
      <c r="O634" t="s">
        <v>26</v>
      </c>
      <c r="P634">
        <v>1</v>
      </c>
      <c r="Q634">
        <v>0</v>
      </c>
      <c r="R634">
        <v>1</v>
      </c>
      <c r="S634">
        <v>1</v>
      </c>
      <c r="T634">
        <v>2.3809999999999998</v>
      </c>
      <c r="U634">
        <v>0.1429</v>
      </c>
      <c r="V634">
        <v>1</v>
      </c>
      <c r="W634">
        <f>E634/100</f>
        <v>7.0000000000000007E-2</v>
      </c>
      <c r="X634">
        <f>F634/1000000</f>
        <v>0.42</v>
      </c>
      <c r="Y634">
        <f>IF(D634="C",1,0)</f>
        <v>0</v>
      </c>
      <c r="Z634">
        <f>IF(G634="C",1,0)</f>
        <v>1</v>
      </c>
      <c r="AA634">
        <f>IF(G634="S",1,0)</f>
        <v>0</v>
      </c>
      <c r="AB634">
        <f>IF(G634="U",1,0)</f>
        <v>0</v>
      </c>
      <c r="AC634" s="5">
        <f>IF(AND(ISNUMBER(H634),NOT(ISNUMBER(P634))),1,0)</f>
        <v>0</v>
      </c>
      <c r="AD634" s="5">
        <f>IF(AND(ISNUMBER(H634),ISNUMBER(P634)),1,0)</f>
        <v>0</v>
      </c>
      <c r="AE634" s="5">
        <f>W634</f>
        <v>7.0000000000000007E-2</v>
      </c>
      <c r="AF634" s="5">
        <f>X634</f>
        <v>0.42</v>
      </c>
      <c r="AG634" s="5">
        <f>Y634</f>
        <v>0</v>
      </c>
      <c r="AH634" s="5">
        <f>IF(OR(G634="C",G634="S",G634="U"),1,0)</f>
        <v>1</v>
      </c>
      <c r="AI634" s="5">
        <f>IF(ISNUMBER(H634),1,0)</f>
        <v>0</v>
      </c>
      <c r="AJ634" s="5">
        <f>IF(ISNUMBER(P634),1,0)</f>
        <v>1</v>
      </c>
      <c r="AK634" s="5" t="str">
        <f>IF(AI634=1,IF(J634&gt;0,1,0),"")</f>
        <v/>
      </c>
      <c r="AL634" s="5">
        <f>IF(AJ634=1,IF(OR(Q634&gt;0,R634&gt;0),1,0),"")</f>
        <v>1</v>
      </c>
    </row>
    <row r="635" spans="1:38">
      <c r="A635">
        <v>800747</v>
      </c>
      <c r="B635" t="s">
        <v>802</v>
      </c>
      <c r="C635" t="s">
        <v>82</v>
      </c>
      <c r="D635" t="s">
        <v>24</v>
      </c>
      <c r="E635">
        <v>3</v>
      </c>
      <c r="F635">
        <v>25000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>
        <v>1</v>
      </c>
      <c r="Q635">
        <v>0</v>
      </c>
      <c r="R635">
        <v>1</v>
      </c>
      <c r="S635">
        <v>1</v>
      </c>
      <c r="T635">
        <v>40</v>
      </c>
      <c r="U635">
        <v>0.33329999999999999</v>
      </c>
      <c r="V635">
        <v>1</v>
      </c>
      <c r="W635">
        <f>E635/100</f>
        <v>0.03</v>
      </c>
      <c r="X635">
        <f>F635/1000000</f>
        <v>2.5000000000000001E-2</v>
      </c>
      <c r="Y635">
        <f>IF(D635="C",1,0)</f>
        <v>0</v>
      </c>
      <c r="Z635">
        <f>IF(G635="C",1,0)</f>
        <v>0</v>
      </c>
      <c r="AA635">
        <f>IF(G635="S",1,0)</f>
        <v>0</v>
      </c>
      <c r="AB635">
        <f>IF(G635="U",1,0)</f>
        <v>0</v>
      </c>
      <c r="AC635" s="5">
        <f>IF(AND(ISNUMBER(H635),NOT(ISNUMBER(P635))),1,0)</f>
        <v>0</v>
      </c>
      <c r="AD635" s="5">
        <f>IF(AND(ISNUMBER(H635),ISNUMBER(P635)),1,0)</f>
        <v>0</v>
      </c>
      <c r="AE635" s="5">
        <f>W635</f>
        <v>0.03</v>
      </c>
      <c r="AF635" s="5">
        <f>X635</f>
        <v>2.5000000000000001E-2</v>
      </c>
      <c r="AG635" s="5">
        <f>Y635</f>
        <v>0</v>
      </c>
      <c r="AH635" s="5">
        <f>IF(OR(G635="C",G635="S",G635="U"),1,0)</f>
        <v>0</v>
      </c>
      <c r="AI635" s="5">
        <f>IF(ISNUMBER(H635),1,0)</f>
        <v>0</v>
      </c>
      <c r="AJ635" s="5">
        <f>IF(ISNUMBER(P635),1,0)</f>
        <v>1</v>
      </c>
      <c r="AK635" s="5" t="str">
        <f>IF(AI635=1,IF(J635&gt;0,1,0),"")</f>
        <v/>
      </c>
      <c r="AL635" s="5">
        <f>IF(AJ635=1,IF(OR(Q635&gt;0,R635&gt;0),1,0),"")</f>
        <v>1</v>
      </c>
    </row>
    <row r="636" spans="1:38">
      <c r="A636">
        <v>807866</v>
      </c>
      <c r="B636" t="s">
        <v>803</v>
      </c>
      <c r="C636" t="s">
        <v>82</v>
      </c>
      <c r="D636" t="s">
        <v>24</v>
      </c>
      <c r="E636">
        <v>178</v>
      </c>
      <c r="F636">
        <v>2642765</v>
      </c>
      <c r="G636" t="s">
        <v>33</v>
      </c>
      <c r="H636" t="s">
        <v>26</v>
      </c>
      <c r="I636" t="s">
        <v>26</v>
      </c>
      <c r="J636" t="s">
        <v>26</v>
      </c>
      <c r="K636" t="s">
        <v>26</v>
      </c>
      <c r="L636" t="s">
        <v>26</v>
      </c>
      <c r="M636" t="s">
        <v>26</v>
      </c>
      <c r="N636" t="s">
        <v>26</v>
      </c>
      <c r="O636" t="s">
        <v>26</v>
      </c>
      <c r="P636">
        <v>1</v>
      </c>
      <c r="Q636">
        <v>0</v>
      </c>
      <c r="R636">
        <v>1</v>
      </c>
      <c r="S636">
        <v>1</v>
      </c>
      <c r="T636">
        <v>0.37840000000000001</v>
      </c>
      <c r="U636">
        <v>5.5999999999999999E-3</v>
      </c>
      <c r="V636">
        <v>1</v>
      </c>
      <c r="W636">
        <f>E636/100</f>
        <v>1.78</v>
      </c>
      <c r="X636">
        <f>F636/1000000</f>
        <v>2.6427649999999998</v>
      </c>
      <c r="Y636">
        <f>IF(D636="C",1,0)</f>
        <v>0</v>
      </c>
      <c r="Z636">
        <f>IF(G636="C",1,0)</f>
        <v>1</v>
      </c>
      <c r="AA636">
        <f>IF(G636="S",1,0)</f>
        <v>0</v>
      </c>
      <c r="AB636">
        <f>IF(G636="U",1,0)</f>
        <v>0</v>
      </c>
      <c r="AC636" s="5">
        <f>IF(AND(ISNUMBER(H636),NOT(ISNUMBER(P636))),1,0)</f>
        <v>0</v>
      </c>
      <c r="AD636" s="5">
        <f>IF(AND(ISNUMBER(H636),ISNUMBER(P636)),1,0)</f>
        <v>0</v>
      </c>
      <c r="AE636" s="5">
        <f>W636</f>
        <v>1.78</v>
      </c>
      <c r="AF636" s="5">
        <f>X636</f>
        <v>2.6427649999999998</v>
      </c>
      <c r="AG636" s="5">
        <f>Y636</f>
        <v>0</v>
      </c>
      <c r="AH636" s="5">
        <f>IF(OR(G636="C",G636="S",G636="U"),1,0)</f>
        <v>1</v>
      </c>
      <c r="AI636" s="5">
        <f>IF(ISNUMBER(H636),1,0)</f>
        <v>0</v>
      </c>
      <c r="AJ636" s="5">
        <f>IF(ISNUMBER(P636),1,0)</f>
        <v>1</v>
      </c>
      <c r="AK636" s="5" t="str">
        <f>IF(AI636=1,IF(J636&gt;0,1,0),"")</f>
        <v/>
      </c>
      <c r="AL636" s="5">
        <f>IF(AJ636=1,IF(OR(Q636&gt;0,R636&gt;0),1,0),"")</f>
        <v>1</v>
      </c>
    </row>
    <row r="637" spans="1:38">
      <c r="A637">
        <v>810433</v>
      </c>
      <c r="B637" t="s">
        <v>804</v>
      </c>
      <c r="C637" t="s">
        <v>82</v>
      </c>
      <c r="D637" t="s">
        <v>24</v>
      </c>
      <c r="E637">
        <v>4</v>
      </c>
      <c r="F637">
        <v>56357</v>
      </c>
      <c r="H637" t="s">
        <v>26</v>
      </c>
      <c r="I637" t="s">
        <v>26</v>
      </c>
      <c r="J637" t="s">
        <v>26</v>
      </c>
      <c r="K637" t="s">
        <v>26</v>
      </c>
      <c r="L637" t="s">
        <v>26</v>
      </c>
      <c r="M637" t="s">
        <v>26</v>
      </c>
      <c r="N637" t="s">
        <v>26</v>
      </c>
      <c r="O637" t="s">
        <v>26</v>
      </c>
      <c r="P637">
        <v>1</v>
      </c>
      <c r="Q637">
        <v>0</v>
      </c>
      <c r="R637">
        <v>0</v>
      </c>
      <c r="S637">
        <v>1</v>
      </c>
      <c r="T637">
        <v>17.744</v>
      </c>
      <c r="U637">
        <v>0.25</v>
      </c>
      <c r="V637">
        <v>0</v>
      </c>
      <c r="W637">
        <f>E637/100</f>
        <v>0.04</v>
      </c>
      <c r="X637">
        <f>F637/1000000</f>
        <v>5.6356999999999997E-2</v>
      </c>
      <c r="Y637">
        <f>IF(D637="C",1,0)</f>
        <v>0</v>
      </c>
      <c r="Z637">
        <f>IF(G637="C",1,0)</f>
        <v>0</v>
      </c>
      <c r="AA637">
        <f>IF(G637="S",1,0)</f>
        <v>0</v>
      </c>
      <c r="AB637">
        <f>IF(G637="U",1,0)</f>
        <v>0</v>
      </c>
      <c r="AC637" s="5">
        <f>IF(AND(ISNUMBER(H637),NOT(ISNUMBER(P637))),1,0)</f>
        <v>0</v>
      </c>
      <c r="AD637" s="5">
        <f>IF(AND(ISNUMBER(H637),ISNUMBER(P637)),1,0)</f>
        <v>0</v>
      </c>
      <c r="AE637" s="5">
        <f>W637</f>
        <v>0.04</v>
      </c>
      <c r="AF637" s="5">
        <f>X637</f>
        <v>5.6356999999999997E-2</v>
      </c>
      <c r="AG637" s="5">
        <f>Y637</f>
        <v>0</v>
      </c>
      <c r="AH637" s="5">
        <f>IF(OR(G637="C",G637="S",G637="U"),1,0)</f>
        <v>0</v>
      </c>
      <c r="AI637" s="5">
        <f>IF(ISNUMBER(H637),1,0)</f>
        <v>0</v>
      </c>
      <c r="AJ637" s="5">
        <f>IF(ISNUMBER(P637),1,0)</f>
        <v>1</v>
      </c>
      <c r="AK637" s="5" t="str">
        <f>IF(AI637=1,IF(J637&gt;0,1,0),"")</f>
        <v/>
      </c>
      <c r="AL637" s="5">
        <f>IF(AJ637=1,IF(OR(Q637&gt;0,R637&gt;0),1,0),"")</f>
        <v>0</v>
      </c>
    </row>
    <row r="638" spans="1:38">
      <c r="A638">
        <v>815610</v>
      </c>
      <c r="B638" t="s">
        <v>805</v>
      </c>
      <c r="C638" t="s">
        <v>37</v>
      </c>
      <c r="D638" t="s">
        <v>24</v>
      </c>
      <c r="E638">
        <v>11</v>
      </c>
      <c r="F638">
        <v>1500000</v>
      </c>
      <c r="H638" t="s">
        <v>26</v>
      </c>
      <c r="I638" t="s">
        <v>26</v>
      </c>
      <c r="J638" t="s">
        <v>26</v>
      </c>
      <c r="K638" t="s">
        <v>26</v>
      </c>
      <c r="L638" t="s">
        <v>26</v>
      </c>
      <c r="M638" t="s">
        <v>26</v>
      </c>
      <c r="N638" t="s">
        <v>26</v>
      </c>
      <c r="O638" t="s">
        <v>26</v>
      </c>
      <c r="P638">
        <v>1</v>
      </c>
      <c r="Q638">
        <v>0</v>
      </c>
      <c r="R638">
        <v>1</v>
      </c>
      <c r="S638">
        <v>1</v>
      </c>
      <c r="T638">
        <v>0.66669999999999996</v>
      </c>
      <c r="U638">
        <v>9.0899999999999995E-2</v>
      </c>
      <c r="V638">
        <v>1</v>
      </c>
      <c r="W638">
        <f>E638/100</f>
        <v>0.11</v>
      </c>
      <c r="X638">
        <f>F638/1000000</f>
        <v>1.5</v>
      </c>
      <c r="Y638">
        <f>IF(D638="C",1,0)</f>
        <v>0</v>
      </c>
      <c r="Z638">
        <f>IF(G638="C",1,0)</f>
        <v>0</v>
      </c>
      <c r="AA638">
        <f>IF(G638="S",1,0)</f>
        <v>0</v>
      </c>
      <c r="AB638">
        <f>IF(G638="U",1,0)</f>
        <v>0</v>
      </c>
      <c r="AC638" s="5">
        <f>IF(AND(ISNUMBER(H638),NOT(ISNUMBER(P638))),1,0)</f>
        <v>0</v>
      </c>
      <c r="AD638" s="5">
        <f>IF(AND(ISNUMBER(H638),ISNUMBER(P638)),1,0)</f>
        <v>0</v>
      </c>
      <c r="AE638" s="5">
        <f>W638</f>
        <v>0.11</v>
      </c>
      <c r="AF638" s="5">
        <f>X638</f>
        <v>1.5</v>
      </c>
      <c r="AG638" s="5">
        <f>Y638</f>
        <v>0</v>
      </c>
      <c r="AH638" s="5">
        <f>IF(OR(G638="C",G638="S",G638="U"),1,0)</f>
        <v>0</v>
      </c>
      <c r="AI638" s="5">
        <f>IF(ISNUMBER(H638),1,0)</f>
        <v>0</v>
      </c>
      <c r="AJ638" s="5">
        <f>IF(ISNUMBER(P638),1,0)</f>
        <v>1</v>
      </c>
      <c r="AK638" s="5" t="str">
        <f>IF(AI638=1,IF(J638&gt;0,1,0),"")</f>
        <v/>
      </c>
      <c r="AL638" s="5">
        <f>IF(AJ638=1,IF(OR(Q638&gt;0,R638&gt;0),1,0),"")</f>
        <v>1</v>
      </c>
    </row>
    <row r="639" spans="1:38">
      <c r="A639">
        <v>816215</v>
      </c>
      <c r="B639" t="s">
        <v>806</v>
      </c>
      <c r="C639" t="s">
        <v>37</v>
      </c>
      <c r="D639" t="s">
        <v>24</v>
      </c>
      <c r="E639">
        <v>5</v>
      </c>
      <c r="F639">
        <v>96577</v>
      </c>
      <c r="H639" t="s">
        <v>26</v>
      </c>
      <c r="I639" t="s">
        <v>26</v>
      </c>
      <c r="J639" t="s">
        <v>26</v>
      </c>
      <c r="K639" t="s">
        <v>26</v>
      </c>
      <c r="L639" t="s">
        <v>26</v>
      </c>
      <c r="M639" t="s">
        <v>26</v>
      </c>
      <c r="N639" t="s">
        <v>26</v>
      </c>
      <c r="O639" t="s">
        <v>26</v>
      </c>
      <c r="P639">
        <v>1</v>
      </c>
      <c r="Q639">
        <v>0</v>
      </c>
      <c r="R639">
        <v>1</v>
      </c>
      <c r="S639">
        <v>1</v>
      </c>
      <c r="T639">
        <v>10.3544</v>
      </c>
      <c r="U639">
        <v>0.2</v>
      </c>
      <c r="V639">
        <v>1</v>
      </c>
      <c r="W639">
        <f>E639/100</f>
        <v>0.05</v>
      </c>
      <c r="X639">
        <f>F639/1000000</f>
        <v>9.6576999999999996E-2</v>
      </c>
      <c r="Y639">
        <f>IF(D639="C",1,0)</f>
        <v>0</v>
      </c>
      <c r="Z639">
        <f>IF(G639="C",1,0)</f>
        <v>0</v>
      </c>
      <c r="AA639">
        <f>IF(G639="S",1,0)</f>
        <v>0</v>
      </c>
      <c r="AB639">
        <f>IF(G639="U",1,0)</f>
        <v>0</v>
      </c>
      <c r="AC639" s="5">
        <f>IF(AND(ISNUMBER(H639),NOT(ISNUMBER(P639))),1,0)</f>
        <v>0</v>
      </c>
      <c r="AD639" s="5">
        <f>IF(AND(ISNUMBER(H639),ISNUMBER(P639)),1,0)</f>
        <v>0</v>
      </c>
      <c r="AE639" s="5">
        <f>W639</f>
        <v>0.05</v>
      </c>
      <c r="AF639" s="5">
        <f>X639</f>
        <v>9.6576999999999996E-2</v>
      </c>
      <c r="AG639" s="5">
        <f>Y639</f>
        <v>0</v>
      </c>
      <c r="AH639" s="5">
        <f>IF(OR(G639="C",G639="S",G639="U"),1,0)</f>
        <v>0</v>
      </c>
      <c r="AI639" s="5">
        <f>IF(ISNUMBER(H639),1,0)</f>
        <v>0</v>
      </c>
      <c r="AJ639" s="5">
        <f>IF(ISNUMBER(P639),1,0)</f>
        <v>1</v>
      </c>
      <c r="AK639" s="5" t="str">
        <f>IF(AI639=1,IF(J639&gt;0,1,0),"")</f>
        <v/>
      </c>
      <c r="AL639" s="5">
        <f>IF(AJ639=1,IF(OR(Q639&gt;0,R639&gt;0),1,0),"")</f>
        <v>1</v>
      </c>
    </row>
    <row r="640" spans="1:38">
      <c r="A640">
        <v>817867</v>
      </c>
      <c r="B640" t="s">
        <v>807</v>
      </c>
      <c r="C640" t="s">
        <v>37</v>
      </c>
      <c r="D640" t="s">
        <v>24</v>
      </c>
      <c r="E640">
        <v>7</v>
      </c>
      <c r="F640">
        <v>17000</v>
      </c>
      <c r="H640" t="s">
        <v>26</v>
      </c>
      <c r="I640" t="s">
        <v>26</v>
      </c>
      <c r="J640" t="s">
        <v>26</v>
      </c>
      <c r="K640" t="s">
        <v>26</v>
      </c>
      <c r="L640" t="s">
        <v>26</v>
      </c>
      <c r="M640" t="s">
        <v>26</v>
      </c>
      <c r="N640" t="s">
        <v>26</v>
      </c>
      <c r="O640" t="s">
        <v>26</v>
      </c>
      <c r="P640">
        <v>1</v>
      </c>
      <c r="Q640">
        <v>0</v>
      </c>
      <c r="R640">
        <v>0</v>
      </c>
      <c r="S640">
        <v>1</v>
      </c>
      <c r="T640">
        <v>58.823500000000003</v>
      </c>
      <c r="U640">
        <v>0.1429</v>
      </c>
      <c r="V640">
        <v>0</v>
      </c>
      <c r="W640">
        <f>E640/100</f>
        <v>7.0000000000000007E-2</v>
      </c>
      <c r="X640">
        <f>F640/1000000</f>
        <v>1.7000000000000001E-2</v>
      </c>
      <c r="Y640">
        <f>IF(D640="C",1,0)</f>
        <v>0</v>
      </c>
      <c r="Z640">
        <f>IF(G640="C",1,0)</f>
        <v>0</v>
      </c>
      <c r="AA640">
        <f>IF(G640="S",1,0)</f>
        <v>0</v>
      </c>
      <c r="AB640">
        <f>IF(G640="U",1,0)</f>
        <v>0</v>
      </c>
      <c r="AC640" s="5">
        <f>IF(AND(ISNUMBER(H640),NOT(ISNUMBER(P640))),1,0)</f>
        <v>0</v>
      </c>
      <c r="AD640" s="5">
        <f>IF(AND(ISNUMBER(H640),ISNUMBER(P640)),1,0)</f>
        <v>0</v>
      </c>
      <c r="AE640" s="5">
        <f>W640</f>
        <v>7.0000000000000007E-2</v>
      </c>
      <c r="AF640" s="5">
        <f>X640</f>
        <v>1.7000000000000001E-2</v>
      </c>
      <c r="AG640" s="5">
        <f>Y640</f>
        <v>0</v>
      </c>
      <c r="AH640" s="5">
        <f>IF(OR(G640="C",G640="S",G640="U"),1,0)</f>
        <v>0</v>
      </c>
      <c r="AI640" s="5">
        <f>IF(ISNUMBER(H640),1,0)</f>
        <v>0</v>
      </c>
      <c r="AJ640" s="5">
        <f>IF(ISNUMBER(P640),1,0)</f>
        <v>1</v>
      </c>
      <c r="AK640" s="5" t="str">
        <f>IF(AI640=1,IF(J640&gt;0,1,0),"")</f>
        <v/>
      </c>
      <c r="AL640" s="5">
        <f>IF(AJ640=1,IF(OR(Q640&gt;0,R640&gt;0),1,0),"")</f>
        <v>0</v>
      </c>
    </row>
    <row r="641" spans="1:38">
      <c r="A641">
        <v>817987</v>
      </c>
      <c r="B641" t="s">
        <v>808</v>
      </c>
      <c r="C641" t="s">
        <v>82</v>
      </c>
      <c r="D641" t="s">
        <v>24</v>
      </c>
      <c r="E641">
        <v>113</v>
      </c>
      <c r="F641">
        <v>1361000</v>
      </c>
      <c r="G641" t="s">
        <v>25</v>
      </c>
      <c r="H641" t="s">
        <v>26</v>
      </c>
      <c r="I641" t="s">
        <v>26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26</v>
      </c>
      <c r="P641">
        <v>1</v>
      </c>
      <c r="Q641">
        <v>0</v>
      </c>
      <c r="R641">
        <v>0</v>
      </c>
      <c r="S641">
        <v>1</v>
      </c>
      <c r="T641">
        <v>0.73480000000000001</v>
      </c>
      <c r="U641">
        <v>8.8000000000000005E-3</v>
      </c>
      <c r="V641">
        <v>0</v>
      </c>
      <c r="W641">
        <f>E641/100</f>
        <v>1.1299999999999999</v>
      </c>
      <c r="X641">
        <f>F641/1000000</f>
        <v>1.361</v>
      </c>
      <c r="Y641">
        <f>IF(D641="C",1,0)</f>
        <v>0</v>
      </c>
      <c r="Z641">
        <f>IF(G641="C",1,0)</f>
        <v>0</v>
      </c>
      <c r="AA641">
        <f>IF(G641="S",1,0)</f>
        <v>1</v>
      </c>
      <c r="AB641">
        <f>IF(G641="U",1,0)</f>
        <v>0</v>
      </c>
      <c r="AC641" s="5">
        <f>IF(AND(ISNUMBER(H641),NOT(ISNUMBER(P641))),1,0)</f>
        <v>0</v>
      </c>
      <c r="AD641" s="5">
        <f>IF(AND(ISNUMBER(H641),ISNUMBER(P641)),1,0)</f>
        <v>0</v>
      </c>
      <c r="AE641" s="5">
        <f>W641</f>
        <v>1.1299999999999999</v>
      </c>
      <c r="AF641" s="5">
        <f>X641</f>
        <v>1.361</v>
      </c>
      <c r="AG641" s="5">
        <f>Y641</f>
        <v>0</v>
      </c>
      <c r="AH641" s="5">
        <f>IF(OR(G641="C",G641="S",G641="U"),1,0)</f>
        <v>1</v>
      </c>
      <c r="AI641" s="5">
        <f>IF(ISNUMBER(H641),1,0)</f>
        <v>0</v>
      </c>
      <c r="AJ641" s="5">
        <f>IF(ISNUMBER(P641),1,0)</f>
        <v>1</v>
      </c>
      <c r="AK641" s="5" t="str">
        <f>IF(AI641=1,IF(J641&gt;0,1,0),"")</f>
        <v/>
      </c>
      <c r="AL641" s="5">
        <f>IF(AJ641=1,IF(OR(Q641&gt;0,R641&gt;0),1,0),"")</f>
        <v>0</v>
      </c>
    </row>
    <row r="642" spans="1:38">
      <c r="A642">
        <v>822237</v>
      </c>
      <c r="B642" t="s">
        <v>809</v>
      </c>
      <c r="C642" t="s">
        <v>42</v>
      </c>
      <c r="D642" t="s">
        <v>24</v>
      </c>
      <c r="E642">
        <v>4</v>
      </c>
      <c r="F642">
        <v>46593</v>
      </c>
      <c r="H642" t="s">
        <v>26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>
        <v>1</v>
      </c>
      <c r="Q642">
        <v>0</v>
      </c>
      <c r="R642">
        <v>1</v>
      </c>
      <c r="S642">
        <v>1</v>
      </c>
      <c r="T642">
        <v>21.462499999999999</v>
      </c>
      <c r="U642">
        <v>0.25</v>
      </c>
      <c r="V642">
        <v>1</v>
      </c>
      <c r="W642">
        <f>E642/100</f>
        <v>0.04</v>
      </c>
      <c r="X642">
        <f>F642/1000000</f>
        <v>4.6593000000000002E-2</v>
      </c>
      <c r="Y642">
        <f>IF(D642="C",1,0)</f>
        <v>0</v>
      </c>
      <c r="Z642">
        <f>IF(G642="C",1,0)</f>
        <v>0</v>
      </c>
      <c r="AA642">
        <f>IF(G642="S",1,0)</f>
        <v>0</v>
      </c>
      <c r="AB642">
        <f>IF(G642="U",1,0)</f>
        <v>0</v>
      </c>
      <c r="AC642" s="5">
        <f>IF(AND(ISNUMBER(H642),NOT(ISNUMBER(P642))),1,0)</f>
        <v>0</v>
      </c>
      <c r="AD642" s="5">
        <f>IF(AND(ISNUMBER(H642),ISNUMBER(P642)),1,0)</f>
        <v>0</v>
      </c>
      <c r="AE642" s="5">
        <f>W642</f>
        <v>0.04</v>
      </c>
      <c r="AF642" s="5">
        <f>X642</f>
        <v>4.6593000000000002E-2</v>
      </c>
      <c r="AG642" s="5">
        <f>Y642</f>
        <v>0</v>
      </c>
      <c r="AH642" s="5">
        <f>IF(OR(G642="C",G642="S",G642="U"),1,0)</f>
        <v>0</v>
      </c>
      <c r="AI642" s="5">
        <f>IF(ISNUMBER(H642),1,0)</f>
        <v>0</v>
      </c>
      <c r="AJ642" s="5">
        <f>IF(ISNUMBER(P642),1,0)</f>
        <v>1</v>
      </c>
      <c r="AK642" s="5" t="str">
        <f>IF(AI642=1,IF(J642&gt;0,1,0),"")</f>
        <v/>
      </c>
      <c r="AL642" s="5">
        <f>IF(AJ642=1,IF(OR(Q642&gt;0,R642&gt;0),1,0),"")</f>
        <v>1</v>
      </c>
    </row>
    <row r="643" spans="1:38">
      <c r="A643">
        <v>832483</v>
      </c>
      <c r="B643" t="s">
        <v>811</v>
      </c>
      <c r="C643" t="s">
        <v>77</v>
      </c>
      <c r="D643" t="s">
        <v>24</v>
      </c>
      <c r="E643">
        <v>16</v>
      </c>
      <c r="F643">
        <v>1739341</v>
      </c>
      <c r="G643" t="s">
        <v>25</v>
      </c>
      <c r="H643" t="s">
        <v>26</v>
      </c>
      <c r="I643" t="s">
        <v>26</v>
      </c>
      <c r="J643" t="s">
        <v>26</v>
      </c>
      <c r="K643" t="s">
        <v>26</v>
      </c>
      <c r="L643" t="s">
        <v>26</v>
      </c>
      <c r="M643" t="s">
        <v>26</v>
      </c>
      <c r="N643" t="s">
        <v>26</v>
      </c>
      <c r="O643" t="s">
        <v>26</v>
      </c>
      <c r="P643">
        <v>1</v>
      </c>
      <c r="Q643">
        <v>0</v>
      </c>
      <c r="R643">
        <v>1</v>
      </c>
      <c r="S643">
        <v>1</v>
      </c>
      <c r="T643">
        <v>0.57489999999999997</v>
      </c>
      <c r="U643">
        <v>6.25E-2</v>
      </c>
      <c r="V643">
        <v>1</v>
      </c>
      <c r="W643">
        <f>E643/100</f>
        <v>0.16</v>
      </c>
      <c r="X643">
        <f>F643/1000000</f>
        <v>1.739341</v>
      </c>
      <c r="Y643">
        <f>IF(D643="C",1,0)</f>
        <v>0</v>
      </c>
      <c r="Z643">
        <f>IF(G643="C",1,0)</f>
        <v>0</v>
      </c>
      <c r="AA643">
        <f>IF(G643="S",1,0)</f>
        <v>1</v>
      </c>
      <c r="AB643">
        <f>IF(G643="U",1,0)</f>
        <v>0</v>
      </c>
      <c r="AC643" s="5">
        <f>IF(AND(ISNUMBER(H643),NOT(ISNUMBER(P643))),1,0)</f>
        <v>0</v>
      </c>
      <c r="AD643" s="5">
        <f>IF(AND(ISNUMBER(H643),ISNUMBER(P643)),1,0)</f>
        <v>0</v>
      </c>
      <c r="AE643" s="5">
        <f>W643</f>
        <v>0.16</v>
      </c>
      <c r="AF643" s="5">
        <f>X643</f>
        <v>1.739341</v>
      </c>
      <c r="AG643" s="5">
        <f>Y643</f>
        <v>0</v>
      </c>
      <c r="AH643" s="5">
        <f>IF(OR(G643="C",G643="S",G643="U"),1,0)</f>
        <v>1</v>
      </c>
      <c r="AI643" s="5">
        <f>IF(ISNUMBER(H643),1,0)</f>
        <v>0</v>
      </c>
      <c r="AJ643" s="5">
        <f>IF(ISNUMBER(P643),1,0)</f>
        <v>1</v>
      </c>
      <c r="AK643" s="5" t="str">
        <f>IF(AI643=1,IF(J643&gt;0,1,0),"")</f>
        <v/>
      </c>
      <c r="AL643" s="5">
        <f>IF(AJ643=1,IF(OR(Q643&gt;0,R643&gt;0),1,0),"")</f>
        <v>1</v>
      </c>
    </row>
    <row r="644" spans="1:38">
      <c r="A644">
        <v>835880</v>
      </c>
      <c r="B644" t="s">
        <v>812</v>
      </c>
      <c r="C644" t="s">
        <v>23</v>
      </c>
      <c r="D644" t="s">
        <v>24</v>
      </c>
      <c r="E644">
        <v>2</v>
      </c>
      <c r="F644">
        <v>125000</v>
      </c>
      <c r="H644" t="s">
        <v>26</v>
      </c>
      <c r="I644" t="s">
        <v>26</v>
      </c>
      <c r="J644" t="s">
        <v>26</v>
      </c>
      <c r="K644" t="s">
        <v>26</v>
      </c>
      <c r="L644" t="s">
        <v>26</v>
      </c>
      <c r="M644" t="s">
        <v>26</v>
      </c>
      <c r="N644" t="s">
        <v>26</v>
      </c>
      <c r="O644" t="s">
        <v>26</v>
      </c>
      <c r="P644">
        <v>1</v>
      </c>
      <c r="Q644">
        <v>0</v>
      </c>
      <c r="R644">
        <v>0</v>
      </c>
      <c r="S644">
        <v>1</v>
      </c>
      <c r="T644">
        <v>8</v>
      </c>
      <c r="U644">
        <v>0.5</v>
      </c>
      <c r="V644">
        <v>0</v>
      </c>
      <c r="W644">
        <f>E644/100</f>
        <v>0.02</v>
      </c>
      <c r="X644">
        <f>F644/1000000</f>
        <v>0.125</v>
      </c>
      <c r="Y644">
        <f>IF(D644="C",1,0)</f>
        <v>0</v>
      </c>
      <c r="Z644">
        <f>IF(G644="C",1,0)</f>
        <v>0</v>
      </c>
      <c r="AA644">
        <f>IF(G644="S",1,0)</f>
        <v>0</v>
      </c>
      <c r="AB644">
        <f>IF(G644="U",1,0)</f>
        <v>0</v>
      </c>
      <c r="AC644" s="5">
        <f>IF(AND(ISNUMBER(H644),NOT(ISNUMBER(P644))),1,0)</f>
        <v>0</v>
      </c>
      <c r="AD644" s="5">
        <f>IF(AND(ISNUMBER(H644),ISNUMBER(P644)),1,0)</f>
        <v>0</v>
      </c>
      <c r="AE644" s="5">
        <f>W644</f>
        <v>0.02</v>
      </c>
      <c r="AF644" s="5">
        <f>X644</f>
        <v>0.125</v>
      </c>
      <c r="AG644" s="5">
        <f>Y644</f>
        <v>0</v>
      </c>
      <c r="AH644" s="5">
        <f>IF(OR(G644="C",G644="S",G644="U"),1,0)</f>
        <v>0</v>
      </c>
      <c r="AI644" s="5">
        <f>IF(ISNUMBER(H644),1,0)</f>
        <v>0</v>
      </c>
      <c r="AJ644" s="5">
        <f>IF(ISNUMBER(P644),1,0)</f>
        <v>1</v>
      </c>
      <c r="AK644" s="5" t="str">
        <f>IF(AI644=1,IF(J644&gt;0,1,0),"")</f>
        <v/>
      </c>
      <c r="AL644" s="5">
        <f>IF(AJ644=1,IF(OR(Q644&gt;0,R644&gt;0),1,0),"")</f>
        <v>0</v>
      </c>
    </row>
    <row r="645" spans="1:38">
      <c r="A645">
        <v>837634</v>
      </c>
      <c r="B645" t="s">
        <v>813</v>
      </c>
      <c r="C645" t="s">
        <v>23</v>
      </c>
      <c r="D645" t="s">
        <v>24</v>
      </c>
      <c r="E645">
        <v>2</v>
      </c>
      <c r="F645">
        <v>51000</v>
      </c>
      <c r="H645" t="s">
        <v>26</v>
      </c>
      <c r="I645" t="s">
        <v>26</v>
      </c>
      <c r="J645" t="s">
        <v>26</v>
      </c>
      <c r="K645" t="s">
        <v>26</v>
      </c>
      <c r="L645" t="s">
        <v>26</v>
      </c>
      <c r="M645" t="s">
        <v>26</v>
      </c>
      <c r="N645" t="s">
        <v>26</v>
      </c>
      <c r="O645" t="s">
        <v>26</v>
      </c>
      <c r="P645">
        <v>1</v>
      </c>
      <c r="Q645">
        <v>0</v>
      </c>
      <c r="R645">
        <v>0</v>
      </c>
      <c r="S645">
        <v>1</v>
      </c>
      <c r="T645">
        <v>19.607800000000001</v>
      </c>
      <c r="U645">
        <v>0.5</v>
      </c>
      <c r="V645">
        <v>0</v>
      </c>
      <c r="W645">
        <f>E645/100</f>
        <v>0.02</v>
      </c>
      <c r="X645">
        <f>F645/1000000</f>
        <v>5.0999999999999997E-2</v>
      </c>
      <c r="Y645">
        <f>IF(D645="C",1,0)</f>
        <v>0</v>
      </c>
      <c r="Z645">
        <f>IF(G645="C",1,0)</f>
        <v>0</v>
      </c>
      <c r="AA645">
        <f>IF(G645="S",1,0)</f>
        <v>0</v>
      </c>
      <c r="AB645">
        <f>IF(G645="U",1,0)</f>
        <v>0</v>
      </c>
      <c r="AC645" s="5">
        <f>IF(AND(ISNUMBER(H645),NOT(ISNUMBER(P645))),1,0)</f>
        <v>0</v>
      </c>
      <c r="AD645" s="5">
        <f>IF(AND(ISNUMBER(H645),ISNUMBER(P645)),1,0)</f>
        <v>0</v>
      </c>
      <c r="AE645" s="5">
        <f>W645</f>
        <v>0.02</v>
      </c>
      <c r="AF645" s="5">
        <f>X645</f>
        <v>5.0999999999999997E-2</v>
      </c>
      <c r="AG645" s="5">
        <f>Y645</f>
        <v>0</v>
      </c>
      <c r="AH645" s="5">
        <f>IF(OR(G645="C",G645="S",G645="U"),1,0)</f>
        <v>0</v>
      </c>
      <c r="AI645" s="5">
        <f>IF(ISNUMBER(H645),1,0)</f>
        <v>0</v>
      </c>
      <c r="AJ645" s="5">
        <f>IF(ISNUMBER(P645),1,0)</f>
        <v>1</v>
      </c>
      <c r="AK645" s="5" t="str">
        <f>IF(AI645=1,IF(J645&gt;0,1,0),"")</f>
        <v/>
      </c>
      <c r="AL645" s="5">
        <f>IF(AJ645=1,IF(OR(Q645&gt;0,R645&gt;0),1,0),"")</f>
        <v>0</v>
      </c>
    </row>
    <row r="646" spans="1:38">
      <c r="A646">
        <v>851335</v>
      </c>
      <c r="B646" t="s">
        <v>819</v>
      </c>
      <c r="C646" t="s">
        <v>82</v>
      </c>
      <c r="D646" t="s">
        <v>24</v>
      </c>
      <c r="E646">
        <v>21</v>
      </c>
      <c r="F646">
        <v>651927</v>
      </c>
      <c r="G646" t="s">
        <v>25</v>
      </c>
      <c r="H646" t="s">
        <v>26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>
        <v>1</v>
      </c>
      <c r="Q646">
        <v>0</v>
      </c>
      <c r="R646">
        <v>1</v>
      </c>
      <c r="S646">
        <v>0</v>
      </c>
      <c r="T646">
        <v>1.5339</v>
      </c>
      <c r="U646">
        <v>4.7600000000000003E-2</v>
      </c>
      <c r="V646">
        <v>1</v>
      </c>
      <c r="W646">
        <f>E646/100</f>
        <v>0.21</v>
      </c>
      <c r="X646">
        <f>F646/1000000</f>
        <v>0.65192700000000003</v>
      </c>
      <c r="Y646">
        <f>IF(D646="C",1,0)</f>
        <v>0</v>
      </c>
      <c r="Z646">
        <f>IF(G646="C",1,0)</f>
        <v>0</v>
      </c>
      <c r="AA646">
        <f>IF(G646="S",1,0)</f>
        <v>1</v>
      </c>
      <c r="AB646">
        <f>IF(G646="U",1,0)</f>
        <v>0</v>
      </c>
      <c r="AC646" s="5">
        <f>IF(AND(ISNUMBER(H646),NOT(ISNUMBER(P646))),1,0)</f>
        <v>0</v>
      </c>
      <c r="AD646" s="5">
        <f>IF(AND(ISNUMBER(H646),ISNUMBER(P646)),1,0)</f>
        <v>0</v>
      </c>
      <c r="AE646" s="5">
        <f>W646</f>
        <v>0.21</v>
      </c>
      <c r="AF646" s="5">
        <f>X646</f>
        <v>0.65192700000000003</v>
      </c>
      <c r="AG646" s="5">
        <f>Y646</f>
        <v>0</v>
      </c>
      <c r="AH646" s="5">
        <f>IF(OR(G646="C",G646="S",G646="U"),1,0)</f>
        <v>1</v>
      </c>
      <c r="AI646" s="5">
        <f>IF(ISNUMBER(H646),1,0)</f>
        <v>0</v>
      </c>
      <c r="AJ646" s="5">
        <f>IF(ISNUMBER(P646),1,0)</f>
        <v>1</v>
      </c>
      <c r="AK646" s="5" t="str">
        <f>IF(AI646=1,IF(J646&gt;0,1,0),"")</f>
        <v/>
      </c>
      <c r="AL646" s="5">
        <f>IF(AJ646=1,IF(OR(Q646&gt;0,R646&gt;0),1,0),"")</f>
        <v>1</v>
      </c>
    </row>
    <row r="647" spans="1:38">
      <c r="A647">
        <v>858832</v>
      </c>
      <c r="B647" t="s">
        <v>821</v>
      </c>
      <c r="C647" t="s">
        <v>82</v>
      </c>
      <c r="D647" t="s">
        <v>24</v>
      </c>
      <c r="E647">
        <v>4</v>
      </c>
      <c r="F647">
        <v>78777</v>
      </c>
      <c r="H647" t="s">
        <v>26</v>
      </c>
      <c r="I647" t="s">
        <v>26</v>
      </c>
      <c r="J647" t="s">
        <v>26</v>
      </c>
      <c r="K647" t="s">
        <v>26</v>
      </c>
      <c r="L647" t="s">
        <v>26</v>
      </c>
      <c r="M647" t="s">
        <v>26</v>
      </c>
      <c r="N647" t="s">
        <v>26</v>
      </c>
      <c r="O647" t="s">
        <v>26</v>
      </c>
      <c r="P647">
        <v>1</v>
      </c>
      <c r="Q647">
        <v>0</v>
      </c>
      <c r="R647">
        <v>1</v>
      </c>
      <c r="S647">
        <v>1</v>
      </c>
      <c r="T647">
        <v>12.694100000000001</v>
      </c>
      <c r="U647">
        <v>0.25</v>
      </c>
      <c r="V647">
        <v>1</v>
      </c>
      <c r="W647">
        <f>E647/100</f>
        <v>0.04</v>
      </c>
      <c r="X647">
        <f>F647/1000000</f>
        <v>7.8777E-2</v>
      </c>
      <c r="Y647">
        <f>IF(D647="C",1,0)</f>
        <v>0</v>
      </c>
      <c r="Z647">
        <f>IF(G647="C",1,0)</f>
        <v>0</v>
      </c>
      <c r="AA647">
        <f>IF(G647="S",1,0)</f>
        <v>0</v>
      </c>
      <c r="AB647">
        <f>IF(G647="U",1,0)</f>
        <v>0</v>
      </c>
      <c r="AC647" s="5">
        <f>IF(AND(ISNUMBER(H647),NOT(ISNUMBER(P647))),1,0)</f>
        <v>0</v>
      </c>
      <c r="AD647" s="5">
        <f>IF(AND(ISNUMBER(H647),ISNUMBER(P647)),1,0)</f>
        <v>0</v>
      </c>
      <c r="AE647" s="5">
        <f>W647</f>
        <v>0.04</v>
      </c>
      <c r="AF647" s="5">
        <f>X647</f>
        <v>7.8777E-2</v>
      </c>
      <c r="AG647" s="5">
        <f>Y647</f>
        <v>0</v>
      </c>
      <c r="AH647" s="5">
        <f>IF(OR(G647="C",G647="S",G647="U"),1,0)</f>
        <v>0</v>
      </c>
      <c r="AI647" s="5">
        <f>IF(ISNUMBER(H647),1,0)</f>
        <v>0</v>
      </c>
      <c r="AJ647" s="5">
        <f>IF(ISNUMBER(P647),1,0)</f>
        <v>1</v>
      </c>
      <c r="AK647" s="5" t="str">
        <f>IF(AI647=1,IF(J647&gt;0,1,0),"")</f>
        <v/>
      </c>
      <c r="AL647" s="5">
        <f>IF(AJ647=1,IF(OR(Q647&gt;0,R647&gt;0),1,0),"")</f>
        <v>1</v>
      </c>
    </row>
    <row r="648" spans="1:38">
      <c r="A648">
        <v>869464</v>
      </c>
      <c r="B648" t="s">
        <v>824</v>
      </c>
      <c r="C648" t="s">
        <v>82</v>
      </c>
      <c r="D648" t="s">
        <v>24</v>
      </c>
      <c r="E648">
        <v>1</v>
      </c>
      <c r="F648">
        <v>40000</v>
      </c>
      <c r="H648" t="s">
        <v>26</v>
      </c>
      <c r="I648" t="s">
        <v>26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>
        <v>1</v>
      </c>
      <c r="Q648">
        <v>0</v>
      </c>
      <c r="R648">
        <v>0</v>
      </c>
      <c r="S648">
        <v>1</v>
      </c>
      <c r="T648">
        <v>25</v>
      </c>
      <c r="U648">
        <v>1</v>
      </c>
      <c r="V648">
        <v>0</v>
      </c>
      <c r="W648">
        <f>E648/100</f>
        <v>0.01</v>
      </c>
      <c r="X648">
        <f>F648/1000000</f>
        <v>0.04</v>
      </c>
      <c r="Y648">
        <f>IF(D648="C",1,0)</f>
        <v>0</v>
      </c>
      <c r="Z648">
        <f>IF(G648="C",1,0)</f>
        <v>0</v>
      </c>
      <c r="AA648">
        <f>IF(G648="S",1,0)</f>
        <v>0</v>
      </c>
      <c r="AB648">
        <f>IF(G648="U",1,0)</f>
        <v>0</v>
      </c>
      <c r="AC648" s="5">
        <f>IF(AND(ISNUMBER(H648),NOT(ISNUMBER(P648))),1,0)</f>
        <v>0</v>
      </c>
      <c r="AD648" s="5">
        <f>IF(AND(ISNUMBER(H648),ISNUMBER(P648)),1,0)</f>
        <v>0</v>
      </c>
      <c r="AE648" s="5">
        <f>W648</f>
        <v>0.01</v>
      </c>
      <c r="AF648" s="5">
        <f>X648</f>
        <v>0.04</v>
      </c>
      <c r="AG648" s="5">
        <f>Y648</f>
        <v>0</v>
      </c>
      <c r="AH648" s="5">
        <f>IF(OR(G648="C",G648="S",G648="U"),1,0)</f>
        <v>0</v>
      </c>
      <c r="AI648" s="5">
        <f>IF(ISNUMBER(H648),1,0)</f>
        <v>0</v>
      </c>
      <c r="AJ648" s="5">
        <f>IF(ISNUMBER(P648),1,0)</f>
        <v>1</v>
      </c>
      <c r="AK648" s="5" t="str">
        <f>IF(AI648=1,IF(J648&gt;0,1,0),"")</f>
        <v/>
      </c>
      <c r="AL648" s="5">
        <f>IF(AJ648=1,IF(OR(Q648&gt;0,R648&gt;0),1,0),"")</f>
        <v>0</v>
      </c>
    </row>
    <row r="649" spans="1:38">
      <c r="A649">
        <v>869941</v>
      </c>
      <c r="B649" t="s">
        <v>825</v>
      </c>
      <c r="C649" t="s">
        <v>37</v>
      </c>
      <c r="D649" t="s">
        <v>24</v>
      </c>
      <c r="E649">
        <v>7</v>
      </c>
      <c r="F649">
        <v>85000</v>
      </c>
      <c r="H649" t="s">
        <v>26</v>
      </c>
      <c r="I649" t="s">
        <v>26</v>
      </c>
      <c r="J649" t="s">
        <v>26</v>
      </c>
      <c r="K649" t="s">
        <v>26</v>
      </c>
      <c r="L649" t="s">
        <v>26</v>
      </c>
      <c r="M649" t="s">
        <v>26</v>
      </c>
      <c r="N649" t="s">
        <v>26</v>
      </c>
      <c r="O649" t="s">
        <v>26</v>
      </c>
      <c r="P649">
        <v>1</v>
      </c>
      <c r="Q649">
        <v>0</v>
      </c>
      <c r="R649">
        <v>1</v>
      </c>
      <c r="S649">
        <v>1</v>
      </c>
      <c r="T649">
        <v>11.764699999999999</v>
      </c>
      <c r="U649">
        <v>0.1429</v>
      </c>
      <c r="V649">
        <v>1</v>
      </c>
      <c r="W649">
        <f>E649/100</f>
        <v>7.0000000000000007E-2</v>
      </c>
      <c r="X649">
        <f>F649/1000000</f>
        <v>8.5000000000000006E-2</v>
      </c>
      <c r="Y649">
        <f>IF(D649="C",1,0)</f>
        <v>0</v>
      </c>
      <c r="Z649">
        <f>IF(G649="C",1,0)</f>
        <v>0</v>
      </c>
      <c r="AA649">
        <f>IF(G649="S",1,0)</f>
        <v>0</v>
      </c>
      <c r="AB649">
        <f>IF(G649="U",1,0)</f>
        <v>0</v>
      </c>
      <c r="AC649" s="5">
        <f>IF(AND(ISNUMBER(H649),NOT(ISNUMBER(P649))),1,0)</f>
        <v>0</v>
      </c>
      <c r="AD649" s="5">
        <f>IF(AND(ISNUMBER(H649),ISNUMBER(P649)),1,0)</f>
        <v>0</v>
      </c>
      <c r="AE649" s="5">
        <f>W649</f>
        <v>7.0000000000000007E-2</v>
      </c>
      <c r="AF649" s="5">
        <f>X649</f>
        <v>8.5000000000000006E-2</v>
      </c>
      <c r="AG649" s="5">
        <f>Y649</f>
        <v>0</v>
      </c>
      <c r="AH649" s="5">
        <f>IF(OR(G649="C",G649="S",G649="U"),1,0)</f>
        <v>0</v>
      </c>
      <c r="AI649" s="5">
        <f>IF(ISNUMBER(H649),1,0)</f>
        <v>0</v>
      </c>
      <c r="AJ649" s="5">
        <f>IF(ISNUMBER(P649),1,0)</f>
        <v>1</v>
      </c>
      <c r="AK649" s="5" t="str">
        <f>IF(AI649=1,IF(J649&gt;0,1,0),"")</f>
        <v/>
      </c>
      <c r="AL649" s="5">
        <f>IF(AJ649=1,IF(OR(Q649&gt;0,R649&gt;0),1,0),"")</f>
        <v>1</v>
      </c>
    </row>
    <row r="650" spans="1:38">
      <c r="A650">
        <v>886382</v>
      </c>
      <c r="B650" t="s">
        <v>828</v>
      </c>
      <c r="C650" t="s">
        <v>42</v>
      </c>
      <c r="D650" t="s">
        <v>24</v>
      </c>
      <c r="E650">
        <v>1</v>
      </c>
      <c r="F650">
        <v>65261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26</v>
      </c>
      <c r="O650" t="s">
        <v>26</v>
      </c>
      <c r="P650">
        <v>1</v>
      </c>
      <c r="Q650">
        <v>1</v>
      </c>
      <c r="R650">
        <v>0</v>
      </c>
      <c r="S650">
        <v>1</v>
      </c>
      <c r="T650">
        <v>15.3231</v>
      </c>
      <c r="U650">
        <v>1</v>
      </c>
      <c r="V650">
        <v>1</v>
      </c>
      <c r="W650">
        <f>E650/100</f>
        <v>0.01</v>
      </c>
      <c r="X650">
        <f>F650/1000000</f>
        <v>6.5261E-2</v>
      </c>
      <c r="Y650">
        <f>IF(D650="C",1,0)</f>
        <v>0</v>
      </c>
      <c r="Z650">
        <f>IF(G650="C",1,0)</f>
        <v>0</v>
      </c>
      <c r="AA650">
        <f>IF(G650="S",1,0)</f>
        <v>0</v>
      </c>
      <c r="AB650">
        <f>IF(G650="U",1,0)</f>
        <v>0</v>
      </c>
      <c r="AC650" s="5">
        <f>IF(AND(ISNUMBER(H650),NOT(ISNUMBER(P650))),1,0)</f>
        <v>0</v>
      </c>
      <c r="AD650" s="5">
        <f>IF(AND(ISNUMBER(H650),ISNUMBER(P650)),1,0)</f>
        <v>0</v>
      </c>
      <c r="AE650" s="5">
        <f>W650</f>
        <v>0.01</v>
      </c>
      <c r="AF650" s="5">
        <f>X650</f>
        <v>6.5261E-2</v>
      </c>
      <c r="AG650" s="5">
        <f>Y650</f>
        <v>0</v>
      </c>
      <c r="AH650" s="5">
        <f>IF(OR(G650="C",G650="S",G650="U"),1,0)</f>
        <v>0</v>
      </c>
      <c r="AI650" s="5">
        <f>IF(ISNUMBER(H650),1,0)</f>
        <v>0</v>
      </c>
      <c r="AJ650" s="5">
        <f>IF(ISNUMBER(P650),1,0)</f>
        <v>1</v>
      </c>
      <c r="AK650" s="5" t="str">
        <f>IF(AI650=1,IF(J650&gt;0,1,0),"")</f>
        <v/>
      </c>
      <c r="AL650" s="5">
        <f>IF(AJ650=1,IF(OR(Q650&gt;0,R650&gt;0),1,0),"")</f>
        <v>1</v>
      </c>
    </row>
    <row r="651" spans="1:38">
      <c r="A651">
        <v>887274</v>
      </c>
      <c r="B651" t="s">
        <v>829</v>
      </c>
      <c r="C651" t="s">
        <v>23</v>
      </c>
      <c r="D651" t="s">
        <v>24</v>
      </c>
      <c r="E651">
        <v>4</v>
      </c>
      <c r="F651">
        <v>65382</v>
      </c>
      <c r="G651" t="s">
        <v>25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>
        <v>1</v>
      </c>
      <c r="Q651">
        <v>0</v>
      </c>
      <c r="R651">
        <v>0</v>
      </c>
      <c r="S651">
        <v>1</v>
      </c>
      <c r="T651">
        <v>15.294700000000001</v>
      </c>
      <c r="U651">
        <v>0.25</v>
      </c>
      <c r="V651">
        <v>0</v>
      </c>
      <c r="W651">
        <f>E651/100</f>
        <v>0.04</v>
      </c>
      <c r="X651">
        <f>F651/1000000</f>
        <v>6.5381999999999996E-2</v>
      </c>
      <c r="Y651">
        <f>IF(D651="C",1,0)</f>
        <v>0</v>
      </c>
      <c r="Z651">
        <f>IF(G651="C",1,0)</f>
        <v>0</v>
      </c>
      <c r="AA651">
        <f>IF(G651="S",1,0)</f>
        <v>1</v>
      </c>
      <c r="AB651">
        <f>IF(G651="U",1,0)</f>
        <v>0</v>
      </c>
      <c r="AC651" s="5">
        <f>IF(AND(ISNUMBER(H651),NOT(ISNUMBER(P651))),1,0)</f>
        <v>0</v>
      </c>
      <c r="AD651" s="5">
        <f>IF(AND(ISNUMBER(H651),ISNUMBER(P651)),1,0)</f>
        <v>0</v>
      </c>
      <c r="AE651" s="5">
        <f>W651</f>
        <v>0.04</v>
      </c>
      <c r="AF651" s="5">
        <f>X651</f>
        <v>6.5381999999999996E-2</v>
      </c>
      <c r="AG651" s="5">
        <f>Y651</f>
        <v>0</v>
      </c>
      <c r="AH651" s="5">
        <f>IF(OR(G651="C",G651="S",G651="U"),1,0)</f>
        <v>1</v>
      </c>
      <c r="AI651" s="5">
        <f>IF(ISNUMBER(H651),1,0)</f>
        <v>0</v>
      </c>
      <c r="AJ651" s="5">
        <f>IF(ISNUMBER(P651),1,0)</f>
        <v>1</v>
      </c>
      <c r="AK651" s="5" t="str">
        <f>IF(AI651=1,IF(J651&gt;0,1,0),"")</f>
        <v/>
      </c>
      <c r="AL651" s="5">
        <f>IF(AJ651=1,IF(OR(Q651&gt;0,R651&gt;0),1,0),"")</f>
        <v>0</v>
      </c>
    </row>
    <row r="652" spans="1:38">
      <c r="A652">
        <v>888905</v>
      </c>
      <c r="B652" t="s">
        <v>830</v>
      </c>
      <c r="C652" t="s">
        <v>101</v>
      </c>
      <c r="D652" t="s">
        <v>24</v>
      </c>
      <c r="E652">
        <v>1</v>
      </c>
      <c r="F652">
        <v>56345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>
        <v>1</v>
      </c>
      <c r="Q652">
        <v>0</v>
      </c>
      <c r="R652">
        <v>1</v>
      </c>
      <c r="S652">
        <v>0</v>
      </c>
      <c r="T652">
        <v>17.747800000000002</v>
      </c>
      <c r="U652">
        <v>1</v>
      </c>
      <c r="V652">
        <v>1</v>
      </c>
      <c r="W652">
        <f>E652/100</f>
        <v>0.01</v>
      </c>
      <c r="X652">
        <f>F652/1000000</f>
        <v>5.6344999999999999E-2</v>
      </c>
      <c r="Y652">
        <f>IF(D652="C",1,0)</f>
        <v>0</v>
      </c>
      <c r="Z652">
        <f>IF(G652="C",1,0)</f>
        <v>0</v>
      </c>
      <c r="AA652">
        <f>IF(G652="S",1,0)</f>
        <v>0</v>
      </c>
      <c r="AB652">
        <f>IF(G652="U",1,0)</f>
        <v>0</v>
      </c>
      <c r="AC652" s="5">
        <f>IF(AND(ISNUMBER(H652),NOT(ISNUMBER(P652))),1,0)</f>
        <v>0</v>
      </c>
      <c r="AD652" s="5">
        <f>IF(AND(ISNUMBER(H652),ISNUMBER(P652)),1,0)</f>
        <v>0</v>
      </c>
      <c r="AE652" s="5">
        <f>W652</f>
        <v>0.01</v>
      </c>
      <c r="AF652" s="5">
        <f>X652</f>
        <v>5.6344999999999999E-2</v>
      </c>
      <c r="AG652" s="5">
        <f>Y652</f>
        <v>0</v>
      </c>
      <c r="AH652" s="5">
        <f>IF(OR(G652="C",G652="S",G652="U"),1,0)</f>
        <v>0</v>
      </c>
      <c r="AI652" s="5">
        <f>IF(ISNUMBER(H652),1,0)</f>
        <v>0</v>
      </c>
      <c r="AJ652" s="5">
        <f>IF(ISNUMBER(P652),1,0)</f>
        <v>1</v>
      </c>
      <c r="AK652" s="5" t="str">
        <f>IF(AI652=1,IF(J652&gt;0,1,0),"")</f>
        <v/>
      </c>
      <c r="AL652" s="5">
        <f>IF(AJ652=1,IF(OR(Q652&gt;0,R652&gt;0),1,0),"")</f>
        <v>1</v>
      </c>
    </row>
    <row r="653" spans="1:38">
      <c r="A653">
        <v>895104</v>
      </c>
      <c r="B653" t="s">
        <v>832</v>
      </c>
      <c r="C653" t="s">
        <v>23</v>
      </c>
      <c r="D653" t="s">
        <v>24</v>
      </c>
      <c r="E653">
        <v>1</v>
      </c>
      <c r="F653">
        <v>100000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26</v>
      </c>
      <c r="O653" t="s">
        <v>26</v>
      </c>
      <c r="P653">
        <v>1</v>
      </c>
      <c r="Q653">
        <v>0</v>
      </c>
      <c r="R653">
        <v>0</v>
      </c>
      <c r="S653">
        <v>1</v>
      </c>
      <c r="T653">
        <v>10</v>
      </c>
      <c r="U653">
        <v>1</v>
      </c>
      <c r="V653">
        <v>0</v>
      </c>
      <c r="W653">
        <f>E653/100</f>
        <v>0.01</v>
      </c>
      <c r="X653">
        <f>F653/1000000</f>
        <v>0.1</v>
      </c>
      <c r="Y653">
        <f>IF(D653="C",1,0)</f>
        <v>0</v>
      </c>
      <c r="Z653">
        <f>IF(G653="C",1,0)</f>
        <v>0</v>
      </c>
      <c r="AA653">
        <f>IF(G653="S",1,0)</f>
        <v>0</v>
      </c>
      <c r="AB653">
        <f>IF(G653="U",1,0)</f>
        <v>0</v>
      </c>
      <c r="AC653" s="5">
        <f>IF(AND(ISNUMBER(H653),NOT(ISNUMBER(P653))),1,0)</f>
        <v>0</v>
      </c>
      <c r="AD653" s="5">
        <f>IF(AND(ISNUMBER(H653),ISNUMBER(P653)),1,0)</f>
        <v>0</v>
      </c>
      <c r="AE653" s="5">
        <f>W653</f>
        <v>0.01</v>
      </c>
      <c r="AF653" s="5">
        <f>X653</f>
        <v>0.1</v>
      </c>
      <c r="AG653" s="5">
        <f>Y653</f>
        <v>0</v>
      </c>
      <c r="AH653" s="5">
        <f>IF(OR(G653="C",G653="S",G653="U"),1,0)</f>
        <v>0</v>
      </c>
      <c r="AI653" s="5">
        <f>IF(ISNUMBER(H653),1,0)</f>
        <v>0</v>
      </c>
      <c r="AJ653" s="5">
        <f>IF(ISNUMBER(P653),1,0)</f>
        <v>1</v>
      </c>
      <c r="AK653" s="5" t="str">
        <f>IF(AI653=1,IF(J653&gt;0,1,0),"")</f>
        <v/>
      </c>
      <c r="AL653" s="5">
        <f>IF(AJ653=1,IF(OR(Q653&gt;0,R653&gt;0),1,0),"")</f>
        <v>0</v>
      </c>
    </row>
    <row r="654" spans="1:38">
      <c r="A654">
        <v>902596</v>
      </c>
      <c r="B654" t="s">
        <v>835</v>
      </c>
      <c r="C654" t="s">
        <v>82</v>
      </c>
      <c r="D654" t="s">
        <v>24</v>
      </c>
      <c r="E654">
        <v>17</v>
      </c>
      <c r="F654">
        <v>46295</v>
      </c>
      <c r="G654" t="s">
        <v>25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>
        <v>1</v>
      </c>
      <c r="Q654">
        <v>0</v>
      </c>
      <c r="R654">
        <v>1</v>
      </c>
      <c r="S654">
        <v>1</v>
      </c>
      <c r="T654">
        <v>21.6006</v>
      </c>
      <c r="U654">
        <v>5.8799999999999998E-2</v>
      </c>
      <c r="V654">
        <v>1</v>
      </c>
      <c r="W654">
        <f>E654/100</f>
        <v>0.17</v>
      </c>
      <c r="X654">
        <f>F654/1000000</f>
        <v>4.6295000000000003E-2</v>
      </c>
      <c r="Y654">
        <f>IF(D654="C",1,0)</f>
        <v>0</v>
      </c>
      <c r="Z654">
        <f>IF(G654="C",1,0)</f>
        <v>0</v>
      </c>
      <c r="AA654">
        <f>IF(G654="S",1,0)</f>
        <v>1</v>
      </c>
      <c r="AB654">
        <f>IF(G654="U",1,0)</f>
        <v>0</v>
      </c>
      <c r="AC654" s="5">
        <f>IF(AND(ISNUMBER(H654),NOT(ISNUMBER(P654))),1,0)</f>
        <v>0</v>
      </c>
      <c r="AD654" s="5">
        <f>IF(AND(ISNUMBER(H654),ISNUMBER(P654)),1,0)</f>
        <v>0</v>
      </c>
      <c r="AE654" s="5">
        <f>W654</f>
        <v>0.17</v>
      </c>
      <c r="AF654" s="5">
        <f>X654</f>
        <v>4.6295000000000003E-2</v>
      </c>
      <c r="AG654" s="5">
        <f>Y654</f>
        <v>0</v>
      </c>
      <c r="AH654" s="5">
        <f>IF(OR(G654="C",G654="S",G654="U"),1,0)</f>
        <v>1</v>
      </c>
      <c r="AI654" s="5">
        <f>IF(ISNUMBER(H654),1,0)</f>
        <v>0</v>
      </c>
      <c r="AJ654" s="5">
        <f>IF(ISNUMBER(P654),1,0)</f>
        <v>1</v>
      </c>
      <c r="AK654" s="5" t="str">
        <f>IF(AI654=1,IF(J654&gt;0,1,0),"")</f>
        <v/>
      </c>
      <c r="AL654" s="5">
        <f>IF(AJ654=1,IF(OR(Q654&gt;0,R654&gt;0),1,0),"")</f>
        <v>1</v>
      </c>
    </row>
    <row r="655" spans="1:38">
      <c r="A655">
        <v>906981</v>
      </c>
      <c r="B655" t="s">
        <v>836</v>
      </c>
      <c r="C655" t="s">
        <v>82</v>
      </c>
      <c r="D655" t="s">
        <v>24</v>
      </c>
      <c r="E655">
        <v>5</v>
      </c>
      <c r="F655">
        <v>45500</v>
      </c>
      <c r="H655" t="s">
        <v>26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>
        <v>1</v>
      </c>
      <c r="Q655">
        <v>0</v>
      </c>
      <c r="R655">
        <v>0</v>
      </c>
      <c r="S655">
        <v>1</v>
      </c>
      <c r="T655">
        <v>21.978000000000002</v>
      </c>
      <c r="U655">
        <v>0.2</v>
      </c>
      <c r="V655">
        <v>0</v>
      </c>
      <c r="W655">
        <f>E655/100</f>
        <v>0.05</v>
      </c>
      <c r="X655">
        <f>F655/1000000</f>
        <v>4.5499999999999999E-2</v>
      </c>
      <c r="Y655">
        <f>IF(D655="C",1,0)</f>
        <v>0</v>
      </c>
      <c r="Z655">
        <f>IF(G655="C",1,0)</f>
        <v>0</v>
      </c>
      <c r="AA655">
        <f>IF(G655="S",1,0)</f>
        <v>0</v>
      </c>
      <c r="AB655">
        <f>IF(G655="U",1,0)</f>
        <v>0</v>
      </c>
      <c r="AC655" s="5">
        <f>IF(AND(ISNUMBER(H655),NOT(ISNUMBER(P655))),1,0)</f>
        <v>0</v>
      </c>
      <c r="AD655" s="5">
        <f>IF(AND(ISNUMBER(H655),ISNUMBER(P655)),1,0)</f>
        <v>0</v>
      </c>
      <c r="AE655" s="5">
        <f>W655</f>
        <v>0.05</v>
      </c>
      <c r="AF655" s="5">
        <f>X655</f>
        <v>4.5499999999999999E-2</v>
      </c>
      <c r="AG655" s="5">
        <f>Y655</f>
        <v>0</v>
      </c>
      <c r="AH655" s="5">
        <f>IF(OR(G655="C",G655="S",G655="U"),1,0)</f>
        <v>0</v>
      </c>
      <c r="AI655" s="5">
        <f>IF(ISNUMBER(H655),1,0)</f>
        <v>0</v>
      </c>
      <c r="AJ655" s="5">
        <f>IF(ISNUMBER(P655),1,0)</f>
        <v>1</v>
      </c>
      <c r="AK655" s="5" t="str">
        <f>IF(AI655=1,IF(J655&gt;0,1,0),"")</f>
        <v/>
      </c>
      <c r="AL655" s="5">
        <f>IF(AJ655=1,IF(OR(Q655&gt;0,R655&gt;0),1,0),"")</f>
        <v>0</v>
      </c>
    </row>
    <row r="656" spans="1:38">
      <c r="A656">
        <v>923630</v>
      </c>
      <c r="B656" t="s">
        <v>839</v>
      </c>
      <c r="C656" t="s">
        <v>23</v>
      </c>
      <c r="D656" t="s">
        <v>24</v>
      </c>
      <c r="E656">
        <v>10</v>
      </c>
      <c r="F656">
        <v>490000</v>
      </c>
      <c r="G656" t="s">
        <v>25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>
        <v>1</v>
      </c>
      <c r="Q656">
        <v>0</v>
      </c>
      <c r="R656">
        <v>0</v>
      </c>
      <c r="S656">
        <v>1</v>
      </c>
      <c r="T656">
        <v>2.0407999999999999</v>
      </c>
      <c r="U656">
        <v>0.1</v>
      </c>
      <c r="V656">
        <v>0</v>
      </c>
      <c r="W656">
        <f>E656/100</f>
        <v>0.1</v>
      </c>
      <c r="X656">
        <f>F656/1000000</f>
        <v>0.49</v>
      </c>
      <c r="Y656">
        <f>IF(D656="C",1,0)</f>
        <v>0</v>
      </c>
      <c r="Z656">
        <f>IF(G656="C",1,0)</f>
        <v>0</v>
      </c>
      <c r="AA656">
        <f>IF(G656="S",1,0)</f>
        <v>1</v>
      </c>
      <c r="AB656">
        <f>IF(G656="U",1,0)</f>
        <v>0</v>
      </c>
      <c r="AC656" s="5">
        <f>IF(AND(ISNUMBER(H656),NOT(ISNUMBER(P656))),1,0)</f>
        <v>0</v>
      </c>
      <c r="AD656" s="5">
        <f>IF(AND(ISNUMBER(H656),ISNUMBER(P656)),1,0)</f>
        <v>0</v>
      </c>
      <c r="AE656" s="5">
        <f>W656</f>
        <v>0.1</v>
      </c>
      <c r="AF656" s="5">
        <f>X656</f>
        <v>0.49</v>
      </c>
      <c r="AG656" s="5">
        <f>Y656</f>
        <v>0</v>
      </c>
      <c r="AH656" s="5">
        <f>IF(OR(G656="C",G656="S",G656="U"),1,0)</f>
        <v>1</v>
      </c>
      <c r="AI656" s="5">
        <f>IF(ISNUMBER(H656),1,0)</f>
        <v>0</v>
      </c>
      <c r="AJ656" s="5">
        <f>IF(ISNUMBER(P656),1,0)</f>
        <v>1</v>
      </c>
      <c r="AK656" s="5" t="str">
        <f>IF(AI656=1,IF(J656&gt;0,1,0),"")</f>
        <v/>
      </c>
      <c r="AL656" s="5">
        <f>IF(AJ656=1,IF(OR(Q656&gt;0,R656&gt;0),1,0),"")</f>
        <v>0</v>
      </c>
    </row>
    <row r="657" spans="1:38">
      <c r="A657">
        <v>926556</v>
      </c>
      <c r="B657" t="s">
        <v>840</v>
      </c>
      <c r="C657" t="s">
        <v>82</v>
      </c>
      <c r="D657" t="s">
        <v>24</v>
      </c>
      <c r="E657">
        <v>1</v>
      </c>
      <c r="F657">
        <v>57000</v>
      </c>
      <c r="G657" t="s">
        <v>25</v>
      </c>
      <c r="H657" t="s">
        <v>26</v>
      </c>
      <c r="I657" t="s">
        <v>26</v>
      </c>
      <c r="J657" t="s">
        <v>26</v>
      </c>
      <c r="K657" t="s">
        <v>26</v>
      </c>
      <c r="L657" t="s">
        <v>26</v>
      </c>
      <c r="M657" t="s">
        <v>26</v>
      </c>
      <c r="N657" t="s">
        <v>26</v>
      </c>
      <c r="O657" t="s">
        <v>26</v>
      </c>
      <c r="P657">
        <v>1</v>
      </c>
      <c r="Q657">
        <v>0</v>
      </c>
      <c r="R657">
        <v>1</v>
      </c>
      <c r="S657">
        <v>1</v>
      </c>
      <c r="T657">
        <v>17.543900000000001</v>
      </c>
      <c r="U657">
        <v>1</v>
      </c>
      <c r="V657">
        <v>1</v>
      </c>
      <c r="W657">
        <f>E657/100</f>
        <v>0.01</v>
      </c>
      <c r="X657">
        <f>F657/1000000</f>
        <v>5.7000000000000002E-2</v>
      </c>
      <c r="Y657">
        <f>IF(D657="C",1,0)</f>
        <v>0</v>
      </c>
      <c r="Z657">
        <f>IF(G657="C",1,0)</f>
        <v>0</v>
      </c>
      <c r="AA657">
        <f>IF(G657="S",1,0)</f>
        <v>1</v>
      </c>
      <c r="AB657">
        <f>IF(G657="U",1,0)</f>
        <v>0</v>
      </c>
      <c r="AC657" s="5">
        <f>IF(AND(ISNUMBER(H657),NOT(ISNUMBER(P657))),1,0)</f>
        <v>0</v>
      </c>
      <c r="AD657" s="5">
        <f>IF(AND(ISNUMBER(H657),ISNUMBER(P657)),1,0)</f>
        <v>0</v>
      </c>
      <c r="AE657" s="5">
        <f>W657</f>
        <v>0.01</v>
      </c>
      <c r="AF657" s="5">
        <f>X657</f>
        <v>5.7000000000000002E-2</v>
      </c>
      <c r="AG657" s="5">
        <f>Y657</f>
        <v>0</v>
      </c>
      <c r="AH657" s="5">
        <f>IF(OR(G657="C",G657="S",G657="U"),1,0)</f>
        <v>1</v>
      </c>
      <c r="AI657" s="5">
        <f>IF(ISNUMBER(H657),1,0)</f>
        <v>0</v>
      </c>
      <c r="AJ657" s="5">
        <f>IF(ISNUMBER(P657),1,0)</f>
        <v>1</v>
      </c>
      <c r="AK657" s="5" t="str">
        <f>IF(AI657=1,IF(J657&gt;0,1,0),"")</f>
        <v/>
      </c>
      <c r="AL657" s="5">
        <f>IF(AJ657=1,IF(OR(Q657&gt;0,R657&gt;0),1,0),"")</f>
        <v>1</v>
      </c>
    </row>
    <row r="658" spans="1:38">
      <c r="A658">
        <v>958057</v>
      </c>
      <c r="B658" t="s">
        <v>843</v>
      </c>
      <c r="C658" t="s">
        <v>23</v>
      </c>
      <c r="D658" t="s">
        <v>24</v>
      </c>
      <c r="E658">
        <v>5</v>
      </c>
      <c r="F658">
        <v>60000</v>
      </c>
      <c r="H658" t="s">
        <v>26</v>
      </c>
      <c r="I658" t="s">
        <v>26</v>
      </c>
      <c r="J658" t="s">
        <v>26</v>
      </c>
      <c r="K658" t="s">
        <v>26</v>
      </c>
      <c r="L658" t="s">
        <v>26</v>
      </c>
      <c r="M658" t="s">
        <v>26</v>
      </c>
      <c r="N658" t="s">
        <v>26</v>
      </c>
      <c r="O658" t="s">
        <v>26</v>
      </c>
      <c r="P658">
        <v>1</v>
      </c>
      <c r="Q658">
        <v>0</v>
      </c>
      <c r="R658">
        <v>0</v>
      </c>
      <c r="S658">
        <v>1</v>
      </c>
      <c r="T658">
        <v>16.666699999999999</v>
      </c>
      <c r="U658">
        <v>0.2</v>
      </c>
      <c r="V658">
        <v>0</v>
      </c>
      <c r="W658">
        <f>E658/100</f>
        <v>0.05</v>
      </c>
      <c r="X658">
        <f>F658/1000000</f>
        <v>0.06</v>
      </c>
      <c r="Y658">
        <f>IF(D658="C",1,0)</f>
        <v>0</v>
      </c>
      <c r="Z658">
        <f>IF(G658="C",1,0)</f>
        <v>0</v>
      </c>
      <c r="AA658">
        <f>IF(G658="S",1,0)</f>
        <v>0</v>
      </c>
      <c r="AB658">
        <f>IF(G658="U",1,0)</f>
        <v>0</v>
      </c>
      <c r="AC658" s="5">
        <f>IF(AND(ISNUMBER(H658),NOT(ISNUMBER(P658))),1,0)</f>
        <v>0</v>
      </c>
      <c r="AD658" s="5">
        <f>IF(AND(ISNUMBER(H658),ISNUMBER(P658)),1,0)</f>
        <v>0</v>
      </c>
      <c r="AE658" s="5">
        <f>W658</f>
        <v>0.05</v>
      </c>
      <c r="AF658" s="5">
        <f>X658</f>
        <v>0.06</v>
      </c>
      <c r="AG658" s="5">
        <f>Y658</f>
        <v>0</v>
      </c>
      <c r="AH658" s="5">
        <f>IF(OR(G658="C",G658="S",G658="U"),1,0)</f>
        <v>0</v>
      </c>
      <c r="AI658" s="5">
        <f>IF(ISNUMBER(H658),1,0)</f>
        <v>0</v>
      </c>
      <c r="AJ658" s="5">
        <f>IF(ISNUMBER(P658),1,0)</f>
        <v>1</v>
      </c>
      <c r="AK658" s="5" t="str">
        <f>IF(AI658=1,IF(J658&gt;0,1,0),"")</f>
        <v/>
      </c>
      <c r="AL658" s="5">
        <f>IF(AJ658=1,IF(OR(Q658&gt;0,R658&gt;0),1,0),"")</f>
        <v>0</v>
      </c>
    </row>
    <row r="659" spans="1:38">
      <c r="A659">
        <v>985178</v>
      </c>
      <c r="B659" t="s">
        <v>845</v>
      </c>
      <c r="C659" t="s">
        <v>82</v>
      </c>
      <c r="D659" t="s">
        <v>24</v>
      </c>
      <c r="E659">
        <v>1</v>
      </c>
      <c r="F659">
        <v>40000</v>
      </c>
      <c r="H659" t="s">
        <v>26</v>
      </c>
      <c r="I659" t="s">
        <v>26</v>
      </c>
      <c r="J659" t="s">
        <v>26</v>
      </c>
      <c r="K659" t="s">
        <v>26</v>
      </c>
      <c r="L659" t="s">
        <v>26</v>
      </c>
      <c r="M659" t="s">
        <v>26</v>
      </c>
      <c r="N659" t="s">
        <v>26</v>
      </c>
      <c r="O659" t="s">
        <v>26</v>
      </c>
      <c r="P659">
        <v>1</v>
      </c>
      <c r="Q659">
        <v>0</v>
      </c>
      <c r="R659">
        <v>0</v>
      </c>
      <c r="S659">
        <v>1</v>
      </c>
      <c r="T659">
        <v>25</v>
      </c>
      <c r="U659">
        <v>1</v>
      </c>
      <c r="V659">
        <v>0</v>
      </c>
      <c r="W659">
        <f>E659/100</f>
        <v>0.01</v>
      </c>
      <c r="X659">
        <f>F659/1000000</f>
        <v>0.04</v>
      </c>
      <c r="Y659">
        <f>IF(D659="C",1,0)</f>
        <v>0</v>
      </c>
      <c r="Z659">
        <f>IF(G659="C",1,0)</f>
        <v>0</v>
      </c>
      <c r="AA659">
        <f>IF(G659="S",1,0)</f>
        <v>0</v>
      </c>
      <c r="AB659">
        <f>IF(G659="U",1,0)</f>
        <v>0</v>
      </c>
      <c r="AC659" s="5">
        <f>IF(AND(ISNUMBER(H659),NOT(ISNUMBER(P659))),1,0)</f>
        <v>0</v>
      </c>
      <c r="AD659" s="5">
        <f>IF(AND(ISNUMBER(H659),ISNUMBER(P659)),1,0)</f>
        <v>0</v>
      </c>
      <c r="AE659" s="5">
        <f>W659</f>
        <v>0.01</v>
      </c>
      <c r="AF659" s="5">
        <f>X659</f>
        <v>0.04</v>
      </c>
      <c r="AG659" s="5">
        <f>Y659</f>
        <v>0</v>
      </c>
      <c r="AH659" s="5">
        <f>IF(OR(G659="C",G659="S",G659="U"),1,0)</f>
        <v>0</v>
      </c>
      <c r="AI659" s="5">
        <f>IF(ISNUMBER(H659),1,0)</f>
        <v>0</v>
      </c>
      <c r="AJ659" s="5">
        <f>IF(ISNUMBER(P659),1,0)</f>
        <v>1</v>
      </c>
      <c r="AK659" s="5" t="str">
        <f>IF(AI659=1,IF(J659&gt;0,1,0),"")</f>
        <v/>
      </c>
      <c r="AL659" s="5">
        <f>IF(AJ659=1,IF(OR(Q659&gt;0,R659&gt;0),1,0),"")</f>
        <v>0</v>
      </c>
    </row>
    <row r="660" spans="1:38">
      <c r="A660">
        <v>991056</v>
      </c>
      <c r="B660" t="s">
        <v>847</v>
      </c>
      <c r="C660" t="s">
        <v>37</v>
      </c>
      <c r="D660" t="s">
        <v>33</v>
      </c>
      <c r="E660">
        <v>14</v>
      </c>
      <c r="F660">
        <v>295520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>
        <v>1</v>
      </c>
      <c r="Q660">
        <v>0</v>
      </c>
      <c r="R660">
        <v>1</v>
      </c>
      <c r="S660">
        <v>1</v>
      </c>
      <c r="T660">
        <v>3.3839000000000001</v>
      </c>
      <c r="U660">
        <v>7.1400000000000005E-2</v>
      </c>
      <c r="V660">
        <v>1</v>
      </c>
      <c r="W660">
        <f>E660/100</f>
        <v>0.14000000000000001</v>
      </c>
      <c r="X660">
        <f>F660/1000000</f>
        <v>0.29552</v>
      </c>
      <c r="Y660">
        <f>IF(D660="C",1,0)</f>
        <v>1</v>
      </c>
      <c r="Z660">
        <f>IF(G660="C",1,0)</f>
        <v>0</v>
      </c>
      <c r="AA660">
        <f>IF(G660="S",1,0)</f>
        <v>0</v>
      </c>
      <c r="AB660">
        <f>IF(G660="U",1,0)</f>
        <v>0</v>
      </c>
      <c r="AC660" s="5">
        <f>IF(AND(ISNUMBER(H660),NOT(ISNUMBER(P660))),1,0)</f>
        <v>0</v>
      </c>
      <c r="AD660" s="5">
        <f>IF(AND(ISNUMBER(H660),ISNUMBER(P660)),1,0)</f>
        <v>0</v>
      </c>
      <c r="AE660" s="5">
        <f>W660</f>
        <v>0.14000000000000001</v>
      </c>
      <c r="AF660" s="5">
        <f>X660</f>
        <v>0.29552</v>
      </c>
      <c r="AG660" s="5">
        <f>Y660</f>
        <v>1</v>
      </c>
      <c r="AH660" s="5">
        <f>IF(OR(G660="C",G660="S",G660="U"),1,0)</f>
        <v>0</v>
      </c>
      <c r="AI660" s="5">
        <f>IF(ISNUMBER(H660),1,0)</f>
        <v>0</v>
      </c>
      <c r="AJ660" s="5">
        <f>IF(ISNUMBER(P660),1,0)</f>
        <v>1</v>
      </c>
      <c r="AK660" s="5" t="str">
        <f>IF(AI660=1,IF(J660&gt;0,1,0),"")</f>
        <v/>
      </c>
      <c r="AL660" s="5">
        <f>IF(AJ660=1,IF(OR(Q660&gt;0,R660&gt;0),1,0),"")</f>
        <v>1</v>
      </c>
    </row>
    <row r="661" spans="1:38">
      <c r="A661">
        <v>1623550</v>
      </c>
      <c r="B661" t="s">
        <v>900</v>
      </c>
      <c r="C661" t="s">
        <v>82</v>
      </c>
      <c r="D661" t="s">
        <v>901</v>
      </c>
      <c r="E661">
        <v>40</v>
      </c>
      <c r="F661">
        <v>343102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>
        <v>1</v>
      </c>
      <c r="Q661">
        <v>0</v>
      </c>
      <c r="R661">
        <v>0</v>
      </c>
      <c r="S661">
        <v>1</v>
      </c>
      <c r="T661">
        <v>2.9146000000000001</v>
      </c>
      <c r="U661">
        <v>2.5000000000000001E-2</v>
      </c>
      <c r="V661">
        <v>0</v>
      </c>
      <c r="W661">
        <f>E661/100</f>
        <v>0.4</v>
      </c>
      <c r="X661">
        <f>F661/1000000</f>
        <v>0.34310200000000002</v>
      </c>
      <c r="Y661">
        <f>IF(D661="C",1,0)</f>
        <v>0</v>
      </c>
      <c r="Z661">
        <f>IF(G661="C",1,0)</f>
        <v>0</v>
      </c>
      <c r="AA661">
        <f>IF(G661="S",1,0)</f>
        <v>0</v>
      </c>
      <c r="AB661">
        <f>IF(G661="U",1,0)</f>
        <v>0</v>
      </c>
      <c r="AC661" s="5">
        <f>IF(AND(ISNUMBER(H661),NOT(ISNUMBER(P661))),1,0)</f>
        <v>0</v>
      </c>
      <c r="AD661" s="5">
        <f>IF(AND(ISNUMBER(H661),ISNUMBER(P661)),1,0)</f>
        <v>0</v>
      </c>
      <c r="AE661" s="5">
        <f>W661</f>
        <v>0.4</v>
      </c>
      <c r="AF661" s="5">
        <f>X661</f>
        <v>0.34310200000000002</v>
      </c>
      <c r="AG661" s="5">
        <f>Y661</f>
        <v>0</v>
      </c>
      <c r="AH661" s="5">
        <f>IF(OR(G661="C",G661="S",G661="U"),1,0)</f>
        <v>0</v>
      </c>
      <c r="AI661" s="5">
        <f>IF(ISNUMBER(H661),1,0)</f>
        <v>0</v>
      </c>
      <c r="AJ661" s="5">
        <f>IF(ISNUMBER(P661),1,0)</f>
        <v>1</v>
      </c>
      <c r="AK661" s="5" t="str">
        <f>IF(AI661=1,IF(J661&gt;0,1,0),"")</f>
        <v/>
      </c>
      <c r="AL661" s="5">
        <f>IF(AJ661=1,IF(OR(Q661&gt;0,R661&gt;0),1,0),"")</f>
        <v>0</v>
      </c>
    </row>
    <row r="662" spans="1:38">
      <c r="A662">
        <v>2153359</v>
      </c>
      <c r="B662" t="s">
        <v>956</v>
      </c>
      <c r="C662" t="s">
        <v>23</v>
      </c>
      <c r="D662" t="s">
        <v>24</v>
      </c>
      <c r="E662">
        <v>4</v>
      </c>
      <c r="F662">
        <v>217458</v>
      </c>
      <c r="G662" t="s">
        <v>25</v>
      </c>
      <c r="H662" t="s">
        <v>26</v>
      </c>
      <c r="I662" t="s">
        <v>26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>
        <v>1</v>
      </c>
      <c r="Q662">
        <v>0</v>
      </c>
      <c r="R662">
        <v>0</v>
      </c>
      <c r="S662">
        <v>1</v>
      </c>
      <c r="T662">
        <v>4.5986000000000002</v>
      </c>
      <c r="U662">
        <v>0.25</v>
      </c>
      <c r="V662">
        <v>0</v>
      </c>
      <c r="W662">
        <f>E662/100</f>
        <v>0.04</v>
      </c>
      <c r="X662">
        <f>F662/1000000</f>
        <v>0.21745800000000001</v>
      </c>
      <c r="Y662">
        <f>IF(D662="C",1,0)</f>
        <v>0</v>
      </c>
      <c r="Z662">
        <f>IF(G662="C",1,0)</f>
        <v>0</v>
      </c>
      <c r="AA662">
        <f>IF(G662="S",1,0)</f>
        <v>1</v>
      </c>
      <c r="AB662">
        <f>IF(G662="U",1,0)</f>
        <v>0</v>
      </c>
      <c r="AC662" s="5">
        <f>IF(AND(ISNUMBER(H662),NOT(ISNUMBER(P662))),1,0)</f>
        <v>0</v>
      </c>
      <c r="AD662" s="5">
        <f>IF(AND(ISNUMBER(H662),ISNUMBER(P662)),1,0)</f>
        <v>0</v>
      </c>
      <c r="AE662" s="5">
        <f>W662</f>
        <v>0.04</v>
      </c>
      <c r="AF662" s="5">
        <f>X662</f>
        <v>0.21745800000000001</v>
      </c>
      <c r="AG662" s="5">
        <f>Y662</f>
        <v>0</v>
      </c>
      <c r="AH662" s="5">
        <f>IF(OR(G662="C",G662="S",G662="U"),1,0)</f>
        <v>1</v>
      </c>
      <c r="AI662" s="5">
        <f>IF(ISNUMBER(H662),1,0)</f>
        <v>0</v>
      </c>
      <c r="AJ662" s="5">
        <f>IF(ISNUMBER(P662),1,0)</f>
        <v>1</v>
      </c>
      <c r="AK662" s="5" t="str">
        <f>IF(AI662=1,IF(J662&gt;0,1,0),"")</f>
        <v/>
      </c>
      <c r="AL662" s="5">
        <f>IF(AJ662=1,IF(OR(Q662&gt;0,R662&gt;0),1,0),"")</f>
        <v>0</v>
      </c>
    </row>
    <row r="663" spans="1:38">
      <c r="A663">
        <v>337</v>
      </c>
      <c r="B663" t="s">
        <v>27</v>
      </c>
      <c r="C663" t="s">
        <v>23</v>
      </c>
      <c r="D663" t="s">
        <v>24</v>
      </c>
      <c r="E663">
        <v>46</v>
      </c>
      <c r="F663">
        <v>1768622</v>
      </c>
      <c r="G663" t="s">
        <v>25</v>
      </c>
      <c r="H663">
        <v>1</v>
      </c>
      <c r="I663">
        <v>0</v>
      </c>
      <c r="J663">
        <v>0</v>
      </c>
      <c r="K663">
        <v>0</v>
      </c>
      <c r="L663" t="s">
        <v>26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26</v>
      </c>
      <c r="S663" t="s">
        <v>26</v>
      </c>
      <c r="T663" t="s">
        <v>26</v>
      </c>
      <c r="U663" t="s">
        <v>26</v>
      </c>
      <c r="V663">
        <v>0</v>
      </c>
      <c r="W663">
        <f>E663/100</f>
        <v>0.46</v>
      </c>
      <c r="X663">
        <f>F663/1000000</f>
        <v>1.7686219999999999</v>
      </c>
      <c r="Y663">
        <f>IF(D663="C",1,0)</f>
        <v>0</v>
      </c>
      <c r="Z663">
        <f>IF(G663="C",1,0)</f>
        <v>0</v>
      </c>
      <c r="AA663">
        <f>IF(G663="S",1,0)</f>
        <v>1</v>
      </c>
      <c r="AB663">
        <f>IF(G663="U",1,0)</f>
        <v>0</v>
      </c>
      <c r="AC663" s="5">
        <f>IF(AND(ISNUMBER(H663),NOT(ISNUMBER(P663))),1,0)</f>
        <v>1</v>
      </c>
      <c r="AD663" s="5">
        <f>IF(AND(ISNUMBER(H663),ISNUMBER(P663)),1,0)</f>
        <v>0</v>
      </c>
      <c r="AE663" s="5">
        <f>W663</f>
        <v>0.46</v>
      </c>
      <c r="AF663" s="5">
        <f>X663</f>
        <v>1.7686219999999999</v>
      </c>
      <c r="AG663" s="5">
        <f>Y663</f>
        <v>0</v>
      </c>
      <c r="AH663" s="5">
        <f>IF(OR(G663="C",G663="S",G663="U"),1,0)</f>
        <v>1</v>
      </c>
      <c r="AI663" s="5">
        <f>IF(ISNUMBER(H663),1,0)</f>
        <v>1</v>
      </c>
      <c r="AJ663" s="5">
        <f>IF(ISNUMBER(P663),1,0)</f>
        <v>0</v>
      </c>
      <c r="AK663" s="5">
        <f>IF(AI663=1,IF(J663&gt;0,1,0),"")</f>
        <v>0</v>
      </c>
      <c r="AL663" s="5" t="str">
        <f>IF(AJ663=1,IF(OR(Q663&gt;0,R663&gt;0),1,0),"")</f>
        <v/>
      </c>
    </row>
    <row r="664" spans="1:38">
      <c r="A664">
        <v>8867</v>
      </c>
      <c r="B664" t="s">
        <v>44</v>
      </c>
      <c r="C664" t="s">
        <v>37</v>
      </c>
      <c r="D664" t="s">
        <v>24</v>
      </c>
      <c r="E664">
        <v>3</v>
      </c>
      <c r="F664">
        <v>13737</v>
      </c>
      <c r="G664" t="s">
        <v>25</v>
      </c>
      <c r="H664">
        <v>1</v>
      </c>
      <c r="I664">
        <v>2</v>
      </c>
      <c r="J664">
        <v>1</v>
      </c>
      <c r="K664">
        <v>1</v>
      </c>
      <c r="L664">
        <v>0.5</v>
      </c>
      <c r="M664" t="s">
        <v>26</v>
      </c>
      <c r="N664">
        <v>0.5</v>
      </c>
      <c r="O664" t="s">
        <v>26</v>
      </c>
      <c r="P664" t="s">
        <v>26</v>
      </c>
      <c r="Q664" t="s">
        <v>26</v>
      </c>
      <c r="R664" t="s">
        <v>26</v>
      </c>
      <c r="S664" t="s">
        <v>26</v>
      </c>
      <c r="T664" t="s">
        <v>26</v>
      </c>
      <c r="U664" t="s">
        <v>26</v>
      </c>
      <c r="V664">
        <v>1</v>
      </c>
      <c r="W664">
        <f>E664/100</f>
        <v>0.03</v>
      </c>
      <c r="X664">
        <f>F664/1000000</f>
        <v>1.3736999999999999E-2</v>
      </c>
      <c r="Y664">
        <f>IF(D664="C",1,0)</f>
        <v>0</v>
      </c>
      <c r="Z664">
        <f>IF(G664="C",1,0)</f>
        <v>0</v>
      </c>
      <c r="AA664">
        <f>IF(G664="S",1,0)</f>
        <v>1</v>
      </c>
      <c r="AB664">
        <f>IF(G664="U",1,0)</f>
        <v>0</v>
      </c>
      <c r="AC664" s="5">
        <f>IF(AND(ISNUMBER(H664),NOT(ISNUMBER(P664))),1,0)</f>
        <v>1</v>
      </c>
      <c r="AD664" s="5">
        <f>IF(AND(ISNUMBER(H664),ISNUMBER(P664)),1,0)</f>
        <v>0</v>
      </c>
      <c r="AE664" s="5">
        <f>W664</f>
        <v>0.03</v>
      </c>
      <c r="AF664" s="5">
        <f>X664</f>
        <v>1.3736999999999999E-2</v>
      </c>
      <c r="AG664" s="5">
        <f>Y664</f>
        <v>0</v>
      </c>
      <c r="AH664" s="5">
        <f>IF(OR(G664="C",G664="S",G664="U"),1,0)</f>
        <v>1</v>
      </c>
      <c r="AI664" s="5">
        <f>IF(ISNUMBER(H664),1,0)</f>
        <v>1</v>
      </c>
      <c r="AJ664" s="5">
        <f>IF(ISNUMBER(P664),1,0)</f>
        <v>0</v>
      </c>
      <c r="AK664" s="5">
        <f>IF(AI664=1,IF(J664&gt;0,1,0),"")</f>
        <v>1</v>
      </c>
      <c r="AL664" s="5" t="str">
        <f>IF(AJ664=1,IF(OR(Q664&gt;0,R664&gt;0),1,0),"")</f>
        <v/>
      </c>
    </row>
    <row r="665" spans="1:38">
      <c r="A665">
        <v>10881</v>
      </c>
      <c r="B665" t="s">
        <v>64</v>
      </c>
      <c r="C665" t="s">
        <v>23</v>
      </c>
      <c r="D665" t="s">
        <v>24</v>
      </c>
      <c r="E665">
        <v>48</v>
      </c>
      <c r="F665">
        <v>1910000</v>
      </c>
      <c r="H665">
        <v>1</v>
      </c>
      <c r="I665">
        <v>3</v>
      </c>
      <c r="J665">
        <v>0</v>
      </c>
      <c r="K665">
        <v>0</v>
      </c>
      <c r="L665">
        <v>0</v>
      </c>
      <c r="M665" t="s">
        <v>26</v>
      </c>
      <c r="N665">
        <v>0</v>
      </c>
      <c r="O665" t="s">
        <v>26</v>
      </c>
      <c r="P665" t="s">
        <v>26</v>
      </c>
      <c r="Q665" t="s">
        <v>26</v>
      </c>
      <c r="R665" t="s">
        <v>26</v>
      </c>
      <c r="S665" t="s">
        <v>26</v>
      </c>
      <c r="T665" t="s">
        <v>26</v>
      </c>
      <c r="U665" t="s">
        <v>26</v>
      </c>
      <c r="V665">
        <v>0</v>
      </c>
      <c r="W665">
        <f>E665/100</f>
        <v>0.48</v>
      </c>
      <c r="X665">
        <f>F665/1000000</f>
        <v>1.91</v>
      </c>
      <c r="Y665">
        <f>IF(D665="C",1,0)</f>
        <v>0</v>
      </c>
      <c r="Z665">
        <f>IF(G665="C",1,0)</f>
        <v>0</v>
      </c>
      <c r="AA665">
        <f>IF(G665="S",1,0)</f>
        <v>0</v>
      </c>
      <c r="AB665">
        <f>IF(G665="U",1,0)</f>
        <v>0</v>
      </c>
      <c r="AC665" s="5">
        <f>IF(AND(ISNUMBER(H665),NOT(ISNUMBER(P665))),1,0)</f>
        <v>1</v>
      </c>
      <c r="AD665" s="5">
        <f>IF(AND(ISNUMBER(H665),ISNUMBER(P665)),1,0)</f>
        <v>0</v>
      </c>
      <c r="AE665" s="5">
        <f>W665</f>
        <v>0.48</v>
      </c>
      <c r="AF665" s="5">
        <f>X665</f>
        <v>1.91</v>
      </c>
      <c r="AG665" s="5">
        <f>Y665</f>
        <v>0</v>
      </c>
      <c r="AH665" s="5">
        <f>IF(OR(G665="C",G665="S",G665="U"),1,0)</f>
        <v>0</v>
      </c>
      <c r="AI665" s="5">
        <f>IF(ISNUMBER(H665),1,0)</f>
        <v>1</v>
      </c>
      <c r="AJ665" s="5">
        <f>IF(ISNUMBER(P665),1,0)</f>
        <v>0</v>
      </c>
      <c r="AK665" s="5">
        <f>IF(AI665=1,IF(J665&gt;0,1,0),"")</f>
        <v>0</v>
      </c>
      <c r="AL665" s="5" t="str">
        <f>IF(AJ665=1,IF(OR(Q665&gt;0,R665&gt;0),1,0),"")</f>
        <v/>
      </c>
    </row>
    <row r="666" spans="1:38">
      <c r="A666">
        <v>16802</v>
      </c>
      <c r="B666" t="s">
        <v>80</v>
      </c>
      <c r="C666" t="s">
        <v>37</v>
      </c>
      <c r="D666" t="s">
        <v>24</v>
      </c>
      <c r="E666">
        <v>48</v>
      </c>
      <c r="F666">
        <v>3013630</v>
      </c>
      <c r="G666" t="s">
        <v>25</v>
      </c>
      <c r="H666">
        <v>1</v>
      </c>
      <c r="I666">
        <v>3</v>
      </c>
      <c r="J666">
        <v>0</v>
      </c>
      <c r="K666">
        <v>0</v>
      </c>
      <c r="L666">
        <v>0</v>
      </c>
      <c r="M666">
        <v>0</v>
      </c>
      <c r="N666">
        <v>0</v>
      </c>
      <c r="O666" t="s">
        <v>26</v>
      </c>
      <c r="P666" t="s">
        <v>26</v>
      </c>
      <c r="Q666" t="s">
        <v>26</v>
      </c>
      <c r="R666" t="s">
        <v>26</v>
      </c>
      <c r="S666" t="s">
        <v>26</v>
      </c>
      <c r="T666" t="s">
        <v>26</v>
      </c>
      <c r="U666" t="s">
        <v>26</v>
      </c>
      <c r="V666">
        <v>0</v>
      </c>
      <c r="W666">
        <f>E666/100</f>
        <v>0.48</v>
      </c>
      <c r="X666">
        <f>F666/1000000</f>
        <v>3.01363</v>
      </c>
      <c r="Y666">
        <f>IF(D666="C",1,0)</f>
        <v>0</v>
      </c>
      <c r="Z666">
        <f>IF(G666="C",1,0)</f>
        <v>0</v>
      </c>
      <c r="AA666">
        <f>IF(G666="S",1,0)</f>
        <v>1</v>
      </c>
      <c r="AB666">
        <f>IF(G666="U",1,0)</f>
        <v>0</v>
      </c>
      <c r="AC666" s="5">
        <f>IF(AND(ISNUMBER(H666),NOT(ISNUMBER(P666))),1,0)</f>
        <v>1</v>
      </c>
      <c r="AD666" s="5">
        <f>IF(AND(ISNUMBER(H666),ISNUMBER(P666)),1,0)</f>
        <v>0</v>
      </c>
      <c r="AE666" s="5">
        <f>W666</f>
        <v>0.48</v>
      </c>
      <c r="AF666" s="5">
        <f>X666</f>
        <v>3.01363</v>
      </c>
      <c r="AG666" s="5">
        <f>Y666</f>
        <v>0</v>
      </c>
      <c r="AH666" s="5">
        <f>IF(OR(G666="C",G666="S",G666="U"),1,0)</f>
        <v>1</v>
      </c>
      <c r="AI666" s="5">
        <f>IF(ISNUMBER(H666),1,0)</f>
        <v>1</v>
      </c>
      <c r="AJ666" s="5">
        <f>IF(ISNUMBER(P666),1,0)</f>
        <v>0</v>
      </c>
      <c r="AK666" s="5">
        <f>IF(AI666=1,IF(J666&gt;0,1,0),"")</f>
        <v>0</v>
      </c>
      <c r="AL666" s="5" t="str">
        <f>IF(AJ666=1,IF(OR(Q666&gt;0,R666&gt;0),1,0),"")</f>
        <v/>
      </c>
    </row>
    <row r="667" spans="1:38">
      <c r="A667">
        <v>20612</v>
      </c>
      <c r="B667" t="s">
        <v>90</v>
      </c>
      <c r="C667" t="s">
        <v>37</v>
      </c>
      <c r="D667" t="s">
        <v>24</v>
      </c>
      <c r="E667">
        <v>455</v>
      </c>
      <c r="F667">
        <v>6600000</v>
      </c>
      <c r="G667" t="s">
        <v>25</v>
      </c>
      <c r="H667">
        <v>1</v>
      </c>
      <c r="I667">
        <v>3</v>
      </c>
      <c r="J667">
        <v>0</v>
      </c>
      <c r="K667">
        <v>0</v>
      </c>
      <c r="L667">
        <v>0</v>
      </c>
      <c r="M667">
        <v>0</v>
      </c>
      <c r="N667">
        <v>0</v>
      </c>
      <c r="O667" t="s">
        <v>26</v>
      </c>
      <c r="P667" t="s">
        <v>26</v>
      </c>
      <c r="Q667" t="s">
        <v>26</v>
      </c>
      <c r="R667" t="s">
        <v>26</v>
      </c>
      <c r="S667" t="s">
        <v>26</v>
      </c>
      <c r="T667" t="s">
        <v>26</v>
      </c>
      <c r="U667" t="s">
        <v>26</v>
      </c>
      <c r="V667">
        <v>0</v>
      </c>
      <c r="W667">
        <f>E667/100</f>
        <v>4.55</v>
      </c>
      <c r="X667">
        <f>F667/1000000</f>
        <v>6.6</v>
      </c>
      <c r="Y667">
        <f>IF(D667="C",1,0)</f>
        <v>0</v>
      </c>
      <c r="Z667">
        <f>IF(G667="C",1,0)</f>
        <v>0</v>
      </c>
      <c r="AA667">
        <f>IF(G667="S",1,0)</f>
        <v>1</v>
      </c>
      <c r="AB667">
        <f>IF(G667="U",1,0)</f>
        <v>0</v>
      </c>
      <c r="AC667" s="5">
        <f>IF(AND(ISNUMBER(H667),NOT(ISNUMBER(P667))),1,0)</f>
        <v>1</v>
      </c>
      <c r="AD667" s="5">
        <f>IF(AND(ISNUMBER(H667),ISNUMBER(P667)),1,0)</f>
        <v>0</v>
      </c>
      <c r="AE667" s="5">
        <f>W667</f>
        <v>4.55</v>
      </c>
      <c r="AF667" s="5">
        <f>X667</f>
        <v>6.6</v>
      </c>
      <c r="AG667" s="5">
        <f>Y667</f>
        <v>0</v>
      </c>
      <c r="AH667" s="5">
        <f>IF(OR(G667="C",G667="S",G667="U"),1,0)</f>
        <v>1</v>
      </c>
      <c r="AI667" s="5">
        <f>IF(ISNUMBER(H667),1,0)</f>
        <v>1</v>
      </c>
      <c r="AJ667" s="5">
        <f>IF(ISNUMBER(P667),1,0)</f>
        <v>0</v>
      </c>
      <c r="AK667" s="5">
        <f>IF(AI667=1,IF(J667&gt;0,1,0),"")</f>
        <v>0</v>
      </c>
      <c r="AL667" s="5" t="str">
        <f>IF(AJ667=1,IF(OR(Q667&gt;0,R667&gt;0),1,0),"")</f>
        <v/>
      </c>
    </row>
    <row r="668" spans="1:38">
      <c r="A668">
        <v>22369</v>
      </c>
      <c r="B668" t="s">
        <v>94</v>
      </c>
      <c r="C668" t="s">
        <v>40</v>
      </c>
      <c r="D668" t="s">
        <v>24</v>
      </c>
      <c r="E668">
        <v>55</v>
      </c>
      <c r="F668">
        <v>1044209</v>
      </c>
      <c r="G668" t="s">
        <v>33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 t="s">
        <v>26</v>
      </c>
      <c r="O668" t="s">
        <v>26</v>
      </c>
      <c r="P668" t="s">
        <v>26</v>
      </c>
      <c r="Q668" t="s">
        <v>26</v>
      </c>
      <c r="R668" t="s">
        <v>26</v>
      </c>
      <c r="S668" t="s">
        <v>26</v>
      </c>
      <c r="T668" t="s">
        <v>26</v>
      </c>
      <c r="U668" t="s">
        <v>26</v>
      </c>
      <c r="V668">
        <v>0</v>
      </c>
      <c r="W668">
        <f>E668/100</f>
        <v>0.55000000000000004</v>
      </c>
      <c r="X668">
        <f>F668/1000000</f>
        <v>1.0442089999999999</v>
      </c>
      <c r="Y668">
        <f>IF(D668="C",1,0)</f>
        <v>0</v>
      </c>
      <c r="Z668">
        <f>IF(G668="C",1,0)</f>
        <v>1</v>
      </c>
      <c r="AA668">
        <f>IF(G668="S",1,0)</f>
        <v>0</v>
      </c>
      <c r="AB668">
        <f>IF(G668="U",1,0)</f>
        <v>0</v>
      </c>
      <c r="AC668" s="5">
        <f>IF(AND(ISNUMBER(H668),NOT(ISNUMBER(P668))),1,0)</f>
        <v>1</v>
      </c>
      <c r="AD668" s="5">
        <f>IF(AND(ISNUMBER(H668),ISNUMBER(P668)),1,0)</f>
        <v>0</v>
      </c>
      <c r="AE668" s="5">
        <f>W668</f>
        <v>0.55000000000000004</v>
      </c>
      <c r="AF668" s="5">
        <f>X668</f>
        <v>1.0442089999999999</v>
      </c>
      <c r="AG668" s="5">
        <f>Y668</f>
        <v>0</v>
      </c>
      <c r="AH668" s="5">
        <f>IF(OR(G668="C",G668="S",G668="U"),1,0)</f>
        <v>1</v>
      </c>
      <c r="AI668" s="5">
        <f>IF(ISNUMBER(H668),1,0)</f>
        <v>1</v>
      </c>
      <c r="AJ668" s="5">
        <f>IF(ISNUMBER(P668),1,0)</f>
        <v>0</v>
      </c>
      <c r="AK668" s="5">
        <f>IF(AI668=1,IF(J668&gt;0,1,0),"")</f>
        <v>0</v>
      </c>
      <c r="AL668" s="5" t="str">
        <f>IF(AJ668=1,IF(OR(Q668&gt;0,R668&gt;0),1,0),"")</f>
        <v/>
      </c>
    </row>
    <row r="669" spans="1:38">
      <c r="A669">
        <v>32052</v>
      </c>
      <c r="B669" t="s">
        <v>104</v>
      </c>
      <c r="C669" t="s">
        <v>105</v>
      </c>
      <c r="D669" t="s">
        <v>24</v>
      </c>
      <c r="E669">
        <v>96</v>
      </c>
      <c r="F669">
        <v>7029971</v>
      </c>
      <c r="G669" t="s">
        <v>25</v>
      </c>
      <c r="H669">
        <v>1</v>
      </c>
      <c r="I669">
        <v>4</v>
      </c>
      <c r="J669">
        <v>0</v>
      </c>
      <c r="K669">
        <v>0</v>
      </c>
      <c r="L669">
        <v>0</v>
      </c>
      <c r="M669" t="s">
        <v>26</v>
      </c>
      <c r="N669">
        <v>0</v>
      </c>
      <c r="O669" t="s">
        <v>26</v>
      </c>
      <c r="P669" t="s">
        <v>26</v>
      </c>
      <c r="Q669" t="s">
        <v>26</v>
      </c>
      <c r="R669" t="s">
        <v>26</v>
      </c>
      <c r="S669" t="s">
        <v>26</v>
      </c>
      <c r="T669" t="s">
        <v>26</v>
      </c>
      <c r="U669" t="s">
        <v>26</v>
      </c>
      <c r="V669">
        <v>0</v>
      </c>
      <c r="W669">
        <f>E669/100</f>
        <v>0.96</v>
      </c>
      <c r="X669">
        <f>F669/1000000</f>
        <v>7.0299709999999997</v>
      </c>
      <c r="Y669">
        <f>IF(D669="C",1,0)</f>
        <v>0</v>
      </c>
      <c r="Z669">
        <f>IF(G669="C",1,0)</f>
        <v>0</v>
      </c>
      <c r="AA669">
        <f>IF(G669="S",1,0)</f>
        <v>1</v>
      </c>
      <c r="AB669">
        <f>IF(G669="U",1,0)</f>
        <v>0</v>
      </c>
      <c r="AC669" s="5">
        <f>IF(AND(ISNUMBER(H669),NOT(ISNUMBER(P669))),1,0)</f>
        <v>1</v>
      </c>
      <c r="AD669" s="5">
        <f>IF(AND(ISNUMBER(H669),ISNUMBER(P669)),1,0)</f>
        <v>0</v>
      </c>
      <c r="AE669" s="5">
        <f>W669</f>
        <v>0.96</v>
      </c>
      <c r="AF669" s="5">
        <f>X669</f>
        <v>7.0299709999999997</v>
      </c>
      <c r="AG669" s="5">
        <f>Y669</f>
        <v>0</v>
      </c>
      <c r="AH669" s="5">
        <f>IF(OR(G669="C",G669="S",G669="U"),1,0)</f>
        <v>1</v>
      </c>
      <c r="AI669" s="5">
        <f>IF(ISNUMBER(H669),1,0)</f>
        <v>1</v>
      </c>
      <c r="AJ669" s="5">
        <f>IF(ISNUMBER(P669),1,0)</f>
        <v>0</v>
      </c>
      <c r="AK669" s="5">
        <f>IF(AI669=1,IF(J669&gt;0,1,0),"")</f>
        <v>0</v>
      </c>
      <c r="AL669" s="5" t="str">
        <f>IF(AJ669=1,IF(OR(Q669&gt;0,R669&gt;0),1,0),"")</f>
        <v/>
      </c>
    </row>
    <row r="670" spans="1:38">
      <c r="A670">
        <v>33335</v>
      </c>
      <c r="B670" t="s">
        <v>109</v>
      </c>
      <c r="C670" t="s">
        <v>82</v>
      </c>
      <c r="D670" t="s">
        <v>24</v>
      </c>
      <c r="E670">
        <v>128</v>
      </c>
      <c r="F670">
        <v>2135107</v>
      </c>
      <c r="G670" t="s">
        <v>33</v>
      </c>
      <c r="H670">
        <v>1</v>
      </c>
      <c r="I670">
        <v>0</v>
      </c>
      <c r="J670">
        <v>0</v>
      </c>
      <c r="K670">
        <v>0</v>
      </c>
      <c r="L670" t="s">
        <v>26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26</v>
      </c>
      <c r="S670" t="s">
        <v>26</v>
      </c>
      <c r="T670" t="s">
        <v>26</v>
      </c>
      <c r="U670" t="s">
        <v>26</v>
      </c>
      <c r="V670">
        <v>0</v>
      </c>
      <c r="W670">
        <f>E670/100</f>
        <v>1.28</v>
      </c>
      <c r="X670">
        <f>F670/1000000</f>
        <v>2.1351070000000001</v>
      </c>
      <c r="Y670">
        <f>IF(D670="C",1,0)</f>
        <v>0</v>
      </c>
      <c r="Z670">
        <f>IF(G670="C",1,0)</f>
        <v>1</v>
      </c>
      <c r="AA670">
        <f>IF(G670="S",1,0)</f>
        <v>0</v>
      </c>
      <c r="AB670">
        <f>IF(G670="U",1,0)</f>
        <v>0</v>
      </c>
      <c r="AC670" s="5">
        <f>IF(AND(ISNUMBER(H670),NOT(ISNUMBER(P670))),1,0)</f>
        <v>1</v>
      </c>
      <c r="AD670" s="5">
        <f>IF(AND(ISNUMBER(H670),ISNUMBER(P670)),1,0)</f>
        <v>0</v>
      </c>
      <c r="AE670" s="5">
        <f>W670</f>
        <v>1.28</v>
      </c>
      <c r="AF670" s="5">
        <f>X670</f>
        <v>2.1351070000000001</v>
      </c>
      <c r="AG670" s="5">
        <f>Y670</f>
        <v>0</v>
      </c>
      <c r="AH670" s="5">
        <f>IF(OR(G670="C",G670="S",G670="U"),1,0)</f>
        <v>1</v>
      </c>
      <c r="AI670" s="5">
        <f>IF(ISNUMBER(H670),1,0)</f>
        <v>1</v>
      </c>
      <c r="AJ670" s="5">
        <f>IF(ISNUMBER(P670),1,0)</f>
        <v>0</v>
      </c>
      <c r="AK670" s="5">
        <f>IF(AI670=1,IF(J670&gt;0,1,0),"")</f>
        <v>0</v>
      </c>
      <c r="AL670" s="5" t="str">
        <f>IF(AJ670=1,IF(OR(Q670&gt;0,R670&gt;0),1,0),"")</f>
        <v/>
      </c>
    </row>
    <row r="671" spans="1:38">
      <c r="A671">
        <v>33813</v>
      </c>
      <c r="B671" t="s">
        <v>112</v>
      </c>
      <c r="C671" t="s">
        <v>23</v>
      </c>
      <c r="D671" t="s">
        <v>24</v>
      </c>
      <c r="E671">
        <v>54</v>
      </c>
      <c r="F671">
        <v>1375281</v>
      </c>
      <c r="G671" t="s">
        <v>25</v>
      </c>
      <c r="H671">
        <v>1</v>
      </c>
      <c r="I671">
        <v>0</v>
      </c>
      <c r="J671">
        <v>0</v>
      </c>
      <c r="K671">
        <v>0</v>
      </c>
      <c r="L671" t="s">
        <v>26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26</v>
      </c>
      <c r="S671" t="s">
        <v>26</v>
      </c>
      <c r="T671" t="s">
        <v>26</v>
      </c>
      <c r="U671" t="s">
        <v>26</v>
      </c>
      <c r="V671">
        <v>0</v>
      </c>
      <c r="W671">
        <f>E671/100</f>
        <v>0.54</v>
      </c>
      <c r="X671">
        <f>F671/1000000</f>
        <v>1.375281</v>
      </c>
      <c r="Y671">
        <f>IF(D671="C",1,0)</f>
        <v>0</v>
      </c>
      <c r="Z671">
        <f>IF(G671="C",1,0)</f>
        <v>0</v>
      </c>
      <c r="AA671">
        <f>IF(G671="S",1,0)</f>
        <v>1</v>
      </c>
      <c r="AB671">
        <f>IF(G671="U",1,0)</f>
        <v>0</v>
      </c>
      <c r="AC671" s="5">
        <f>IF(AND(ISNUMBER(H671),NOT(ISNUMBER(P671))),1,0)</f>
        <v>1</v>
      </c>
      <c r="AD671" s="5">
        <f>IF(AND(ISNUMBER(H671),ISNUMBER(P671)),1,0)</f>
        <v>0</v>
      </c>
      <c r="AE671" s="5">
        <f>W671</f>
        <v>0.54</v>
      </c>
      <c r="AF671" s="5">
        <f>X671</f>
        <v>1.375281</v>
      </c>
      <c r="AG671" s="5">
        <f>Y671</f>
        <v>0</v>
      </c>
      <c r="AH671" s="5">
        <f>IF(OR(G671="C",G671="S",G671="U"),1,0)</f>
        <v>1</v>
      </c>
      <c r="AI671" s="5">
        <f>IF(ISNUMBER(H671),1,0)</f>
        <v>1</v>
      </c>
      <c r="AJ671" s="5">
        <f>IF(ISNUMBER(P671),1,0)</f>
        <v>0</v>
      </c>
      <c r="AK671" s="5">
        <f>IF(AI671=1,IF(J671&gt;0,1,0),"")</f>
        <v>0</v>
      </c>
      <c r="AL671" s="5" t="str">
        <f>IF(AJ671=1,IF(OR(Q671&gt;0,R671&gt;0),1,0),"")</f>
        <v/>
      </c>
    </row>
    <row r="672" spans="1:38">
      <c r="A672">
        <v>62114</v>
      </c>
      <c r="B672" t="s">
        <v>155</v>
      </c>
      <c r="C672" t="s">
        <v>23</v>
      </c>
      <c r="D672" t="s">
        <v>24</v>
      </c>
      <c r="E672">
        <v>19</v>
      </c>
      <c r="F672">
        <v>360000</v>
      </c>
      <c r="G672" t="s">
        <v>25</v>
      </c>
      <c r="H672">
        <v>1</v>
      </c>
      <c r="I672">
        <v>0</v>
      </c>
      <c r="J672">
        <v>0</v>
      </c>
      <c r="K672">
        <v>0</v>
      </c>
      <c r="L672" t="s">
        <v>26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26</v>
      </c>
      <c r="S672" t="s">
        <v>26</v>
      </c>
      <c r="T672" t="s">
        <v>26</v>
      </c>
      <c r="U672" t="s">
        <v>26</v>
      </c>
      <c r="V672">
        <v>0</v>
      </c>
      <c r="W672">
        <f>E672/100</f>
        <v>0.19</v>
      </c>
      <c r="X672">
        <f>F672/1000000</f>
        <v>0.36</v>
      </c>
      <c r="Y672">
        <f>IF(D672="C",1,0)</f>
        <v>0</v>
      </c>
      <c r="Z672">
        <f>IF(G672="C",1,0)</f>
        <v>0</v>
      </c>
      <c r="AA672">
        <f>IF(G672="S",1,0)</f>
        <v>1</v>
      </c>
      <c r="AB672">
        <f>IF(G672="U",1,0)</f>
        <v>0</v>
      </c>
      <c r="AC672" s="5">
        <f>IF(AND(ISNUMBER(H672),NOT(ISNUMBER(P672))),1,0)</f>
        <v>1</v>
      </c>
      <c r="AD672" s="5">
        <f>IF(AND(ISNUMBER(H672),ISNUMBER(P672)),1,0)</f>
        <v>0</v>
      </c>
      <c r="AE672" s="5">
        <f>W672</f>
        <v>0.19</v>
      </c>
      <c r="AF672" s="5">
        <f>X672</f>
        <v>0.36</v>
      </c>
      <c r="AG672" s="5">
        <f>Y672</f>
        <v>0</v>
      </c>
      <c r="AH672" s="5">
        <f>IF(OR(G672="C",G672="S",G672="U"),1,0)</f>
        <v>1</v>
      </c>
      <c r="AI672" s="5">
        <f>IF(ISNUMBER(H672),1,0)</f>
        <v>1</v>
      </c>
      <c r="AJ672" s="5">
        <f>IF(ISNUMBER(P672),1,0)</f>
        <v>0</v>
      </c>
      <c r="AK672" s="5">
        <f>IF(AI672=1,IF(J672&gt;0,1,0),"")</f>
        <v>0</v>
      </c>
      <c r="AL672" s="5" t="str">
        <f>IF(AJ672=1,IF(OR(Q672&gt;0,R672&gt;0),1,0),"")</f>
        <v/>
      </c>
    </row>
    <row r="673" spans="1:38">
      <c r="A673">
        <v>102468</v>
      </c>
      <c r="B673" t="s">
        <v>194</v>
      </c>
      <c r="C673" t="s">
        <v>37</v>
      </c>
      <c r="D673" t="s">
        <v>24</v>
      </c>
      <c r="E673">
        <v>64</v>
      </c>
      <c r="F673">
        <v>3970000</v>
      </c>
      <c r="G673" t="s">
        <v>33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 t="s">
        <v>26</v>
      </c>
      <c r="O673" t="s">
        <v>26</v>
      </c>
      <c r="P673" t="s">
        <v>26</v>
      </c>
      <c r="Q673" t="s">
        <v>26</v>
      </c>
      <c r="R673" t="s">
        <v>26</v>
      </c>
      <c r="S673" t="s">
        <v>26</v>
      </c>
      <c r="T673" t="s">
        <v>26</v>
      </c>
      <c r="U673" t="s">
        <v>26</v>
      </c>
      <c r="V673">
        <v>1</v>
      </c>
      <c r="W673">
        <f>E673/100</f>
        <v>0.64</v>
      </c>
      <c r="X673">
        <f>F673/1000000</f>
        <v>3.97</v>
      </c>
      <c r="Y673">
        <f>IF(D673="C",1,0)</f>
        <v>0</v>
      </c>
      <c r="Z673">
        <f>IF(G673="C",1,0)</f>
        <v>1</v>
      </c>
      <c r="AA673">
        <f>IF(G673="S",1,0)</f>
        <v>0</v>
      </c>
      <c r="AB673">
        <f>IF(G673="U",1,0)</f>
        <v>0</v>
      </c>
      <c r="AC673" s="5">
        <f>IF(AND(ISNUMBER(H673),NOT(ISNUMBER(P673))),1,0)</f>
        <v>1</v>
      </c>
      <c r="AD673" s="5">
        <f>IF(AND(ISNUMBER(H673),ISNUMBER(P673)),1,0)</f>
        <v>0</v>
      </c>
      <c r="AE673" s="5">
        <f>W673</f>
        <v>0.64</v>
      </c>
      <c r="AF673" s="5">
        <f>X673</f>
        <v>3.97</v>
      </c>
      <c r="AG673" s="5">
        <f>Y673</f>
        <v>0</v>
      </c>
      <c r="AH673" s="5">
        <f>IF(OR(G673="C",G673="S",G673="U"),1,0)</f>
        <v>1</v>
      </c>
      <c r="AI673" s="5">
        <f>IF(ISNUMBER(H673),1,0)</f>
        <v>1</v>
      </c>
      <c r="AJ673" s="5">
        <f>IF(ISNUMBER(P673),1,0)</f>
        <v>0</v>
      </c>
      <c r="AK673" s="5">
        <f>IF(AI673=1,IF(J673&gt;0,1,0),"")</f>
        <v>1</v>
      </c>
      <c r="AL673" s="5" t="str">
        <f>IF(AJ673=1,IF(OR(Q673&gt;0,R673&gt;0),1,0),"")</f>
        <v/>
      </c>
    </row>
    <row r="674" spans="1:38">
      <c r="A674">
        <v>109115</v>
      </c>
      <c r="B674" t="s">
        <v>201</v>
      </c>
      <c r="C674" t="s">
        <v>23</v>
      </c>
      <c r="D674" t="s">
        <v>24</v>
      </c>
      <c r="E674">
        <v>12</v>
      </c>
      <c r="F674">
        <v>528513</v>
      </c>
      <c r="G674" t="s">
        <v>25</v>
      </c>
      <c r="H674">
        <v>1</v>
      </c>
      <c r="I674">
        <v>1</v>
      </c>
      <c r="J674">
        <v>0</v>
      </c>
      <c r="K674">
        <v>0</v>
      </c>
      <c r="L674">
        <v>0</v>
      </c>
      <c r="M674" t="s">
        <v>26</v>
      </c>
      <c r="N674">
        <v>0</v>
      </c>
      <c r="O674" t="s">
        <v>26</v>
      </c>
      <c r="P674" t="s">
        <v>26</v>
      </c>
      <c r="Q674" t="s">
        <v>26</v>
      </c>
      <c r="R674" t="s">
        <v>26</v>
      </c>
      <c r="S674" t="s">
        <v>26</v>
      </c>
      <c r="T674" t="s">
        <v>26</v>
      </c>
      <c r="U674" t="s">
        <v>26</v>
      </c>
      <c r="V674">
        <v>0</v>
      </c>
      <c r="W674">
        <f>E674/100</f>
        <v>0.12</v>
      </c>
      <c r="X674">
        <f>F674/1000000</f>
        <v>0.52851300000000001</v>
      </c>
      <c r="Y674">
        <f>IF(D674="C",1,0)</f>
        <v>0</v>
      </c>
      <c r="Z674">
        <f>IF(G674="C",1,0)</f>
        <v>0</v>
      </c>
      <c r="AA674">
        <f>IF(G674="S",1,0)</f>
        <v>1</v>
      </c>
      <c r="AB674">
        <f>IF(G674="U",1,0)</f>
        <v>0</v>
      </c>
      <c r="AC674" s="5">
        <f>IF(AND(ISNUMBER(H674),NOT(ISNUMBER(P674))),1,0)</f>
        <v>1</v>
      </c>
      <c r="AD674" s="5">
        <f>IF(AND(ISNUMBER(H674),ISNUMBER(P674)),1,0)</f>
        <v>0</v>
      </c>
      <c r="AE674" s="5">
        <f>W674</f>
        <v>0.12</v>
      </c>
      <c r="AF674" s="5">
        <f>X674</f>
        <v>0.52851300000000001</v>
      </c>
      <c r="AG674" s="5">
        <f>Y674</f>
        <v>0</v>
      </c>
      <c r="AH674" s="5">
        <f>IF(OR(G674="C",G674="S",G674="U"),1,0)</f>
        <v>1</v>
      </c>
      <c r="AI674" s="5">
        <f>IF(ISNUMBER(H674),1,0)</f>
        <v>1</v>
      </c>
      <c r="AJ674" s="5">
        <f>IF(ISNUMBER(P674),1,0)</f>
        <v>0</v>
      </c>
      <c r="AK674" s="5">
        <f>IF(AI674=1,IF(J674&gt;0,1,0),"")</f>
        <v>0</v>
      </c>
      <c r="AL674" s="5" t="str">
        <f>IF(AJ674=1,IF(OR(Q674&gt;0,R674&gt;0),1,0),"")</f>
        <v/>
      </c>
    </row>
    <row r="675" spans="1:38">
      <c r="A675">
        <v>109226</v>
      </c>
      <c r="B675" t="s">
        <v>203</v>
      </c>
      <c r="C675" t="s">
        <v>23</v>
      </c>
      <c r="D675" t="s">
        <v>24</v>
      </c>
      <c r="E675">
        <v>240</v>
      </c>
      <c r="F675">
        <v>250000</v>
      </c>
      <c r="G675" t="s">
        <v>25</v>
      </c>
      <c r="H675">
        <v>1</v>
      </c>
      <c r="I675">
        <v>4</v>
      </c>
      <c r="J675">
        <v>1</v>
      </c>
      <c r="K675">
        <v>1</v>
      </c>
      <c r="L675">
        <v>0.25</v>
      </c>
      <c r="M675" t="s">
        <v>26</v>
      </c>
      <c r="N675">
        <v>0.25</v>
      </c>
      <c r="O675" t="s">
        <v>26</v>
      </c>
      <c r="P675" t="s">
        <v>26</v>
      </c>
      <c r="Q675" t="s">
        <v>26</v>
      </c>
      <c r="R675" t="s">
        <v>26</v>
      </c>
      <c r="S675" t="s">
        <v>26</v>
      </c>
      <c r="T675" t="s">
        <v>26</v>
      </c>
      <c r="U675" t="s">
        <v>26</v>
      </c>
      <c r="V675">
        <v>1</v>
      </c>
      <c r="W675">
        <f>E675/100</f>
        <v>2.4</v>
      </c>
      <c r="X675">
        <f>F675/1000000</f>
        <v>0.25</v>
      </c>
      <c r="Y675">
        <f>IF(D675="C",1,0)</f>
        <v>0</v>
      </c>
      <c r="Z675">
        <f>IF(G675="C",1,0)</f>
        <v>0</v>
      </c>
      <c r="AA675">
        <f>IF(G675="S",1,0)</f>
        <v>1</v>
      </c>
      <c r="AB675">
        <f>IF(G675="U",1,0)</f>
        <v>0</v>
      </c>
      <c r="AC675" s="5">
        <f>IF(AND(ISNUMBER(H675),NOT(ISNUMBER(P675))),1,0)</f>
        <v>1</v>
      </c>
      <c r="AD675" s="5">
        <f>IF(AND(ISNUMBER(H675),ISNUMBER(P675)),1,0)</f>
        <v>0</v>
      </c>
      <c r="AE675" s="5">
        <f>W675</f>
        <v>2.4</v>
      </c>
      <c r="AF675" s="5">
        <f>X675</f>
        <v>0.25</v>
      </c>
      <c r="AG675" s="5">
        <f>Y675</f>
        <v>0</v>
      </c>
      <c r="AH675" s="5">
        <f>IF(OR(G675="C",G675="S",G675="U"),1,0)</f>
        <v>1</v>
      </c>
      <c r="AI675" s="5">
        <f>IF(ISNUMBER(H675),1,0)</f>
        <v>1</v>
      </c>
      <c r="AJ675" s="5">
        <f>IF(ISNUMBER(P675),1,0)</f>
        <v>0</v>
      </c>
      <c r="AK675" s="5">
        <f>IF(AI675=1,IF(J675&gt;0,1,0),"")</f>
        <v>1</v>
      </c>
      <c r="AL675" s="5" t="str">
        <f>IF(AJ675=1,IF(OR(Q675&gt;0,R675&gt;0),1,0),"")</f>
        <v/>
      </c>
    </row>
    <row r="676" spans="1:38">
      <c r="A676">
        <v>110527</v>
      </c>
      <c r="B676" t="s">
        <v>205</v>
      </c>
      <c r="C676" t="s">
        <v>23</v>
      </c>
      <c r="D676" t="s">
        <v>24</v>
      </c>
      <c r="E676">
        <v>15</v>
      </c>
      <c r="F676">
        <v>305959</v>
      </c>
      <c r="G676" t="s">
        <v>25</v>
      </c>
      <c r="H676">
        <v>1</v>
      </c>
      <c r="I676">
        <v>2</v>
      </c>
      <c r="J676">
        <v>0</v>
      </c>
      <c r="K676">
        <v>0</v>
      </c>
      <c r="L676">
        <v>0</v>
      </c>
      <c r="M676" t="s">
        <v>26</v>
      </c>
      <c r="N676">
        <v>0</v>
      </c>
      <c r="O676" t="s">
        <v>26</v>
      </c>
      <c r="P676" t="s">
        <v>26</v>
      </c>
      <c r="Q676" t="s">
        <v>26</v>
      </c>
      <c r="R676" t="s">
        <v>26</v>
      </c>
      <c r="S676" t="s">
        <v>26</v>
      </c>
      <c r="T676" t="s">
        <v>26</v>
      </c>
      <c r="U676" t="s">
        <v>26</v>
      </c>
      <c r="V676">
        <v>0</v>
      </c>
      <c r="W676">
        <f>E676/100</f>
        <v>0.15</v>
      </c>
      <c r="X676">
        <f>F676/1000000</f>
        <v>0.30595899999999998</v>
      </c>
      <c r="Y676">
        <f>IF(D676="C",1,0)</f>
        <v>0</v>
      </c>
      <c r="Z676">
        <f>IF(G676="C",1,0)</f>
        <v>0</v>
      </c>
      <c r="AA676">
        <f>IF(G676="S",1,0)</f>
        <v>1</v>
      </c>
      <c r="AB676">
        <f>IF(G676="U",1,0)</f>
        <v>0</v>
      </c>
      <c r="AC676" s="5">
        <f>IF(AND(ISNUMBER(H676),NOT(ISNUMBER(P676))),1,0)</f>
        <v>1</v>
      </c>
      <c r="AD676" s="5">
        <f>IF(AND(ISNUMBER(H676),ISNUMBER(P676)),1,0)</f>
        <v>0</v>
      </c>
      <c r="AE676" s="5">
        <f>W676</f>
        <v>0.15</v>
      </c>
      <c r="AF676" s="5">
        <f>X676</f>
        <v>0.30595899999999998</v>
      </c>
      <c r="AG676" s="5">
        <f>Y676</f>
        <v>0</v>
      </c>
      <c r="AH676" s="5">
        <f>IF(OR(G676="C",G676="S",G676="U"),1,0)</f>
        <v>1</v>
      </c>
      <c r="AI676" s="5">
        <f>IF(ISNUMBER(H676),1,0)</f>
        <v>1</v>
      </c>
      <c r="AJ676" s="5">
        <f>IF(ISNUMBER(P676),1,0)</f>
        <v>0</v>
      </c>
      <c r="AK676" s="5">
        <f>IF(AI676=1,IF(J676&gt;0,1,0),"")</f>
        <v>0</v>
      </c>
      <c r="AL676" s="5" t="str">
        <f>IF(AJ676=1,IF(OR(Q676&gt;0,R676&gt;0),1,0),"")</f>
        <v/>
      </c>
    </row>
    <row r="677" spans="1:38">
      <c r="A677">
        <v>113636</v>
      </c>
      <c r="B677" t="s">
        <v>208</v>
      </c>
      <c r="C677" t="s">
        <v>23</v>
      </c>
      <c r="D677" t="s">
        <v>24</v>
      </c>
      <c r="E677">
        <v>6</v>
      </c>
      <c r="F677">
        <v>123709</v>
      </c>
      <c r="G677" t="s">
        <v>33</v>
      </c>
      <c r="H677">
        <v>1</v>
      </c>
      <c r="I677">
        <v>1</v>
      </c>
      <c r="J677">
        <v>0</v>
      </c>
      <c r="K677">
        <v>0</v>
      </c>
      <c r="L677">
        <v>0</v>
      </c>
      <c r="M677" t="s">
        <v>26</v>
      </c>
      <c r="N677">
        <v>0</v>
      </c>
      <c r="O677" t="s">
        <v>26</v>
      </c>
      <c r="P677" t="s">
        <v>26</v>
      </c>
      <c r="Q677" t="s">
        <v>26</v>
      </c>
      <c r="R677" t="s">
        <v>26</v>
      </c>
      <c r="S677" t="s">
        <v>26</v>
      </c>
      <c r="T677" t="s">
        <v>26</v>
      </c>
      <c r="U677" t="s">
        <v>26</v>
      </c>
      <c r="V677">
        <v>0</v>
      </c>
      <c r="W677">
        <f>E677/100</f>
        <v>0.06</v>
      </c>
      <c r="X677">
        <f>F677/1000000</f>
        <v>0.123709</v>
      </c>
      <c r="Y677">
        <f>IF(D677="C",1,0)</f>
        <v>0</v>
      </c>
      <c r="Z677">
        <f>IF(G677="C",1,0)</f>
        <v>1</v>
      </c>
      <c r="AA677">
        <f>IF(G677="S",1,0)</f>
        <v>0</v>
      </c>
      <c r="AB677">
        <f>IF(G677="U",1,0)</f>
        <v>0</v>
      </c>
      <c r="AC677" s="5">
        <f>IF(AND(ISNUMBER(H677),NOT(ISNUMBER(P677))),1,0)</f>
        <v>1</v>
      </c>
      <c r="AD677" s="5">
        <f>IF(AND(ISNUMBER(H677),ISNUMBER(P677)),1,0)</f>
        <v>0</v>
      </c>
      <c r="AE677" s="5">
        <f>W677</f>
        <v>0.06</v>
      </c>
      <c r="AF677" s="5">
        <f>X677</f>
        <v>0.123709</v>
      </c>
      <c r="AG677" s="5">
        <f>Y677</f>
        <v>0</v>
      </c>
      <c r="AH677" s="5">
        <f>IF(OR(G677="C",G677="S",G677="U"),1,0)</f>
        <v>1</v>
      </c>
      <c r="AI677" s="5">
        <f>IF(ISNUMBER(H677),1,0)</f>
        <v>1</v>
      </c>
      <c r="AJ677" s="5">
        <f>IF(ISNUMBER(P677),1,0)</f>
        <v>0</v>
      </c>
      <c r="AK677" s="5">
        <f>IF(AI677=1,IF(J677&gt;0,1,0),"")</f>
        <v>0</v>
      </c>
      <c r="AL677" s="5" t="str">
        <f>IF(AJ677=1,IF(OR(Q677&gt;0,R677&gt;0),1,0),"")</f>
        <v/>
      </c>
    </row>
    <row r="678" spans="1:38">
      <c r="A678">
        <v>120707</v>
      </c>
      <c r="B678" t="s">
        <v>214</v>
      </c>
      <c r="C678" t="s">
        <v>77</v>
      </c>
      <c r="D678" t="s">
        <v>24</v>
      </c>
      <c r="E678">
        <v>169</v>
      </c>
      <c r="F678">
        <v>4031671</v>
      </c>
      <c r="G678" t="s">
        <v>25</v>
      </c>
      <c r="H678">
        <v>1</v>
      </c>
      <c r="I678">
        <v>0</v>
      </c>
      <c r="J678">
        <v>0</v>
      </c>
      <c r="K678">
        <v>0</v>
      </c>
      <c r="L678" t="s">
        <v>26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26</v>
      </c>
      <c r="S678" t="s">
        <v>26</v>
      </c>
      <c r="T678" t="s">
        <v>26</v>
      </c>
      <c r="U678" t="s">
        <v>26</v>
      </c>
      <c r="V678">
        <v>0</v>
      </c>
      <c r="W678">
        <f>E678/100</f>
        <v>1.69</v>
      </c>
      <c r="X678">
        <f>F678/1000000</f>
        <v>4.0316710000000002</v>
      </c>
      <c r="Y678">
        <f>IF(D678="C",1,0)</f>
        <v>0</v>
      </c>
      <c r="Z678">
        <f>IF(G678="C",1,0)</f>
        <v>0</v>
      </c>
      <c r="AA678">
        <f>IF(G678="S",1,0)</f>
        <v>1</v>
      </c>
      <c r="AB678">
        <f>IF(G678="U",1,0)</f>
        <v>0</v>
      </c>
      <c r="AC678" s="5">
        <f>IF(AND(ISNUMBER(H678),NOT(ISNUMBER(P678))),1,0)</f>
        <v>1</v>
      </c>
      <c r="AD678" s="5">
        <f>IF(AND(ISNUMBER(H678),ISNUMBER(P678)),1,0)</f>
        <v>0</v>
      </c>
      <c r="AE678" s="5">
        <f>W678</f>
        <v>1.69</v>
      </c>
      <c r="AF678" s="5">
        <f>X678</f>
        <v>4.0316710000000002</v>
      </c>
      <c r="AG678" s="5">
        <f>Y678</f>
        <v>0</v>
      </c>
      <c r="AH678" s="5">
        <f>IF(OR(G678="C",G678="S",G678="U"),1,0)</f>
        <v>1</v>
      </c>
      <c r="AI678" s="5">
        <f>IF(ISNUMBER(H678),1,0)</f>
        <v>1</v>
      </c>
      <c r="AJ678" s="5">
        <f>IF(ISNUMBER(P678),1,0)</f>
        <v>0</v>
      </c>
      <c r="AK678" s="5">
        <f>IF(AI678=1,IF(J678&gt;0,1,0),"")</f>
        <v>0</v>
      </c>
      <c r="AL678" s="5" t="str">
        <f>IF(AJ678=1,IF(OR(Q678&gt;0,R678&gt;0),1,0),"")</f>
        <v/>
      </c>
    </row>
    <row r="679" spans="1:38">
      <c r="A679">
        <v>124973</v>
      </c>
      <c r="B679" t="s">
        <v>221</v>
      </c>
      <c r="C679" t="s">
        <v>212</v>
      </c>
      <c r="D679" t="s">
        <v>24</v>
      </c>
      <c r="E679">
        <v>56</v>
      </c>
      <c r="F679">
        <v>290000</v>
      </c>
      <c r="G679" t="s">
        <v>25</v>
      </c>
      <c r="H679">
        <v>1</v>
      </c>
      <c r="I679">
        <v>2</v>
      </c>
      <c r="J679">
        <v>1</v>
      </c>
      <c r="K679">
        <v>1</v>
      </c>
      <c r="L679">
        <v>0.5</v>
      </c>
      <c r="M679" t="s">
        <v>26</v>
      </c>
      <c r="N679">
        <v>0.5</v>
      </c>
      <c r="O679">
        <v>1</v>
      </c>
      <c r="P679" t="s">
        <v>26</v>
      </c>
      <c r="Q679" t="s">
        <v>26</v>
      </c>
      <c r="R679" t="s">
        <v>26</v>
      </c>
      <c r="S679" t="s">
        <v>26</v>
      </c>
      <c r="T679" t="s">
        <v>26</v>
      </c>
      <c r="U679" t="s">
        <v>26</v>
      </c>
      <c r="V679">
        <v>1</v>
      </c>
      <c r="W679">
        <f>E679/100</f>
        <v>0.56000000000000005</v>
      </c>
      <c r="X679">
        <f>F679/1000000</f>
        <v>0.28999999999999998</v>
      </c>
      <c r="Y679">
        <f>IF(D679="C",1,0)</f>
        <v>0</v>
      </c>
      <c r="Z679">
        <f>IF(G679="C",1,0)</f>
        <v>0</v>
      </c>
      <c r="AA679">
        <f>IF(G679="S",1,0)</f>
        <v>1</v>
      </c>
      <c r="AB679">
        <f>IF(G679="U",1,0)</f>
        <v>0</v>
      </c>
      <c r="AC679" s="5">
        <f>IF(AND(ISNUMBER(H679),NOT(ISNUMBER(P679))),1,0)</f>
        <v>1</v>
      </c>
      <c r="AD679" s="5">
        <f>IF(AND(ISNUMBER(H679),ISNUMBER(P679)),1,0)</f>
        <v>0</v>
      </c>
      <c r="AE679" s="5">
        <f>W679</f>
        <v>0.56000000000000005</v>
      </c>
      <c r="AF679" s="5">
        <f>X679</f>
        <v>0.28999999999999998</v>
      </c>
      <c r="AG679" s="5">
        <f>Y679</f>
        <v>0</v>
      </c>
      <c r="AH679" s="5">
        <f>IF(OR(G679="C",G679="S",G679="U"),1,0)</f>
        <v>1</v>
      </c>
      <c r="AI679" s="5">
        <f>IF(ISNUMBER(H679),1,0)</f>
        <v>1</v>
      </c>
      <c r="AJ679" s="5">
        <f>IF(ISNUMBER(P679),1,0)</f>
        <v>0</v>
      </c>
      <c r="AK679" s="5">
        <f>IF(AI679=1,IF(J679&gt;0,1,0),"")</f>
        <v>1</v>
      </c>
      <c r="AL679" s="5" t="str">
        <f>IF(AJ679=1,IF(OR(Q679&gt;0,R679&gt;0),1,0),"")</f>
        <v/>
      </c>
    </row>
    <row r="680" spans="1:38">
      <c r="A680">
        <v>128799</v>
      </c>
      <c r="B680" t="s">
        <v>225</v>
      </c>
      <c r="C680" t="s">
        <v>82</v>
      </c>
      <c r="D680" t="s">
        <v>24</v>
      </c>
      <c r="E680">
        <v>25</v>
      </c>
      <c r="F680">
        <v>1518443</v>
      </c>
      <c r="G680" t="s">
        <v>25</v>
      </c>
      <c r="H680">
        <v>1</v>
      </c>
      <c r="I680">
        <v>7</v>
      </c>
      <c r="J680">
        <v>1</v>
      </c>
      <c r="K680">
        <v>1</v>
      </c>
      <c r="L680">
        <v>0.1429</v>
      </c>
      <c r="M680" t="s">
        <v>26</v>
      </c>
      <c r="N680">
        <v>0.1429</v>
      </c>
      <c r="O680" t="s">
        <v>26</v>
      </c>
      <c r="P680" t="s">
        <v>26</v>
      </c>
      <c r="Q680" t="s">
        <v>26</v>
      </c>
      <c r="R680" t="s">
        <v>26</v>
      </c>
      <c r="S680" t="s">
        <v>26</v>
      </c>
      <c r="T680" t="s">
        <v>26</v>
      </c>
      <c r="U680" t="s">
        <v>26</v>
      </c>
      <c r="V680">
        <v>1</v>
      </c>
      <c r="W680">
        <f>E680/100</f>
        <v>0.25</v>
      </c>
      <c r="X680">
        <f>F680/1000000</f>
        <v>1.518443</v>
      </c>
      <c r="Y680">
        <f>IF(D680="C",1,0)</f>
        <v>0</v>
      </c>
      <c r="Z680">
        <f>IF(G680="C",1,0)</f>
        <v>0</v>
      </c>
      <c r="AA680">
        <f>IF(G680="S",1,0)</f>
        <v>1</v>
      </c>
      <c r="AB680">
        <f>IF(G680="U",1,0)</f>
        <v>0</v>
      </c>
      <c r="AC680" s="5">
        <f>IF(AND(ISNUMBER(H680),NOT(ISNUMBER(P680))),1,0)</f>
        <v>1</v>
      </c>
      <c r="AD680" s="5">
        <f>IF(AND(ISNUMBER(H680),ISNUMBER(P680)),1,0)</f>
        <v>0</v>
      </c>
      <c r="AE680" s="5">
        <f>W680</f>
        <v>0.25</v>
      </c>
      <c r="AF680" s="5">
        <f>X680</f>
        <v>1.518443</v>
      </c>
      <c r="AG680" s="5">
        <f>Y680</f>
        <v>0</v>
      </c>
      <c r="AH680" s="5">
        <f>IF(OR(G680="C",G680="S",G680="U"),1,0)</f>
        <v>1</v>
      </c>
      <c r="AI680" s="5">
        <f>IF(ISNUMBER(H680),1,0)</f>
        <v>1</v>
      </c>
      <c r="AJ680" s="5">
        <f>IF(ISNUMBER(P680),1,0)</f>
        <v>0</v>
      </c>
      <c r="AK680" s="5">
        <f>IF(AI680=1,IF(J680&gt;0,1,0),"")</f>
        <v>1</v>
      </c>
      <c r="AL680" s="5" t="str">
        <f>IF(AJ680=1,IF(OR(Q680&gt;0,R680&gt;0),1,0),"")</f>
        <v/>
      </c>
    </row>
    <row r="681" spans="1:38">
      <c r="A681">
        <v>129828</v>
      </c>
      <c r="B681" t="s">
        <v>226</v>
      </c>
      <c r="C681" t="s">
        <v>37</v>
      </c>
      <c r="D681" t="s">
        <v>24</v>
      </c>
      <c r="E681">
        <v>29</v>
      </c>
      <c r="F681">
        <v>157339</v>
      </c>
      <c r="G681" t="s">
        <v>33</v>
      </c>
      <c r="H681">
        <v>1</v>
      </c>
      <c r="I681">
        <v>0</v>
      </c>
      <c r="J681">
        <v>0</v>
      </c>
      <c r="K681">
        <v>0</v>
      </c>
      <c r="L681" t="s">
        <v>26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26</v>
      </c>
      <c r="S681" t="s">
        <v>26</v>
      </c>
      <c r="T681" t="s">
        <v>26</v>
      </c>
      <c r="U681" t="s">
        <v>26</v>
      </c>
      <c r="V681">
        <v>0</v>
      </c>
      <c r="W681">
        <f>E681/100</f>
        <v>0.28999999999999998</v>
      </c>
      <c r="X681">
        <f>F681/1000000</f>
        <v>0.15733900000000001</v>
      </c>
      <c r="Y681">
        <f>IF(D681="C",1,0)</f>
        <v>0</v>
      </c>
      <c r="Z681">
        <f>IF(G681="C",1,0)</f>
        <v>1</v>
      </c>
      <c r="AA681">
        <f>IF(G681="S",1,0)</f>
        <v>0</v>
      </c>
      <c r="AB681">
        <f>IF(G681="U",1,0)</f>
        <v>0</v>
      </c>
      <c r="AC681" s="5">
        <f>IF(AND(ISNUMBER(H681),NOT(ISNUMBER(P681))),1,0)</f>
        <v>1</v>
      </c>
      <c r="AD681" s="5">
        <f>IF(AND(ISNUMBER(H681),ISNUMBER(P681)),1,0)</f>
        <v>0</v>
      </c>
      <c r="AE681" s="5">
        <f>W681</f>
        <v>0.28999999999999998</v>
      </c>
      <c r="AF681" s="5">
        <f>X681</f>
        <v>0.15733900000000001</v>
      </c>
      <c r="AG681" s="5">
        <f>Y681</f>
        <v>0</v>
      </c>
      <c r="AH681" s="5">
        <f>IF(OR(G681="C",G681="S",G681="U"),1,0)</f>
        <v>1</v>
      </c>
      <c r="AI681" s="5">
        <f>IF(ISNUMBER(H681),1,0)</f>
        <v>1</v>
      </c>
      <c r="AJ681" s="5">
        <f>IF(ISNUMBER(P681),1,0)</f>
        <v>0</v>
      </c>
      <c r="AK681" s="5">
        <f>IF(AI681=1,IF(J681&gt;0,1,0),"")</f>
        <v>0</v>
      </c>
      <c r="AL681" s="5" t="str">
        <f>IF(AJ681=1,IF(OR(Q681&gt;0,R681&gt;0),1,0),"")</f>
        <v/>
      </c>
    </row>
    <row r="682" spans="1:38">
      <c r="A682">
        <v>144225</v>
      </c>
      <c r="B682" t="s">
        <v>233</v>
      </c>
      <c r="C682" t="s">
        <v>23</v>
      </c>
      <c r="D682" t="s">
        <v>24</v>
      </c>
      <c r="E682">
        <v>26</v>
      </c>
      <c r="F682">
        <v>552170</v>
      </c>
      <c r="H682">
        <v>1</v>
      </c>
      <c r="I682">
        <v>3</v>
      </c>
      <c r="J682">
        <v>2</v>
      </c>
      <c r="K682">
        <v>1</v>
      </c>
      <c r="L682">
        <v>0.66669999999999996</v>
      </c>
      <c r="M682">
        <v>0.66669999999999996</v>
      </c>
      <c r="N682" t="s">
        <v>26</v>
      </c>
      <c r="O682" t="s">
        <v>26</v>
      </c>
      <c r="P682" t="s">
        <v>26</v>
      </c>
      <c r="Q682" t="s">
        <v>26</v>
      </c>
      <c r="R682" t="s">
        <v>26</v>
      </c>
      <c r="S682" t="s">
        <v>26</v>
      </c>
      <c r="T682" t="s">
        <v>26</v>
      </c>
      <c r="U682" t="s">
        <v>26</v>
      </c>
      <c r="V682">
        <v>1</v>
      </c>
      <c r="W682">
        <f>E682/100</f>
        <v>0.26</v>
      </c>
      <c r="X682">
        <f>F682/1000000</f>
        <v>0.55217000000000005</v>
      </c>
      <c r="Y682">
        <f>IF(D682="C",1,0)</f>
        <v>0</v>
      </c>
      <c r="Z682">
        <f>IF(G682="C",1,0)</f>
        <v>0</v>
      </c>
      <c r="AA682">
        <f>IF(G682="S",1,0)</f>
        <v>0</v>
      </c>
      <c r="AB682">
        <f>IF(G682="U",1,0)</f>
        <v>0</v>
      </c>
      <c r="AC682" s="5">
        <f>IF(AND(ISNUMBER(H682),NOT(ISNUMBER(P682))),1,0)</f>
        <v>1</v>
      </c>
      <c r="AD682" s="5">
        <f>IF(AND(ISNUMBER(H682),ISNUMBER(P682)),1,0)</f>
        <v>0</v>
      </c>
      <c r="AE682" s="5">
        <f>W682</f>
        <v>0.26</v>
      </c>
      <c r="AF682" s="5">
        <f>X682</f>
        <v>0.55217000000000005</v>
      </c>
      <c r="AG682" s="5">
        <f>Y682</f>
        <v>0</v>
      </c>
      <c r="AH682" s="5">
        <f>IF(OR(G682="C",G682="S",G682="U"),1,0)</f>
        <v>0</v>
      </c>
      <c r="AI682" s="5">
        <f>IF(ISNUMBER(H682),1,0)</f>
        <v>1</v>
      </c>
      <c r="AJ682" s="5">
        <f>IF(ISNUMBER(P682),1,0)</f>
        <v>0</v>
      </c>
      <c r="AK682" s="5">
        <f>IF(AI682=1,IF(J682&gt;0,1,0),"")</f>
        <v>1</v>
      </c>
      <c r="AL682" s="5" t="str">
        <f>IF(AJ682=1,IF(OR(Q682&gt;0,R682&gt;0),1,0),"")</f>
        <v/>
      </c>
    </row>
    <row r="683" spans="1:38">
      <c r="A683">
        <v>144993</v>
      </c>
      <c r="B683" t="s">
        <v>235</v>
      </c>
      <c r="C683" t="s">
        <v>82</v>
      </c>
      <c r="D683" t="s">
        <v>24</v>
      </c>
      <c r="E683">
        <v>11</v>
      </c>
      <c r="F683">
        <v>199000</v>
      </c>
      <c r="H683">
        <v>1</v>
      </c>
      <c r="I683">
        <v>5</v>
      </c>
      <c r="J683">
        <v>0</v>
      </c>
      <c r="K683">
        <v>0</v>
      </c>
      <c r="L683">
        <v>0</v>
      </c>
      <c r="M683" t="s">
        <v>26</v>
      </c>
      <c r="N683">
        <v>0</v>
      </c>
      <c r="O683" t="s">
        <v>26</v>
      </c>
      <c r="P683" t="s">
        <v>26</v>
      </c>
      <c r="Q683" t="s">
        <v>26</v>
      </c>
      <c r="R683" t="s">
        <v>26</v>
      </c>
      <c r="S683" t="s">
        <v>26</v>
      </c>
      <c r="T683" t="s">
        <v>26</v>
      </c>
      <c r="U683" t="s">
        <v>26</v>
      </c>
      <c r="V683">
        <v>0</v>
      </c>
      <c r="W683">
        <f>E683/100</f>
        <v>0.11</v>
      </c>
      <c r="X683">
        <f>F683/1000000</f>
        <v>0.19900000000000001</v>
      </c>
      <c r="Y683">
        <f>IF(D683="C",1,0)</f>
        <v>0</v>
      </c>
      <c r="Z683">
        <f>IF(G683="C",1,0)</f>
        <v>0</v>
      </c>
      <c r="AA683">
        <f>IF(G683="S",1,0)</f>
        <v>0</v>
      </c>
      <c r="AB683">
        <f>IF(G683="U",1,0)</f>
        <v>0</v>
      </c>
      <c r="AC683" s="5">
        <f>IF(AND(ISNUMBER(H683),NOT(ISNUMBER(P683))),1,0)</f>
        <v>1</v>
      </c>
      <c r="AD683" s="5">
        <f>IF(AND(ISNUMBER(H683),ISNUMBER(P683)),1,0)</f>
        <v>0</v>
      </c>
      <c r="AE683" s="5">
        <f>W683</f>
        <v>0.11</v>
      </c>
      <c r="AF683" s="5">
        <f>X683</f>
        <v>0.19900000000000001</v>
      </c>
      <c r="AG683" s="5">
        <f>Y683</f>
        <v>0</v>
      </c>
      <c r="AH683" s="5">
        <f>IF(OR(G683="C",G683="S",G683="U"),1,0)</f>
        <v>0</v>
      </c>
      <c r="AI683" s="5">
        <f>IF(ISNUMBER(H683),1,0)</f>
        <v>1</v>
      </c>
      <c r="AJ683" s="5">
        <f>IF(ISNUMBER(P683),1,0)</f>
        <v>0</v>
      </c>
      <c r="AK683" s="5">
        <f>IF(AI683=1,IF(J683&gt;0,1,0),"")</f>
        <v>0</v>
      </c>
      <c r="AL683" s="5" t="str">
        <f>IF(AJ683=1,IF(OR(Q683&gt;0,R683&gt;0),1,0),"")</f>
        <v/>
      </c>
    </row>
    <row r="684" spans="1:38">
      <c r="A684">
        <v>210028</v>
      </c>
      <c r="B684" t="s">
        <v>289</v>
      </c>
      <c r="C684" t="s">
        <v>23</v>
      </c>
      <c r="D684" t="s">
        <v>24</v>
      </c>
      <c r="E684">
        <v>6</v>
      </c>
      <c r="F684">
        <v>200000</v>
      </c>
      <c r="G684" t="s">
        <v>25</v>
      </c>
      <c r="H684">
        <v>1</v>
      </c>
      <c r="I684">
        <v>1</v>
      </c>
      <c r="J684">
        <v>0</v>
      </c>
      <c r="K684">
        <v>0</v>
      </c>
      <c r="L684">
        <v>0</v>
      </c>
      <c r="M684" t="s">
        <v>26</v>
      </c>
      <c r="N684">
        <v>0</v>
      </c>
      <c r="O684" t="s">
        <v>26</v>
      </c>
      <c r="P684" t="s">
        <v>26</v>
      </c>
      <c r="Q684" t="s">
        <v>26</v>
      </c>
      <c r="R684" t="s">
        <v>26</v>
      </c>
      <c r="S684" t="s">
        <v>26</v>
      </c>
      <c r="T684" t="s">
        <v>26</v>
      </c>
      <c r="U684" t="s">
        <v>26</v>
      </c>
      <c r="V684">
        <v>0</v>
      </c>
      <c r="W684">
        <f>E684/100</f>
        <v>0.06</v>
      </c>
      <c r="X684">
        <f>F684/1000000</f>
        <v>0.2</v>
      </c>
      <c r="Y684">
        <f>IF(D684="C",1,0)</f>
        <v>0</v>
      </c>
      <c r="Z684">
        <f>IF(G684="C",1,0)</f>
        <v>0</v>
      </c>
      <c r="AA684">
        <f>IF(G684="S",1,0)</f>
        <v>1</v>
      </c>
      <c r="AB684">
        <f>IF(G684="U",1,0)</f>
        <v>0</v>
      </c>
      <c r="AC684" s="5">
        <f>IF(AND(ISNUMBER(H684),NOT(ISNUMBER(P684))),1,0)</f>
        <v>1</v>
      </c>
      <c r="AD684" s="5">
        <f>IF(AND(ISNUMBER(H684),ISNUMBER(P684)),1,0)</f>
        <v>0</v>
      </c>
      <c r="AE684" s="5">
        <f>W684</f>
        <v>0.06</v>
      </c>
      <c r="AF684" s="5">
        <f>X684</f>
        <v>0.2</v>
      </c>
      <c r="AG684" s="5">
        <f>Y684</f>
        <v>0</v>
      </c>
      <c r="AH684" s="5">
        <f>IF(OR(G684="C",G684="S",G684="U"),1,0)</f>
        <v>1</v>
      </c>
      <c r="AI684" s="5">
        <f>IF(ISNUMBER(H684),1,0)</f>
        <v>1</v>
      </c>
      <c r="AJ684" s="5">
        <f>IF(ISNUMBER(P684),1,0)</f>
        <v>0</v>
      </c>
      <c r="AK684" s="5">
        <f>IF(AI684=1,IF(J684&gt;0,1,0),"")</f>
        <v>0</v>
      </c>
      <c r="AL684" s="5" t="str">
        <f>IF(AJ684=1,IF(OR(Q684&gt;0,R684&gt;0),1,0),"")</f>
        <v/>
      </c>
    </row>
    <row r="685" spans="1:38">
      <c r="A685">
        <v>225180</v>
      </c>
      <c r="B685" t="s">
        <v>303</v>
      </c>
      <c r="C685" t="s">
        <v>23</v>
      </c>
      <c r="D685" t="s">
        <v>24</v>
      </c>
      <c r="E685">
        <v>27</v>
      </c>
      <c r="F685">
        <v>1512140</v>
      </c>
      <c r="H685">
        <v>1</v>
      </c>
      <c r="I685">
        <v>1</v>
      </c>
      <c r="J685">
        <v>0</v>
      </c>
      <c r="K685">
        <v>0</v>
      </c>
      <c r="L685">
        <v>0</v>
      </c>
      <c r="M685" t="s">
        <v>26</v>
      </c>
      <c r="N685">
        <v>0</v>
      </c>
      <c r="O685" t="s">
        <v>26</v>
      </c>
      <c r="P685" t="s">
        <v>26</v>
      </c>
      <c r="Q685" t="s">
        <v>26</v>
      </c>
      <c r="R685" t="s">
        <v>26</v>
      </c>
      <c r="S685" t="s">
        <v>26</v>
      </c>
      <c r="T685" t="s">
        <v>26</v>
      </c>
      <c r="U685" t="s">
        <v>26</v>
      </c>
      <c r="V685">
        <v>0</v>
      </c>
      <c r="W685">
        <f>E685/100</f>
        <v>0.27</v>
      </c>
      <c r="X685">
        <f>F685/1000000</f>
        <v>1.51214</v>
      </c>
      <c r="Y685">
        <f>IF(D685="C",1,0)</f>
        <v>0</v>
      </c>
      <c r="Z685">
        <f>IF(G685="C",1,0)</f>
        <v>0</v>
      </c>
      <c r="AA685">
        <f>IF(G685="S",1,0)</f>
        <v>0</v>
      </c>
      <c r="AB685">
        <f>IF(G685="U",1,0)</f>
        <v>0</v>
      </c>
      <c r="AC685" s="5">
        <f>IF(AND(ISNUMBER(H685),NOT(ISNUMBER(P685))),1,0)</f>
        <v>1</v>
      </c>
      <c r="AD685" s="5">
        <f>IF(AND(ISNUMBER(H685),ISNUMBER(P685)),1,0)</f>
        <v>0</v>
      </c>
      <c r="AE685" s="5">
        <f>W685</f>
        <v>0.27</v>
      </c>
      <c r="AF685" s="5">
        <f>X685</f>
        <v>1.51214</v>
      </c>
      <c r="AG685" s="5">
        <f>Y685</f>
        <v>0</v>
      </c>
      <c r="AH685" s="5">
        <f>IF(OR(G685="C",G685="S",G685="U"),1,0)</f>
        <v>0</v>
      </c>
      <c r="AI685" s="5">
        <f>IF(ISNUMBER(H685),1,0)</f>
        <v>1</v>
      </c>
      <c r="AJ685" s="5">
        <f>IF(ISNUMBER(P685),1,0)</f>
        <v>0</v>
      </c>
      <c r="AK685" s="5">
        <f>IF(AI685=1,IF(J685&gt;0,1,0),"")</f>
        <v>0</v>
      </c>
      <c r="AL685" s="5" t="str">
        <f>IF(AJ685=1,IF(OR(Q685&gt;0,R685&gt;0),1,0),"")</f>
        <v/>
      </c>
    </row>
    <row r="686" spans="1:38">
      <c r="A686">
        <v>225402</v>
      </c>
      <c r="B686" t="s">
        <v>304</v>
      </c>
      <c r="C686" t="s">
        <v>23</v>
      </c>
      <c r="D686" t="s">
        <v>24</v>
      </c>
      <c r="E686">
        <v>6</v>
      </c>
      <c r="F686">
        <v>469787</v>
      </c>
      <c r="G686" t="s">
        <v>25</v>
      </c>
      <c r="H686">
        <v>1</v>
      </c>
      <c r="I686">
        <v>4</v>
      </c>
      <c r="J686">
        <v>0</v>
      </c>
      <c r="K686">
        <v>0</v>
      </c>
      <c r="L686">
        <v>0</v>
      </c>
      <c r="M686" t="s">
        <v>26</v>
      </c>
      <c r="N686">
        <v>0</v>
      </c>
      <c r="O686" t="s">
        <v>26</v>
      </c>
      <c r="P686" t="s">
        <v>26</v>
      </c>
      <c r="Q686" t="s">
        <v>26</v>
      </c>
      <c r="R686" t="s">
        <v>26</v>
      </c>
      <c r="S686" t="s">
        <v>26</v>
      </c>
      <c r="T686" t="s">
        <v>26</v>
      </c>
      <c r="U686" t="s">
        <v>26</v>
      </c>
      <c r="V686">
        <v>0</v>
      </c>
      <c r="W686">
        <f>E686/100</f>
        <v>0.06</v>
      </c>
      <c r="X686">
        <f>F686/1000000</f>
        <v>0.46978700000000001</v>
      </c>
      <c r="Y686">
        <f>IF(D686="C",1,0)</f>
        <v>0</v>
      </c>
      <c r="Z686">
        <f>IF(G686="C",1,0)</f>
        <v>0</v>
      </c>
      <c r="AA686">
        <f>IF(G686="S",1,0)</f>
        <v>1</v>
      </c>
      <c r="AB686">
        <f>IF(G686="U",1,0)</f>
        <v>0</v>
      </c>
      <c r="AC686" s="5">
        <f>IF(AND(ISNUMBER(H686),NOT(ISNUMBER(P686))),1,0)</f>
        <v>1</v>
      </c>
      <c r="AD686" s="5">
        <f>IF(AND(ISNUMBER(H686),ISNUMBER(P686)),1,0)</f>
        <v>0</v>
      </c>
      <c r="AE686" s="5">
        <f>W686</f>
        <v>0.06</v>
      </c>
      <c r="AF686" s="5">
        <f>X686</f>
        <v>0.46978700000000001</v>
      </c>
      <c r="AG686" s="5">
        <f>Y686</f>
        <v>0</v>
      </c>
      <c r="AH686" s="5">
        <f>IF(OR(G686="C",G686="S",G686="U"),1,0)</f>
        <v>1</v>
      </c>
      <c r="AI686" s="5">
        <f>IF(ISNUMBER(H686),1,0)</f>
        <v>1</v>
      </c>
      <c r="AJ686" s="5">
        <f>IF(ISNUMBER(P686),1,0)</f>
        <v>0</v>
      </c>
      <c r="AK686" s="5">
        <f>IF(AI686=1,IF(J686&gt;0,1,0),"")</f>
        <v>0</v>
      </c>
      <c r="AL686" s="5" t="str">
        <f>IF(AJ686=1,IF(OR(Q686&gt;0,R686&gt;0),1,0),"")</f>
        <v/>
      </c>
    </row>
    <row r="687" spans="1:38">
      <c r="A687">
        <v>226518</v>
      </c>
      <c r="B687" t="s">
        <v>305</v>
      </c>
      <c r="C687" t="s">
        <v>181</v>
      </c>
      <c r="D687" t="s">
        <v>24</v>
      </c>
      <c r="E687">
        <v>401</v>
      </c>
      <c r="F687">
        <v>6173879</v>
      </c>
      <c r="G687" t="s">
        <v>25</v>
      </c>
      <c r="H687">
        <v>1</v>
      </c>
      <c r="I687">
        <v>0</v>
      </c>
      <c r="J687">
        <v>0</v>
      </c>
      <c r="K687">
        <v>0</v>
      </c>
      <c r="L687" t="s">
        <v>26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26</v>
      </c>
      <c r="S687" t="s">
        <v>26</v>
      </c>
      <c r="T687" t="s">
        <v>26</v>
      </c>
      <c r="U687" t="s">
        <v>26</v>
      </c>
      <c r="V687">
        <v>0</v>
      </c>
      <c r="W687">
        <f>E687/100</f>
        <v>4.01</v>
      </c>
      <c r="X687">
        <f>F687/1000000</f>
        <v>6.1738790000000003</v>
      </c>
      <c r="Y687">
        <f>IF(D687="C",1,0)</f>
        <v>0</v>
      </c>
      <c r="Z687">
        <f>IF(G687="C",1,0)</f>
        <v>0</v>
      </c>
      <c r="AA687">
        <f>IF(G687="S",1,0)</f>
        <v>1</v>
      </c>
      <c r="AB687">
        <f>IF(G687="U",1,0)</f>
        <v>0</v>
      </c>
      <c r="AC687" s="5">
        <f>IF(AND(ISNUMBER(H687),NOT(ISNUMBER(P687))),1,0)</f>
        <v>1</v>
      </c>
      <c r="AD687" s="5">
        <f>IF(AND(ISNUMBER(H687),ISNUMBER(P687)),1,0)</f>
        <v>0</v>
      </c>
      <c r="AE687" s="5">
        <f>W687</f>
        <v>4.01</v>
      </c>
      <c r="AF687" s="5">
        <f>X687</f>
        <v>6.1738790000000003</v>
      </c>
      <c r="AG687" s="5">
        <f>Y687</f>
        <v>0</v>
      </c>
      <c r="AH687" s="5">
        <f>IF(OR(G687="C",G687="S",G687="U"),1,0)</f>
        <v>1</v>
      </c>
      <c r="AI687" s="5">
        <f>IF(ISNUMBER(H687),1,0)</f>
        <v>1</v>
      </c>
      <c r="AJ687" s="5">
        <f>IF(ISNUMBER(P687),1,0)</f>
        <v>0</v>
      </c>
      <c r="AK687" s="5">
        <f>IF(AI687=1,IF(J687&gt;0,1,0),"")</f>
        <v>0</v>
      </c>
      <c r="AL687" s="5" t="str">
        <f>IF(AJ687=1,IF(OR(Q687&gt;0,R687&gt;0),1,0),"")</f>
        <v/>
      </c>
    </row>
    <row r="688" spans="1:38">
      <c r="A688">
        <v>228507</v>
      </c>
      <c r="B688" t="s">
        <v>307</v>
      </c>
      <c r="C688" t="s">
        <v>23</v>
      </c>
      <c r="D688" t="s">
        <v>24</v>
      </c>
      <c r="E688">
        <v>626</v>
      </c>
      <c r="F688">
        <v>9588000</v>
      </c>
      <c r="G688" t="s">
        <v>25</v>
      </c>
      <c r="H688">
        <v>1</v>
      </c>
      <c r="I688">
        <v>0</v>
      </c>
      <c r="J688">
        <v>0</v>
      </c>
      <c r="K688">
        <v>0</v>
      </c>
      <c r="L688" t="s">
        <v>26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26</v>
      </c>
      <c r="S688" t="s">
        <v>26</v>
      </c>
      <c r="T688" t="s">
        <v>26</v>
      </c>
      <c r="U688" t="s">
        <v>26</v>
      </c>
      <c r="V688">
        <v>0</v>
      </c>
      <c r="W688">
        <f>E688/100</f>
        <v>6.26</v>
      </c>
      <c r="X688">
        <f>F688/1000000</f>
        <v>9.5879999999999992</v>
      </c>
      <c r="Y688">
        <f>IF(D688="C",1,0)</f>
        <v>0</v>
      </c>
      <c r="Z688">
        <f>IF(G688="C",1,0)</f>
        <v>0</v>
      </c>
      <c r="AA688">
        <f>IF(G688="S",1,0)</f>
        <v>1</v>
      </c>
      <c r="AB688">
        <f>IF(G688="U",1,0)</f>
        <v>0</v>
      </c>
      <c r="AC688" s="5">
        <f>IF(AND(ISNUMBER(H688),NOT(ISNUMBER(P688))),1,0)</f>
        <v>1</v>
      </c>
      <c r="AD688" s="5">
        <f>IF(AND(ISNUMBER(H688),ISNUMBER(P688)),1,0)</f>
        <v>0</v>
      </c>
      <c r="AE688" s="5">
        <f>W688</f>
        <v>6.26</v>
      </c>
      <c r="AF688" s="5">
        <f>X688</f>
        <v>9.5879999999999992</v>
      </c>
      <c r="AG688" s="5">
        <f>Y688</f>
        <v>0</v>
      </c>
      <c r="AH688" s="5">
        <f>IF(OR(G688="C",G688="S",G688="U"),1,0)</f>
        <v>1</v>
      </c>
      <c r="AI688" s="5">
        <f>IF(ISNUMBER(H688),1,0)</f>
        <v>1</v>
      </c>
      <c r="AJ688" s="5">
        <f>IF(ISNUMBER(P688),1,0)</f>
        <v>0</v>
      </c>
      <c r="AK688" s="5">
        <f>IF(AI688=1,IF(J688&gt;0,1,0),"")</f>
        <v>0</v>
      </c>
      <c r="AL688" s="5" t="str">
        <f>IF(AJ688=1,IF(OR(Q688&gt;0,R688&gt;0),1,0),"")</f>
        <v/>
      </c>
    </row>
    <row r="689" spans="1:38">
      <c r="A689">
        <v>236058</v>
      </c>
      <c r="B689" t="s">
        <v>313</v>
      </c>
      <c r="C689" t="s">
        <v>314</v>
      </c>
      <c r="D689" t="s">
        <v>24</v>
      </c>
      <c r="E689">
        <v>41</v>
      </c>
      <c r="F689">
        <v>684781</v>
      </c>
      <c r="G689" t="s">
        <v>25</v>
      </c>
      <c r="H689">
        <v>1</v>
      </c>
      <c r="I689">
        <v>0</v>
      </c>
      <c r="J689">
        <v>0</v>
      </c>
      <c r="K689">
        <v>0</v>
      </c>
      <c r="L689" t="s">
        <v>26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26</v>
      </c>
      <c r="S689" t="s">
        <v>26</v>
      </c>
      <c r="T689" t="s">
        <v>26</v>
      </c>
      <c r="U689" t="s">
        <v>26</v>
      </c>
      <c r="V689">
        <v>0</v>
      </c>
      <c r="W689">
        <f>E689/100</f>
        <v>0.41</v>
      </c>
      <c r="X689">
        <f>F689/1000000</f>
        <v>0.68478099999999997</v>
      </c>
      <c r="Y689">
        <f>IF(D689="C",1,0)</f>
        <v>0</v>
      </c>
      <c r="Z689">
        <f>IF(G689="C",1,0)</f>
        <v>0</v>
      </c>
      <c r="AA689">
        <f>IF(G689="S",1,0)</f>
        <v>1</v>
      </c>
      <c r="AB689">
        <f>IF(G689="U",1,0)</f>
        <v>0</v>
      </c>
      <c r="AC689" s="5">
        <f>IF(AND(ISNUMBER(H689),NOT(ISNUMBER(P689))),1,0)</f>
        <v>1</v>
      </c>
      <c r="AD689" s="5">
        <f>IF(AND(ISNUMBER(H689),ISNUMBER(P689)),1,0)</f>
        <v>0</v>
      </c>
      <c r="AE689" s="5">
        <f>W689</f>
        <v>0.41</v>
      </c>
      <c r="AF689" s="5">
        <f>X689</f>
        <v>0.68478099999999997</v>
      </c>
      <c r="AG689" s="5">
        <f>Y689</f>
        <v>0</v>
      </c>
      <c r="AH689" s="5">
        <f>IF(OR(G689="C",G689="S",G689="U"),1,0)</f>
        <v>1</v>
      </c>
      <c r="AI689" s="5">
        <f>IF(ISNUMBER(H689),1,0)</f>
        <v>1</v>
      </c>
      <c r="AJ689" s="5">
        <f>IF(ISNUMBER(P689),1,0)</f>
        <v>0</v>
      </c>
      <c r="AK689" s="5">
        <f>IF(AI689=1,IF(J689&gt;0,1,0),"")</f>
        <v>0</v>
      </c>
      <c r="AL689" s="5" t="str">
        <f>IF(AJ689=1,IF(OR(Q689&gt;0,R689&gt;0),1,0),"")</f>
        <v/>
      </c>
    </row>
    <row r="690" spans="1:38">
      <c r="A690">
        <v>237060</v>
      </c>
      <c r="B690" t="s">
        <v>315</v>
      </c>
      <c r="C690" t="s">
        <v>37</v>
      </c>
      <c r="D690" t="s">
        <v>24</v>
      </c>
      <c r="E690">
        <v>399</v>
      </c>
      <c r="F690">
        <v>7391071</v>
      </c>
      <c r="G690" t="s">
        <v>25</v>
      </c>
      <c r="H690">
        <v>1</v>
      </c>
      <c r="I690">
        <v>1</v>
      </c>
      <c r="J690">
        <v>0</v>
      </c>
      <c r="K690">
        <v>0</v>
      </c>
      <c r="L690">
        <v>0</v>
      </c>
      <c r="M690" t="s">
        <v>26</v>
      </c>
      <c r="N690">
        <v>0</v>
      </c>
      <c r="O690" t="s">
        <v>26</v>
      </c>
      <c r="P690" t="s">
        <v>26</v>
      </c>
      <c r="Q690" t="s">
        <v>26</v>
      </c>
      <c r="R690" t="s">
        <v>26</v>
      </c>
      <c r="S690" t="s">
        <v>26</v>
      </c>
      <c r="T690" t="s">
        <v>26</v>
      </c>
      <c r="U690" t="s">
        <v>26</v>
      </c>
      <c r="V690">
        <v>0</v>
      </c>
      <c r="W690">
        <f>E690/100</f>
        <v>3.99</v>
      </c>
      <c r="X690">
        <f>F690/1000000</f>
        <v>7.3910710000000002</v>
      </c>
      <c r="Y690">
        <f>IF(D690="C",1,0)</f>
        <v>0</v>
      </c>
      <c r="Z690">
        <f>IF(G690="C",1,0)</f>
        <v>0</v>
      </c>
      <c r="AA690">
        <f>IF(G690="S",1,0)</f>
        <v>1</v>
      </c>
      <c r="AB690">
        <f>IF(G690="U",1,0)</f>
        <v>0</v>
      </c>
      <c r="AC690" s="5">
        <f>IF(AND(ISNUMBER(H690),NOT(ISNUMBER(P690))),1,0)</f>
        <v>1</v>
      </c>
      <c r="AD690" s="5">
        <f>IF(AND(ISNUMBER(H690),ISNUMBER(P690)),1,0)</f>
        <v>0</v>
      </c>
      <c r="AE690" s="5">
        <f>W690</f>
        <v>3.99</v>
      </c>
      <c r="AF690" s="5">
        <f>X690</f>
        <v>7.3910710000000002</v>
      </c>
      <c r="AG690" s="5">
        <f>Y690</f>
        <v>0</v>
      </c>
      <c r="AH690" s="5">
        <f>IF(OR(G690="C",G690="S",G690="U"),1,0)</f>
        <v>1</v>
      </c>
      <c r="AI690" s="5">
        <f>IF(ISNUMBER(H690),1,0)</f>
        <v>1</v>
      </c>
      <c r="AJ690" s="5">
        <f>IF(ISNUMBER(P690),1,0)</f>
        <v>0</v>
      </c>
      <c r="AK690" s="5">
        <f>IF(AI690=1,IF(J690&gt;0,1,0),"")</f>
        <v>0</v>
      </c>
      <c r="AL690" s="5" t="str">
        <f>IF(AJ690=1,IF(OR(Q690&gt;0,R690&gt;0),1,0),"")</f>
        <v/>
      </c>
    </row>
    <row r="691" spans="1:38">
      <c r="A691">
        <v>237962</v>
      </c>
      <c r="B691" t="s">
        <v>316</v>
      </c>
      <c r="C691" t="s">
        <v>317</v>
      </c>
      <c r="D691" t="s">
        <v>24</v>
      </c>
      <c r="E691">
        <v>480</v>
      </c>
      <c r="F691">
        <v>8347000</v>
      </c>
      <c r="G691" t="s">
        <v>25</v>
      </c>
      <c r="H691">
        <v>1</v>
      </c>
      <c r="I691">
        <v>3</v>
      </c>
      <c r="J691">
        <v>0</v>
      </c>
      <c r="K691">
        <v>0</v>
      </c>
      <c r="L691">
        <v>0</v>
      </c>
      <c r="M691">
        <v>0</v>
      </c>
      <c r="N691">
        <v>0</v>
      </c>
      <c r="O691" t="s">
        <v>26</v>
      </c>
      <c r="P691" t="s">
        <v>26</v>
      </c>
      <c r="Q691" t="s">
        <v>26</v>
      </c>
      <c r="R691" t="s">
        <v>26</v>
      </c>
      <c r="S691" t="s">
        <v>26</v>
      </c>
      <c r="T691" t="s">
        <v>26</v>
      </c>
      <c r="U691" t="s">
        <v>26</v>
      </c>
      <c r="V691">
        <v>0</v>
      </c>
      <c r="W691">
        <f>E691/100</f>
        <v>4.8</v>
      </c>
      <c r="X691">
        <f>F691/1000000</f>
        <v>8.3469999999999995</v>
      </c>
      <c r="Y691">
        <f>IF(D691="C",1,0)</f>
        <v>0</v>
      </c>
      <c r="Z691">
        <f>IF(G691="C",1,0)</f>
        <v>0</v>
      </c>
      <c r="AA691">
        <f>IF(G691="S",1,0)</f>
        <v>1</v>
      </c>
      <c r="AB691">
        <f>IF(G691="U",1,0)</f>
        <v>0</v>
      </c>
      <c r="AC691" s="5">
        <f>IF(AND(ISNUMBER(H691),NOT(ISNUMBER(P691))),1,0)</f>
        <v>1</v>
      </c>
      <c r="AD691" s="5">
        <f>IF(AND(ISNUMBER(H691),ISNUMBER(P691)),1,0)</f>
        <v>0</v>
      </c>
      <c r="AE691" s="5">
        <f>W691</f>
        <v>4.8</v>
      </c>
      <c r="AF691" s="5">
        <f>X691</f>
        <v>8.3469999999999995</v>
      </c>
      <c r="AG691" s="5">
        <f>Y691</f>
        <v>0</v>
      </c>
      <c r="AH691" s="5">
        <f>IF(OR(G691="C",G691="S",G691="U"),1,0)</f>
        <v>1</v>
      </c>
      <c r="AI691" s="5">
        <f>IF(ISNUMBER(H691),1,0)</f>
        <v>1</v>
      </c>
      <c r="AJ691" s="5">
        <f>IF(ISNUMBER(P691),1,0)</f>
        <v>0</v>
      </c>
      <c r="AK691" s="5">
        <f>IF(AI691=1,IF(J691&gt;0,1,0),"")</f>
        <v>0</v>
      </c>
      <c r="AL691" s="5" t="str">
        <f>IF(AJ691=1,IF(OR(Q691&gt;0,R691&gt;0),1,0),"")</f>
        <v/>
      </c>
    </row>
    <row r="692" spans="1:38">
      <c r="A692">
        <v>244260</v>
      </c>
      <c r="B692" t="s">
        <v>328</v>
      </c>
      <c r="C692" t="s">
        <v>23</v>
      </c>
      <c r="D692" t="s">
        <v>24</v>
      </c>
      <c r="E692">
        <v>24</v>
      </c>
      <c r="F692">
        <v>880000</v>
      </c>
      <c r="G692" t="s">
        <v>25</v>
      </c>
      <c r="H692">
        <v>1</v>
      </c>
      <c r="I692">
        <v>0</v>
      </c>
      <c r="J692">
        <v>0</v>
      </c>
      <c r="K692">
        <v>0</v>
      </c>
      <c r="L692" t="s">
        <v>26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  <c r="S692" t="s">
        <v>26</v>
      </c>
      <c r="T692" t="s">
        <v>26</v>
      </c>
      <c r="U692" t="s">
        <v>26</v>
      </c>
      <c r="V692">
        <v>0</v>
      </c>
      <c r="W692">
        <f>E692/100</f>
        <v>0.24</v>
      </c>
      <c r="X692">
        <f>F692/1000000</f>
        <v>0.88</v>
      </c>
      <c r="Y692">
        <f>IF(D692="C",1,0)</f>
        <v>0</v>
      </c>
      <c r="Z692">
        <f>IF(G692="C",1,0)</f>
        <v>0</v>
      </c>
      <c r="AA692">
        <f>IF(G692="S",1,0)</f>
        <v>1</v>
      </c>
      <c r="AB692">
        <f>IF(G692="U",1,0)</f>
        <v>0</v>
      </c>
      <c r="AC692" s="5">
        <f>IF(AND(ISNUMBER(H692),NOT(ISNUMBER(P692))),1,0)</f>
        <v>1</v>
      </c>
      <c r="AD692" s="5">
        <f>IF(AND(ISNUMBER(H692),ISNUMBER(P692)),1,0)</f>
        <v>0</v>
      </c>
      <c r="AE692" s="5">
        <f>W692</f>
        <v>0.24</v>
      </c>
      <c r="AF692" s="5">
        <f>X692</f>
        <v>0.88</v>
      </c>
      <c r="AG692" s="5">
        <f>Y692</f>
        <v>0</v>
      </c>
      <c r="AH692" s="5">
        <f>IF(OR(G692="C",G692="S",G692="U"),1,0)</f>
        <v>1</v>
      </c>
      <c r="AI692" s="5">
        <f>IF(ISNUMBER(H692),1,0)</f>
        <v>1</v>
      </c>
      <c r="AJ692" s="5">
        <f>IF(ISNUMBER(P692),1,0)</f>
        <v>0</v>
      </c>
      <c r="AK692" s="5">
        <f>IF(AI692=1,IF(J692&gt;0,1,0),"")</f>
        <v>0</v>
      </c>
      <c r="AL692" s="5" t="str">
        <f>IF(AJ692=1,IF(OR(Q692&gt;0,R692&gt;0),1,0),"")</f>
        <v/>
      </c>
    </row>
    <row r="693" spans="1:38">
      <c r="A693">
        <v>261279</v>
      </c>
      <c r="B693" t="s">
        <v>351</v>
      </c>
      <c r="C693" t="s">
        <v>23</v>
      </c>
      <c r="D693" t="s">
        <v>24</v>
      </c>
      <c r="E693">
        <v>54</v>
      </c>
      <c r="F693">
        <v>3070196</v>
      </c>
      <c r="G693" t="s">
        <v>25</v>
      </c>
      <c r="H693">
        <v>1</v>
      </c>
      <c r="I693">
        <v>2</v>
      </c>
      <c r="J693">
        <v>0</v>
      </c>
      <c r="K693">
        <v>0</v>
      </c>
      <c r="L693">
        <v>0</v>
      </c>
      <c r="M693">
        <v>0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  <c r="S693" t="s">
        <v>26</v>
      </c>
      <c r="T693" t="s">
        <v>26</v>
      </c>
      <c r="U693" t="s">
        <v>26</v>
      </c>
      <c r="V693">
        <v>0</v>
      </c>
      <c r="W693">
        <f>E693/100</f>
        <v>0.54</v>
      </c>
      <c r="X693">
        <f>F693/1000000</f>
        <v>3.0701960000000001</v>
      </c>
      <c r="Y693">
        <f>IF(D693="C",1,0)</f>
        <v>0</v>
      </c>
      <c r="Z693">
        <f>IF(G693="C",1,0)</f>
        <v>0</v>
      </c>
      <c r="AA693">
        <f>IF(G693="S",1,0)</f>
        <v>1</v>
      </c>
      <c r="AB693">
        <f>IF(G693="U",1,0)</f>
        <v>0</v>
      </c>
      <c r="AC693" s="5">
        <f>IF(AND(ISNUMBER(H693),NOT(ISNUMBER(P693))),1,0)</f>
        <v>1</v>
      </c>
      <c r="AD693" s="5">
        <f>IF(AND(ISNUMBER(H693),ISNUMBER(P693)),1,0)</f>
        <v>0</v>
      </c>
      <c r="AE693" s="5">
        <f>W693</f>
        <v>0.54</v>
      </c>
      <c r="AF693" s="5">
        <f>X693</f>
        <v>3.0701960000000001</v>
      </c>
      <c r="AG693" s="5">
        <f>Y693</f>
        <v>0</v>
      </c>
      <c r="AH693" s="5">
        <f>IF(OR(G693="C",G693="S",G693="U"),1,0)</f>
        <v>1</v>
      </c>
      <c r="AI693" s="5">
        <f>IF(ISNUMBER(H693),1,0)</f>
        <v>1</v>
      </c>
      <c r="AJ693" s="5">
        <f>IF(ISNUMBER(P693),1,0)</f>
        <v>0</v>
      </c>
      <c r="AK693" s="5">
        <f>IF(AI693=1,IF(J693&gt;0,1,0),"")</f>
        <v>0</v>
      </c>
      <c r="AL693" s="5" t="str">
        <f>IF(AJ693=1,IF(OR(Q693&gt;0,R693&gt;0),1,0),"")</f>
        <v/>
      </c>
    </row>
    <row r="694" spans="1:38">
      <c r="A694">
        <v>266664</v>
      </c>
      <c r="B694" t="s">
        <v>360</v>
      </c>
      <c r="C694" t="s">
        <v>314</v>
      </c>
      <c r="D694" t="s">
        <v>24</v>
      </c>
      <c r="E694">
        <v>80</v>
      </c>
      <c r="F694">
        <v>5181647</v>
      </c>
      <c r="G694" t="s">
        <v>25</v>
      </c>
      <c r="H694">
        <v>1</v>
      </c>
      <c r="I694">
        <v>0</v>
      </c>
      <c r="J694">
        <v>0</v>
      </c>
      <c r="K694">
        <v>0</v>
      </c>
      <c r="L694" t="s">
        <v>26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  <c r="S694" t="s">
        <v>26</v>
      </c>
      <c r="T694" t="s">
        <v>26</v>
      </c>
      <c r="U694" t="s">
        <v>26</v>
      </c>
      <c r="V694">
        <v>0</v>
      </c>
      <c r="W694">
        <f>E694/100</f>
        <v>0.8</v>
      </c>
      <c r="X694">
        <f>F694/1000000</f>
        <v>5.1816469999999999</v>
      </c>
      <c r="Y694">
        <f>IF(D694="C",1,0)</f>
        <v>0</v>
      </c>
      <c r="Z694">
        <f>IF(G694="C",1,0)</f>
        <v>0</v>
      </c>
      <c r="AA694">
        <f>IF(G694="S",1,0)</f>
        <v>1</v>
      </c>
      <c r="AB694">
        <f>IF(G694="U",1,0)</f>
        <v>0</v>
      </c>
      <c r="AC694" s="5">
        <f>IF(AND(ISNUMBER(H694),NOT(ISNUMBER(P694))),1,0)</f>
        <v>1</v>
      </c>
      <c r="AD694" s="5">
        <f>IF(AND(ISNUMBER(H694),ISNUMBER(P694)),1,0)</f>
        <v>0</v>
      </c>
      <c r="AE694" s="5">
        <f>W694</f>
        <v>0.8</v>
      </c>
      <c r="AF694" s="5">
        <f>X694</f>
        <v>5.1816469999999999</v>
      </c>
      <c r="AG694" s="5">
        <f>Y694</f>
        <v>0</v>
      </c>
      <c r="AH694" s="5">
        <f>IF(OR(G694="C",G694="S",G694="U"),1,0)</f>
        <v>1</v>
      </c>
      <c r="AI694" s="5">
        <f>IF(ISNUMBER(H694),1,0)</f>
        <v>1</v>
      </c>
      <c r="AJ694" s="5">
        <f>IF(ISNUMBER(P694),1,0)</f>
        <v>0</v>
      </c>
      <c r="AK694" s="5">
        <f>IF(AI694=1,IF(J694&gt;0,1,0),"")</f>
        <v>0</v>
      </c>
      <c r="AL694" s="5" t="str">
        <f>IF(AJ694=1,IF(OR(Q694&gt;0,R694&gt;0),1,0),"")</f>
        <v/>
      </c>
    </row>
    <row r="695" spans="1:38">
      <c r="A695">
        <v>272737</v>
      </c>
      <c r="B695" t="s">
        <v>369</v>
      </c>
      <c r="C695" t="s">
        <v>370</v>
      </c>
      <c r="D695" t="s">
        <v>24</v>
      </c>
      <c r="E695">
        <v>5</v>
      </c>
      <c r="F695">
        <v>126320</v>
      </c>
      <c r="G695" t="s">
        <v>25</v>
      </c>
      <c r="H695">
        <v>1</v>
      </c>
      <c r="I695">
        <v>2</v>
      </c>
      <c r="J695">
        <v>1</v>
      </c>
      <c r="K695">
        <v>1</v>
      </c>
      <c r="L695">
        <v>0.5</v>
      </c>
      <c r="M695">
        <v>1</v>
      </c>
      <c r="N695">
        <v>0</v>
      </c>
      <c r="O695" t="s">
        <v>26</v>
      </c>
      <c r="P695" t="s">
        <v>26</v>
      </c>
      <c r="Q695" t="s">
        <v>26</v>
      </c>
      <c r="R695" t="s">
        <v>26</v>
      </c>
      <c r="S695" t="s">
        <v>26</v>
      </c>
      <c r="T695" t="s">
        <v>26</v>
      </c>
      <c r="U695" t="s">
        <v>26</v>
      </c>
      <c r="V695">
        <v>1</v>
      </c>
      <c r="W695">
        <f>E695/100</f>
        <v>0.05</v>
      </c>
      <c r="X695">
        <f>F695/1000000</f>
        <v>0.12631999999999999</v>
      </c>
      <c r="Y695">
        <f>IF(D695="C",1,0)</f>
        <v>0</v>
      </c>
      <c r="Z695">
        <f>IF(G695="C",1,0)</f>
        <v>0</v>
      </c>
      <c r="AA695">
        <f>IF(G695="S",1,0)</f>
        <v>1</v>
      </c>
      <c r="AB695">
        <f>IF(G695="U",1,0)</f>
        <v>0</v>
      </c>
      <c r="AC695" s="5">
        <f>IF(AND(ISNUMBER(H695),NOT(ISNUMBER(P695))),1,0)</f>
        <v>1</v>
      </c>
      <c r="AD695" s="5">
        <f>IF(AND(ISNUMBER(H695),ISNUMBER(P695)),1,0)</f>
        <v>0</v>
      </c>
      <c r="AE695" s="5">
        <f>W695</f>
        <v>0.05</v>
      </c>
      <c r="AF695" s="5">
        <f>X695</f>
        <v>0.12631999999999999</v>
      </c>
      <c r="AG695" s="5">
        <f>Y695</f>
        <v>0</v>
      </c>
      <c r="AH695" s="5">
        <f>IF(OR(G695="C",G695="S",G695="U"),1,0)</f>
        <v>1</v>
      </c>
      <c r="AI695" s="5">
        <f>IF(ISNUMBER(H695),1,0)</f>
        <v>1</v>
      </c>
      <c r="AJ695" s="5">
        <f>IF(ISNUMBER(P695),1,0)</f>
        <v>0</v>
      </c>
      <c r="AK695" s="5">
        <f>IF(AI695=1,IF(J695&gt;0,1,0),"")</f>
        <v>1</v>
      </c>
      <c r="AL695" s="5" t="str">
        <f>IF(AJ695=1,IF(OR(Q695&gt;0,R695&gt;0),1,0),"")</f>
        <v/>
      </c>
    </row>
    <row r="696" spans="1:38">
      <c r="A696">
        <v>274192</v>
      </c>
      <c r="B696" t="s">
        <v>372</v>
      </c>
      <c r="C696" t="s">
        <v>23</v>
      </c>
      <c r="D696" t="s">
        <v>24</v>
      </c>
      <c r="E696">
        <v>26</v>
      </c>
      <c r="F696">
        <v>471635</v>
      </c>
      <c r="G696" t="s">
        <v>25</v>
      </c>
      <c r="H696">
        <v>1</v>
      </c>
      <c r="I696">
        <v>2</v>
      </c>
      <c r="J696">
        <v>0</v>
      </c>
      <c r="K696">
        <v>0</v>
      </c>
      <c r="L696">
        <v>0</v>
      </c>
      <c r="M696">
        <v>0</v>
      </c>
      <c r="N696">
        <v>0</v>
      </c>
      <c r="O696" t="s">
        <v>26</v>
      </c>
      <c r="P696" t="s">
        <v>26</v>
      </c>
      <c r="Q696" t="s">
        <v>26</v>
      </c>
      <c r="R696" t="s">
        <v>26</v>
      </c>
      <c r="S696" t="s">
        <v>26</v>
      </c>
      <c r="T696" t="s">
        <v>26</v>
      </c>
      <c r="U696" t="s">
        <v>26</v>
      </c>
      <c r="V696">
        <v>0</v>
      </c>
      <c r="W696">
        <f>E696/100</f>
        <v>0.26</v>
      </c>
      <c r="X696">
        <f>F696/1000000</f>
        <v>0.47163500000000003</v>
      </c>
      <c r="Y696">
        <f>IF(D696="C",1,0)</f>
        <v>0</v>
      </c>
      <c r="Z696">
        <f>IF(G696="C",1,0)</f>
        <v>0</v>
      </c>
      <c r="AA696">
        <f>IF(G696="S",1,0)</f>
        <v>1</v>
      </c>
      <c r="AB696">
        <f>IF(G696="U",1,0)</f>
        <v>0</v>
      </c>
      <c r="AC696" s="5">
        <f>IF(AND(ISNUMBER(H696),NOT(ISNUMBER(P696))),1,0)</f>
        <v>1</v>
      </c>
      <c r="AD696" s="5">
        <f>IF(AND(ISNUMBER(H696),ISNUMBER(P696)),1,0)</f>
        <v>0</v>
      </c>
      <c r="AE696" s="5">
        <f>W696</f>
        <v>0.26</v>
      </c>
      <c r="AF696" s="5">
        <f>X696</f>
        <v>0.47163500000000003</v>
      </c>
      <c r="AG696" s="5">
        <f>Y696</f>
        <v>0</v>
      </c>
      <c r="AH696" s="5">
        <f>IF(OR(G696="C",G696="S",G696="U"),1,0)</f>
        <v>1</v>
      </c>
      <c r="AI696" s="5">
        <f>IF(ISNUMBER(H696),1,0)</f>
        <v>1</v>
      </c>
      <c r="AJ696" s="5">
        <f>IF(ISNUMBER(P696),1,0)</f>
        <v>0</v>
      </c>
      <c r="AK696" s="5">
        <f>IF(AI696=1,IF(J696&gt;0,1,0),"")</f>
        <v>0</v>
      </c>
      <c r="AL696" s="5" t="str">
        <f>IF(AJ696=1,IF(OR(Q696&gt;0,R696&gt;0),1,0),"")</f>
        <v/>
      </c>
    </row>
    <row r="697" spans="1:38">
      <c r="A697">
        <v>276155</v>
      </c>
      <c r="B697" t="s">
        <v>378</v>
      </c>
      <c r="C697" t="s">
        <v>23</v>
      </c>
      <c r="D697" t="s">
        <v>24</v>
      </c>
      <c r="E697">
        <v>54</v>
      </c>
      <c r="F697">
        <v>752528</v>
      </c>
      <c r="G697" t="s">
        <v>25</v>
      </c>
      <c r="H697">
        <v>2</v>
      </c>
      <c r="I697">
        <v>0</v>
      </c>
      <c r="J697">
        <v>0</v>
      </c>
      <c r="K697">
        <v>0</v>
      </c>
      <c r="L697" t="s">
        <v>26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  <c r="S697" t="s">
        <v>26</v>
      </c>
      <c r="T697" t="s">
        <v>26</v>
      </c>
      <c r="U697" t="s">
        <v>26</v>
      </c>
      <c r="V697">
        <v>0</v>
      </c>
      <c r="W697">
        <f>E697/100</f>
        <v>0.54</v>
      </c>
      <c r="X697">
        <f>F697/1000000</f>
        <v>0.75252799999999997</v>
      </c>
      <c r="Y697">
        <f>IF(D697="C",1,0)</f>
        <v>0</v>
      </c>
      <c r="Z697">
        <f>IF(G697="C",1,0)</f>
        <v>0</v>
      </c>
      <c r="AA697">
        <f>IF(G697="S",1,0)</f>
        <v>1</v>
      </c>
      <c r="AB697">
        <f>IF(G697="U",1,0)</f>
        <v>0</v>
      </c>
      <c r="AC697" s="5">
        <f>IF(AND(ISNUMBER(H697),NOT(ISNUMBER(P697))),1,0)</f>
        <v>1</v>
      </c>
      <c r="AD697" s="5">
        <f>IF(AND(ISNUMBER(H697),ISNUMBER(P697)),1,0)</f>
        <v>0</v>
      </c>
      <c r="AE697" s="5">
        <f>W697</f>
        <v>0.54</v>
      </c>
      <c r="AF697" s="5">
        <f>X697</f>
        <v>0.75252799999999997</v>
      </c>
      <c r="AG697" s="5">
        <f>Y697</f>
        <v>0</v>
      </c>
      <c r="AH697" s="5">
        <f>IF(OR(G697="C",G697="S",G697="U"),1,0)</f>
        <v>1</v>
      </c>
      <c r="AI697" s="5">
        <f>IF(ISNUMBER(H697),1,0)</f>
        <v>1</v>
      </c>
      <c r="AJ697" s="5">
        <f>IF(ISNUMBER(P697),1,0)</f>
        <v>0</v>
      </c>
      <c r="AK697" s="5">
        <f>IF(AI697=1,IF(J697&gt;0,1,0),"")</f>
        <v>0</v>
      </c>
      <c r="AL697" s="5" t="str">
        <f>IF(AJ697=1,IF(OR(Q697&gt;0,R697&gt;0),1,0),"")</f>
        <v/>
      </c>
    </row>
    <row r="698" spans="1:38">
      <c r="A698">
        <v>282772</v>
      </c>
      <c r="B698" t="s">
        <v>390</v>
      </c>
      <c r="C698" t="s">
        <v>23</v>
      </c>
      <c r="D698" t="s">
        <v>24</v>
      </c>
      <c r="E698">
        <v>19</v>
      </c>
      <c r="F698">
        <v>438774</v>
      </c>
      <c r="G698" t="s">
        <v>25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  <c r="S698" t="s">
        <v>26</v>
      </c>
      <c r="T698" t="s">
        <v>26</v>
      </c>
      <c r="U698" t="s">
        <v>26</v>
      </c>
      <c r="V698">
        <v>0</v>
      </c>
      <c r="W698">
        <f>E698/100</f>
        <v>0.19</v>
      </c>
      <c r="X698">
        <f>F698/1000000</f>
        <v>0.438774</v>
      </c>
      <c r="Y698">
        <f>IF(D698="C",1,0)</f>
        <v>0</v>
      </c>
      <c r="Z698">
        <f>IF(G698="C",1,0)</f>
        <v>0</v>
      </c>
      <c r="AA698">
        <f>IF(G698="S",1,0)</f>
        <v>1</v>
      </c>
      <c r="AB698">
        <f>IF(G698="U",1,0)</f>
        <v>0</v>
      </c>
      <c r="AC698" s="5">
        <f>IF(AND(ISNUMBER(H698),NOT(ISNUMBER(P698))),1,0)</f>
        <v>1</v>
      </c>
      <c r="AD698" s="5">
        <f>IF(AND(ISNUMBER(H698),ISNUMBER(P698)),1,0)</f>
        <v>0</v>
      </c>
      <c r="AE698" s="5">
        <f>W698</f>
        <v>0.19</v>
      </c>
      <c r="AF698" s="5">
        <f>X698</f>
        <v>0.438774</v>
      </c>
      <c r="AG698" s="5">
        <f>Y698</f>
        <v>0</v>
      </c>
      <c r="AH698" s="5">
        <f>IF(OR(G698="C",G698="S",G698="U"),1,0)</f>
        <v>1</v>
      </c>
      <c r="AI698" s="5">
        <f>IF(ISNUMBER(H698),1,0)</f>
        <v>1</v>
      </c>
      <c r="AJ698" s="5">
        <f>IF(ISNUMBER(P698),1,0)</f>
        <v>0</v>
      </c>
      <c r="AK698" s="5">
        <f>IF(AI698=1,IF(J698&gt;0,1,0),"")</f>
        <v>0</v>
      </c>
      <c r="AL698" s="5" t="str">
        <f>IF(AJ698=1,IF(OR(Q698&gt;0,R698&gt;0),1,0),"")</f>
        <v/>
      </c>
    </row>
    <row r="699" spans="1:38">
      <c r="A699">
        <v>283828</v>
      </c>
      <c r="B699" t="s">
        <v>391</v>
      </c>
      <c r="C699" t="s">
        <v>23</v>
      </c>
      <c r="D699" t="s">
        <v>24</v>
      </c>
      <c r="E699">
        <v>23</v>
      </c>
      <c r="F699">
        <v>264000</v>
      </c>
      <c r="G699" t="s">
        <v>25</v>
      </c>
      <c r="H699">
        <v>1</v>
      </c>
      <c r="I699">
        <v>0</v>
      </c>
      <c r="J699">
        <v>0</v>
      </c>
      <c r="K699">
        <v>0</v>
      </c>
      <c r="L699" t="s">
        <v>26</v>
      </c>
      <c r="M699" t="s">
        <v>26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  <c r="S699" t="s">
        <v>26</v>
      </c>
      <c r="T699" t="s">
        <v>26</v>
      </c>
      <c r="U699" t="s">
        <v>26</v>
      </c>
      <c r="V699">
        <v>0</v>
      </c>
      <c r="W699">
        <f>E699/100</f>
        <v>0.23</v>
      </c>
      <c r="X699">
        <f>F699/1000000</f>
        <v>0.26400000000000001</v>
      </c>
      <c r="Y699">
        <f>IF(D699="C",1,0)</f>
        <v>0</v>
      </c>
      <c r="Z699">
        <f>IF(G699="C",1,0)</f>
        <v>0</v>
      </c>
      <c r="AA699">
        <f>IF(G699="S",1,0)</f>
        <v>1</v>
      </c>
      <c r="AB699">
        <f>IF(G699="U",1,0)</f>
        <v>0</v>
      </c>
      <c r="AC699" s="5">
        <f>IF(AND(ISNUMBER(H699),NOT(ISNUMBER(P699))),1,0)</f>
        <v>1</v>
      </c>
      <c r="AD699" s="5">
        <f>IF(AND(ISNUMBER(H699),ISNUMBER(P699)),1,0)</f>
        <v>0</v>
      </c>
      <c r="AE699" s="5">
        <f>W699</f>
        <v>0.23</v>
      </c>
      <c r="AF699" s="5">
        <f>X699</f>
        <v>0.26400000000000001</v>
      </c>
      <c r="AG699" s="5">
        <f>Y699</f>
        <v>0</v>
      </c>
      <c r="AH699" s="5">
        <f>IF(OR(G699="C",G699="S",G699="U"),1,0)</f>
        <v>1</v>
      </c>
      <c r="AI699" s="5">
        <f>IF(ISNUMBER(H699),1,0)</f>
        <v>1</v>
      </c>
      <c r="AJ699" s="5">
        <f>IF(ISNUMBER(P699),1,0)</f>
        <v>0</v>
      </c>
      <c r="AK699" s="5">
        <f>IF(AI699=1,IF(J699&gt;0,1,0),"")</f>
        <v>0</v>
      </c>
      <c r="AL699" s="5" t="str">
        <f>IF(AJ699=1,IF(OR(Q699&gt;0,R699&gt;0),1,0),"")</f>
        <v/>
      </c>
    </row>
    <row r="700" spans="1:38">
      <c r="A700">
        <v>283834</v>
      </c>
      <c r="B700" t="s">
        <v>392</v>
      </c>
      <c r="C700" t="s">
        <v>23</v>
      </c>
      <c r="D700" t="s">
        <v>24</v>
      </c>
      <c r="E700">
        <v>42</v>
      </c>
      <c r="F700">
        <v>110000</v>
      </c>
      <c r="G700" t="s">
        <v>25</v>
      </c>
      <c r="H700">
        <v>1</v>
      </c>
      <c r="I700">
        <v>0</v>
      </c>
      <c r="J700">
        <v>0</v>
      </c>
      <c r="K700">
        <v>0</v>
      </c>
      <c r="L700" t="s">
        <v>26</v>
      </c>
      <c r="M700" t="s">
        <v>26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  <c r="S700" t="s">
        <v>26</v>
      </c>
      <c r="T700" t="s">
        <v>26</v>
      </c>
      <c r="U700" t="s">
        <v>26</v>
      </c>
      <c r="V700">
        <v>0</v>
      </c>
      <c r="W700">
        <f>E700/100</f>
        <v>0.42</v>
      </c>
      <c r="X700">
        <f>F700/1000000</f>
        <v>0.11</v>
      </c>
      <c r="Y700">
        <f>IF(D700="C",1,0)</f>
        <v>0</v>
      </c>
      <c r="Z700">
        <f>IF(G700="C",1,0)</f>
        <v>0</v>
      </c>
      <c r="AA700">
        <f>IF(G700="S",1,0)</f>
        <v>1</v>
      </c>
      <c r="AB700">
        <f>IF(G700="U",1,0)</f>
        <v>0</v>
      </c>
      <c r="AC700" s="5">
        <f>IF(AND(ISNUMBER(H700),NOT(ISNUMBER(P700))),1,0)</f>
        <v>1</v>
      </c>
      <c r="AD700" s="5">
        <f>IF(AND(ISNUMBER(H700),ISNUMBER(P700)),1,0)</f>
        <v>0</v>
      </c>
      <c r="AE700" s="5">
        <f>W700</f>
        <v>0.42</v>
      </c>
      <c r="AF700" s="5">
        <f>X700</f>
        <v>0.11</v>
      </c>
      <c r="AG700" s="5">
        <f>Y700</f>
        <v>0</v>
      </c>
      <c r="AH700" s="5">
        <f>IF(OR(G700="C",G700="S",G700="U"),1,0)</f>
        <v>1</v>
      </c>
      <c r="AI700" s="5">
        <f>IF(ISNUMBER(H700),1,0)</f>
        <v>1</v>
      </c>
      <c r="AJ700" s="5">
        <f>IF(ISNUMBER(P700),1,0)</f>
        <v>0</v>
      </c>
      <c r="AK700" s="5">
        <f>IF(AI700=1,IF(J700&gt;0,1,0),"")</f>
        <v>0</v>
      </c>
      <c r="AL700" s="5" t="str">
        <f>IF(AJ700=1,IF(OR(Q700&gt;0,R700&gt;0),1,0),"")</f>
        <v/>
      </c>
    </row>
    <row r="701" spans="1:38">
      <c r="A701">
        <v>285335</v>
      </c>
      <c r="B701" t="s">
        <v>394</v>
      </c>
      <c r="C701" t="s">
        <v>261</v>
      </c>
      <c r="D701" t="s">
        <v>24</v>
      </c>
      <c r="E701">
        <v>91</v>
      </c>
      <c r="F701">
        <v>6800000</v>
      </c>
      <c r="G701" t="s">
        <v>25</v>
      </c>
      <c r="H701">
        <v>1</v>
      </c>
      <c r="I701">
        <v>0</v>
      </c>
      <c r="J701">
        <v>0</v>
      </c>
      <c r="K701">
        <v>0</v>
      </c>
      <c r="L701" t="s">
        <v>26</v>
      </c>
      <c r="M701" t="s">
        <v>26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  <c r="S701" t="s">
        <v>26</v>
      </c>
      <c r="T701" t="s">
        <v>26</v>
      </c>
      <c r="U701" t="s">
        <v>26</v>
      </c>
      <c r="V701">
        <v>0</v>
      </c>
      <c r="W701">
        <f>E701/100</f>
        <v>0.91</v>
      </c>
      <c r="X701">
        <f>F701/1000000</f>
        <v>6.8</v>
      </c>
      <c r="Y701">
        <f>IF(D701="C",1,0)</f>
        <v>0</v>
      </c>
      <c r="Z701">
        <f>IF(G701="C",1,0)</f>
        <v>0</v>
      </c>
      <c r="AA701">
        <f>IF(G701="S",1,0)</f>
        <v>1</v>
      </c>
      <c r="AB701">
        <f>IF(G701="U",1,0)</f>
        <v>0</v>
      </c>
      <c r="AC701" s="5">
        <f>IF(AND(ISNUMBER(H701),NOT(ISNUMBER(P701))),1,0)</f>
        <v>1</v>
      </c>
      <c r="AD701" s="5">
        <f>IF(AND(ISNUMBER(H701),ISNUMBER(P701)),1,0)</f>
        <v>0</v>
      </c>
      <c r="AE701" s="5">
        <f>W701</f>
        <v>0.91</v>
      </c>
      <c r="AF701" s="5">
        <f>X701</f>
        <v>6.8</v>
      </c>
      <c r="AG701" s="5">
        <f>Y701</f>
        <v>0</v>
      </c>
      <c r="AH701" s="5">
        <f>IF(OR(G701="C",G701="S",G701="U"),1,0)</f>
        <v>1</v>
      </c>
      <c r="AI701" s="5">
        <f>IF(ISNUMBER(H701),1,0)</f>
        <v>1</v>
      </c>
      <c r="AJ701" s="5">
        <f>IF(ISNUMBER(P701),1,0)</f>
        <v>0</v>
      </c>
      <c r="AK701" s="5">
        <f>IF(AI701=1,IF(J701&gt;0,1,0),"")</f>
        <v>0</v>
      </c>
      <c r="AL701" s="5" t="str">
        <f>IF(AJ701=1,IF(OR(Q701&gt;0,R701&gt;0),1,0),"")</f>
        <v/>
      </c>
    </row>
    <row r="702" spans="1:38">
      <c r="A702">
        <v>297672</v>
      </c>
      <c r="B702" t="s">
        <v>412</v>
      </c>
      <c r="C702" t="s">
        <v>82</v>
      </c>
      <c r="D702" t="s">
        <v>24</v>
      </c>
      <c r="E702">
        <v>91</v>
      </c>
      <c r="F702">
        <v>5609141</v>
      </c>
      <c r="G702" t="s">
        <v>25</v>
      </c>
      <c r="H702">
        <v>1</v>
      </c>
      <c r="I702">
        <v>5</v>
      </c>
      <c r="J702">
        <v>0</v>
      </c>
      <c r="K702">
        <v>0</v>
      </c>
      <c r="L702">
        <v>0</v>
      </c>
      <c r="M702" t="s">
        <v>26</v>
      </c>
      <c r="N702">
        <v>0</v>
      </c>
      <c r="O702" t="s">
        <v>26</v>
      </c>
      <c r="P702" t="s">
        <v>26</v>
      </c>
      <c r="Q702" t="s">
        <v>26</v>
      </c>
      <c r="R702" t="s">
        <v>26</v>
      </c>
      <c r="S702" t="s">
        <v>26</v>
      </c>
      <c r="T702" t="s">
        <v>26</v>
      </c>
      <c r="U702" t="s">
        <v>26</v>
      </c>
      <c r="V702">
        <v>0</v>
      </c>
      <c r="W702">
        <f>E702/100</f>
        <v>0.91</v>
      </c>
      <c r="X702">
        <f>F702/1000000</f>
        <v>5.6091410000000002</v>
      </c>
      <c r="Y702">
        <f>IF(D702="C",1,0)</f>
        <v>0</v>
      </c>
      <c r="Z702">
        <f>IF(G702="C",1,0)</f>
        <v>0</v>
      </c>
      <c r="AA702">
        <f>IF(G702="S",1,0)</f>
        <v>1</v>
      </c>
      <c r="AB702">
        <f>IF(G702="U",1,0)</f>
        <v>0</v>
      </c>
      <c r="AC702" s="5">
        <f>IF(AND(ISNUMBER(H702),NOT(ISNUMBER(P702))),1,0)</f>
        <v>1</v>
      </c>
      <c r="AD702" s="5">
        <f>IF(AND(ISNUMBER(H702),ISNUMBER(P702)),1,0)</f>
        <v>0</v>
      </c>
      <c r="AE702" s="5">
        <f>W702</f>
        <v>0.91</v>
      </c>
      <c r="AF702" s="5">
        <f>X702</f>
        <v>5.6091410000000002</v>
      </c>
      <c r="AG702" s="5">
        <f>Y702</f>
        <v>0</v>
      </c>
      <c r="AH702" s="5">
        <f>IF(OR(G702="C",G702="S",G702="U"),1,0)</f>
        <v>1</v>
      </c>
      <c r="AI702" s="5">
        <f>IF(ISNUMBER(H702),1,0)</f>
        <v>1</v>
      </c>
      <c r="AJ702" s="5">
        <f>IF(ISNUMBER(P702),1,0)</f>
        <v>0</v>
      </c>
      <c r="AK702" s="5">
        <f>IF(AI702=1,IF(J702&gt;0,1,0),"")</f>
        <v>0</v>
      </c>
      <c r="AL702" s="5" t="str">
        <f>IF(AJ702=1,IF(OR(Q702&gt;0,R702&gt;0),1,0),"")</f>
        <v/>
      </c>
    </row>
    <row r="703" spans="1:38">
      <c r="A703">
        <v>297774</v>
      </c>
      <c r="B703" t="s">
        <v>413</v>
      </c>
      <c r="C703" t="s">
        <v>37</v>
      </c>
      <c r="D703" t="s">
        <v>24</v>
      </c>
      <c r="E703">
        <v>4</v>
      </c>
      <c r="F703">
        <v>126642</v>
      </c>
      <c r="G703" t="s">
        <v>25</v>
      </c>
      <c r="H703">
        <v>1</v>
      </c>
      <c r="I703">
        <v>0</v>
      </c>
      <c r="J703">
        <v>0</v>
      </c>
      <c r="K703">
        <v>0</v>
      </c>
      <c r="L703" t="s">
        <v>26</v>
      </c>
      <c r="M703" t="s">
        <v>26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  <c r="S703" t="s">
        <v>26</v>
      </c>
      <c r="T703" t="s">
        <v>26</v>
      </c>
      <c r="U703" t="s">
        <v>26</v>
      </c>
      <c r="V703">
        <v>0</v>
      </c>
      <c r="W703">
        <f>E703/100</f>
        <v>0.04</v>
      </c>
      <c r="X703">
        <f>F703/1000000</f>
        <v>0.126642</v>
      </c>
      <c r="Y703">
        <f>IF(D703="C",1,0)</f>
        <v>0</v>
      </c>
      <c r="Z703">
        <f>IF(G703="C",1,0)</f>
        <v>0</v>
      </c>
      <c r="AA703">
        <f>IF(G703="S",1,0)</f>
        <v>1</v>
      </c>
      <c r="AB703">
        <f>IF(G703="U",1,0)</f>
        <v>0</v>
      </c>
      <c r="AC703" s="5">
        <f>IF(AND(ISNUMBER(H703),NOT(ISNUMBER(P703))),1,0)</f>
        <v>1</v>
      </c>
      <c r="AD703" s="5">
        <f>IF(AND(ISNUMBER(H703),ISNUMBER(P703)),1,0)</f>
        <v>0</v>
      </c>
      <c r="AE703" s="5">
        <f>W703</f>
        <v>0.04</v>
      </c>
      <c r="AF703" s="5">
        <f>X703</f>
        <v>0.126642</v>
      </c>
      <c r="AG703" s="5">
        <f>Y703</f>
        <v>0</v>
      </c>
      <c r="AH703" s="5">
        <f>IF(OR(G703="C",G703="S",G703="U"),1,0)</f>
        <v>1</v>
      </c>
      <c r="AI703" s="5">
        <f>IF(ISNUMBER(H703),1,0)</f>
        <v>1</v>
      </c>
      <c r="AJ703" s="5">
        <f>IF(ISNUMBER(P703),1,0)</f>
        <v>0</v>
      </c>
      <c r="AK703" s="5">
        <f>IF(AI703=1,IF(J703&gt;0,1,0),"")</f>
        <v>0</v>
      </c>
      <c r="AL703" s="5" t="str">
        <f>IF(AJ703=1,IF(OR(Q703&gt;0,R703&gt;0),1,0),"")</f>
        <v/>
      </c>
    </row>
    <row r="704" spans="1:38">
      <c r="A704">
        <v>335426</v>
      </c>
      <c r="B704" t="s">
        <v>452</v>
      </c>
      <c r="C704" t="s">
        <v>23</v>
      </c>
      <c r="D704" t="s">
        <v>24</v>
      </c>
      <c r="E704">
        <v>5</v>
      </c>
      <c r="F704">
        <v>50000</v>
      </c>
      <c r="H704">
        <v>1</v>
      </c>
      <c r="I704">
        <v>2</v>
      </c>
      <c r="J704">
        <v>1</v>
      </c>
      <c r="K704">
        <v>1</v>
      </c>
      <c r="L704">
        <v>0.5</v>
      </c>
      <c r="M704">
        <v>1</v>
      </c>
      <c r="N704">
        <v>0</v>
      </c>
      <c r="O704" t="s">
        <v>26</v>
      </c>
      <c r="P704" t="s">
        <v>26</v>
      </c>
      <c r="Q704" t="s">
        <v>26</v>
      </c>
      <c r="R704" t="s">
        <v>26</v>
      </c>
      <c r="S704" t="s">
        <v>26</v>
      </c>
      <c r="T704" t="s">
        <v>26</v>
      </c>
      <c r="U704" t="s">
        <v>26</v>
      </c>
      <c r="V704">
        <v>1</v>
      </c>
      <c r="W704">
        <f>E704/100</f>
        <v>0.05</v>
      </c>
      <c r="X704">
        <f>F704/1000000</f>
        <v>0.05</v>
      </c>
      <c r="Y704">
        <f>IF(D704="C",1,0)</f>
        <v>0</v>
      </c>
      <c r="Z704">
        <f>IF(G704="C",1,0)</f>
        <v>0</v>
      </c>
      <c r="AA704">
        <f>IF(G704="S",1,0)</f>
        <v>0</v>
      </c>
      <c r="AB704">
        <f>IF(G704="U",1,0)</f>
        <v>0</v>
      </c>
      <c r="AC704" s="5">
        <f>IF(AND(ISNUMBER(H704),NOT(ISNUMBER(P704))),1,0)</f>
        <v>1</v>
      </c>
      <c r="AD704" s="5">
        <f>IF(AND(ISNUMBER(H704),ISNUMBER(P704)),1,0)</f>
        <v>0</v>
      </c>
      <c r="AE704" s="5">
        <f>W704</f>
        <v>0.05</v>
      </c>
      <c r="AF704" s="5">
        <f>X704</f>
        <v>0.05</v>
      </c>
      <c r="AG704" s="5">
        <f>Y704</f>
        <v>0</v>
      </c>
      <c r="AH704" s="5">
        <f>IF(OR(G704="C",G704="S",G704="U"),1,0)</f>
        <v>0</v>
      </c>
      <c r="AI704" s="5">
        <f>IF(ISNUMBER(H704),1,0)</f>
        <v>1</v>
      </c>
      <c r="AJ704" s="5">
        <f>IF(ISNUMBER(P704),1,0)</f>
        <v>0</v>
      </c>
      <c r="AK704" s="5">
        <f>IF(AI704=1,IF(J704&gt;0,1,0),"")</f>
        <v>1</v>
      </c>
      <c r="AL704" s="5" t="str">
        <f>IF(AJ704=1,IF(OR(Q704&gt;0,R704&gt;0),1,0),"")</f>
        <v/>
      </c>
    </row>
    <row r="705" spans="1:38">
      <c r="A705">
        <v>354424</v>
      </c>
      <c r="B705" t="s">
        <v>481</v>
      </c>
      <c r="C705" t="s">
        <v>23</v>
      </c>
      <c r="D705" t="s">
        <v>24</v>
      </c>
      <c r="E705">
        <v>10</v>
      </c>
      <c r="F705">
        <v>195529</v>
      </c>
      <c r="G705" t="s">
        <v>25</v>
      </c>
      <c r="H705">
        <v>1</v>
      </c>
      <c r="I705">
        <v>2</v>
      </c>
      <c r="J705">
        <v>0</v>
      </c>
      <c r="K705">
        <v>0</v>
      </c>
      <c r="L705">
        <v>0</v>
      </c>
      <c r="M705">
        <v>0</v>
      </c>
      <c r="N705">
        <v>0</v>
      </c>
      <c r="O705" t="s">
        <v>26</v>
      </c>
      <c r="P705" t="s">
        <v>26</v>
      </c>
      <c r="Q705" t="s">
        <v>26</v>
      </c>
      <c r="R705" t="s">
        <v>26</v>
      </c>
      <c r="S705" t="s">
        <v>26</v>
      </c>
      <c r="T705" t="s">
        <v>26</v>
      </c>
      <c r="U705" t="s">
        <v>26</v>
      </c>
      <c r="V705">
        <v>0</v>
      </c>
      <c r="W705">
        <f>E705/100</f>
        <v>0.1</v>
      </c>
      <c r="X705">
        <f>F705/1000000</f>
        <v>0.19552900000000001</v>
      </c>
      <c r="Y705">
        <f>IF(D705="C",1,0)</f>
        <v>0</v>
      </c>
      <c r="Z705">
        <f>IF(G705="C",1,0)</f>
        <v>0</v>
      </c>
      <c r="AA705">
        <f>IF(G705="S",1,0)</f>
        <v>1</v>
      </c>
      <c r="AB705">
        <f>IF(G705="U",1,0)</f>
        <v>0</v>
      </c>
      <c r="AC705" s="5">
        <f>IF(AND(ISNUMBER(H705),NOT(ISNUMBER(P705))),1,0)</f>
        <v>1</v>
      </c>
      <c r="AD705" s="5">
        <f>IF(AND(ISNUMBER(H705),ISNUMBER(P705)),1,0)</f>
        <v>0</v>
      </c>
      <c r="AE705" s="5">
        <f>W705</f>
        <v>0.1</v>
      </c>
      <c r="AF705" s="5">
        <f>X705</f>
        <v>0.19552900000000001</v>
      </c>
      <c r="AG705" s="5">
        <f>Y705</f>
        <v>0</v>
      </c>
      <c r="AH705" s="5">
        <f>IF(OR(G705="C",G705="S",G705="U"),1,0)</f>
        <v>1</v>
      </c>
      <c r="AI705" s="5">
        <f>IF(ISNUMBER(H705),1,0)</f>
        <v>1</v>
      </c>
      <c r="AJ705" s="5">
        <f>IF(ISNUMBER(P705),1,0)</f>
        <v>0</v>
      </c>
      <c r="AK705" s="5">
        <f>IF(AI705=1,IF(J705&gt;0,1,0),"")</f>
        <v>0</v>
      </c>
      <c r="AL705" s="5" t="str">
        <f>IF(AJ705=1,IF(OR(Q705&gt;0,R705&gt;0),1,0),"")</f>
        <v/>
      </c>
    </row>
    <row r="706" spans="1:38">
      <c r="A706">
        <v>356749</v>
      </c>
      <c r="B706" t="s">
        <v>482</v>
      </c>
      <c r="C706" t="s">
        <v>23</v>
      </c>
      <c r="D706" t="s">
        <v>33</v>
      </c>
      <c r="E706">
        <v>32</v>
      </c>
      <c r="F706">
        <v>255935</v>
      </c>
      <c r="H706">
        <v>1</v>
      </c>
      <c r="I706">
        <v>1</v>
      </c>
      <c r="J706">
        <v>0</v>
      </c>
      <c r="K706">
        <v>0</v>
      </c>
      <c r="L706">
        <v>0</v>
      </c>
      <c r="M706" t="s">
        <v>26</v>
      </c>
      <c r="N706">
        <v>0</v>
      </c>
      <c r="O706" t="s">
        <v>26</v>
      </c>
      <c r="P706" t="s">
        <v>26</v>
      </c>
      <c r="Q706" t="s">
        <v>26</v>
      </c>
      <c r="R706" t="s">
        <v>26</v>
      </c>
      <c r="S706" t="s">
        <v>26</v>
      </c>
      <c r="T706" t="s">
        <v>26</v>
      </c>
      <c r="U706" t="s">
        <v>26</v>
      </c>
      <c r="V706">
        <v>0</v>
      </c>
      <c r="W706">
        <f>E706/100</f>
        <v>0.32</v>
      </c>
      <c r="X706">
        <f>F706/1000000</f>
        <v>0.25593500000000002</v>
      </c>
      <c r="Y706">
        <f>IF(D706="C",1,0)</f>
        <v>1</v>
      </c>
      <c r="Z706">
        <f>IF(G706="C",1,0)</f>
        <v>0</v>
      </c>
      <c r="AA706">
        <f>IF(G706="S",1,0)</f>
        <v>0</v>
      </c>
      <c r="AB706">
        <f>IF(G706="U",1,0)</f>
        <v>0</v>
      </c>
      <c r="AC706" s="5">
        <f>IF(AND(ISNUMBER(H706),NOT(ISNUMBER(P706))),1,0)</f>
        <v>1</v>
      </c>
      <c r="AD706" s="5">
        <f>IF(AND(ISNUMBER(H706),ISNUMBER(P706)),1,0)</f>
        <v>0</v>
      </c>
      <c r="AE706" s="5">
        <f>W706</f>
        <v>0.32</v>
      </c>
      <c r="AF706" s="5">
        <f>X706</f>
        <v>0.25593500000000002</v>
      </c>
      <c r="AG706" s="5">
        <f>Y706</f>
        <v>1</v>
      </c>
      <c r="AH706" s="5">
        <f>IF(OR(G706="C",G706="S",G706="U"),1,0)</f>
        <v>0</v>
      </c>
      <c r="AI706" s="5">
        <f>IF(ISNUMBER(H706),1,0)</f>
        <v>1</v>
      </c>
      <c r="AJ706" s="5">
        <f>IF(ISNUMBER(P706),1,0)</f>
        <v>0</v>
      </c>
      <c r="AK706" s="5">
        <f>IF(AI706=1,IF(J706&gt;0,1,0),"")</f>
        <v>0</v>
      </c>
      <c r="AL706" s="5" t="str">
        <f>IF(AJ706=1,IF(OR(Q706&gt;0,R706&gt;0),1,0),"")</f>
        <v/>
      </c>
    </row>
    <row r="707" spans="1:38">
      <c r="A707">
        <v>356756</v>
      </c>
      <c r="B707" t="s">
        <v>483</v>
      </c>
      <c r="C707" t="s">
        <v>23</v>
      </c>
      <c r="D707" t="s">
        <v>24</v>
      </c>
      <c r="E707">
        <v>10</v>
      </c>
      <c r="F707">
        <v>190000</v>
      </c>
      <c r="G707" t="s">
        <v>25</v>
      </c>
      <c r="H707">
        <v>1</v>
      </c>
      <c r="I707">
        <v>1</v>
      </c>
      <c r="J707">
        <v>0</v>
      </c>
      <c r="K707">
        <v>0</v>
      </c>
      <c r="L707">
        <v>0</v>
      </c>
      <c r="M707" t="s">
        <v>26</v>
      </c>
      <c r="N707">
        <v>0</v>
      </c>
      <c r="O707" t="s">
        <v>26</v>
      </c>
      <c r="P707" t="s">
        <v>26</v>
      </c>
      <c r="Q707" t="s">
        <v>26</v>
      </c>
      <c r="R707" t="s">
        <v>26</v>
      </c>
      <c r="S707" t="s">
        <v>26</v>
      </c>
      <c r="T707" t="s">
        <v>26</v>
      </c>
      <c r="U707" t="s">
        <v>26</v>
      </c>
      <c r="V707">
        <v>0</v>
      </c>
      <c r="W707">
        <f>E707/100</f>
        <v>0.1</v>
      </c>
      <c r="X707">
        <f>F707/1000000</f>
        <v>0.19</v>
      </c>
      <c r="Y707">
        <f>IF(D707="C",1,0)</f>
        <v>0</v>
      </c>
      <c r="Z707">
        <f>IF(G707="C",1,0)</f>
        <v>0</v>
      </c>
      <c r="AA707">
        <f>IF(G707="S",1,0)</f>
        <v>1</v>
      </c>
      <c r="AB707">
        <f>IF(G707="U",1,0)</f>
        <v>0</v>
      </c>
      <c r="AC707" s="5">
        <f>IF(AND(ISNUMBER(H707),NOT(ISNUMBER(P707))),1,0)</f>
        <v>1</v>
      </c>
      <c r="AD707" s="5">
        <f>IF(AND(ISNUMBER(H707),ISNUMBER(P707)),1,0)</f>
        <v>0</v>
      </c>
      <c r="AE707" s="5">
        <f>W707</f>
        <v>0.1</v>
      </c>
      <c r="AF707" s="5">
        <f>X707</f>
        <v>0.19</v>
      </c>
      <c r="AG707" s="5">
        <f>Y707</f>
        <v>0</v>
      </c>
      <c r="AH707" s="5">
        <f>IF(OR(G707="C",G707="S",G707="U"),1,0)</f>
        <v>1</v>
      </c>
      <c r="AI707" s="5">
        <f>IF(ISNUMBER(H707),1,0)</f>
        <v>1</v>
      </c>
      <c r="AJ707" s="5">
        <f>IF(ISNUMBER(P707),1,0)</f>
        <v>0</v>
      </c>
      <c r="AK707" s="5">
        <f>IF(AI707=1,IF(J707&gt;0,1,0),"")</f>
        <v>0</v>
      </c>
      <c r="AL707" s="5" t="str">
        <f>IF(AJ707=1,IF(OR(Q707&gt;0,R707&gt;0),1,0),"")</f>
        <v/>
      </c>
    </row>
    <row r="708" spans="1:38">
      <c r="A708">
        <v>368789</v>
      </c>
      <c r="B708" t="s">
        <v>495</v>
      </c>
      <c r="C708" t="s">
        <v>496</v>
      </c>
      <c r="D708" t="s">
        <v>24</v>
      </c>
      <c r="E708">
        <v>4</v>
      </c>
      <c r="F708">
        <v>1590000</v>
      </c>
      <c r="G708" t="s">
        <v>25</v>
      </c>
      <c r="H708">
        <v>1</v>
      </c>
      <c r="I708">
        <v>0</v>
      </c>
      <c r="J708">
        <v>0</v>
      </c>
      <c r="K708">
        <v>0</v>
      </c>
      <c r="L708" t="s">
        <v>26</v>
      </c>
      <c r="M708" t="s">
        <v>26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  <c r="S708" t="s">
        <v>26</v>
      </c>
      <c r="T708" t="s">
        <v>26</v>
      </c>
      <c r="U708" t="s">
        <v>26</v>
      </c>
      <c r="V708">
        <v>0</v>
      </c>
      <c r="W708">
        <f>E708/100</f>
        <v>0.04</v>
      </c>
      <c r="X708">
        <f>F708/1000000</f>
        <v>1.59</v>
      </c>
      <c r="Y708">
        <f>IF(D708="C",1,0)</f>
        <v>0</v>
      </c>
      <c r="Z708">
        <f>IF(G708="C",1,0)</f>
        <v>0</v>
      </c>
      <c r="AA708">
        <f>IF(G708="S",1,0)</f>
        <v>1</v>
      </c>
      <c r="AB708">
        <f>IF(G708="U",1,0)</f>
        <v>0</v>
      </c>
      <c r="AC708" s="5">
        <f>IF(AND(ISNUMBER(H708),NOT(ISNUMBER(P708))),1,0)</f>
        <v>1</v>
      </c>
      <c r="AD708" s="5">
        <f>IF(AND(ISNUMBER(H708),ISNUMBER(P708)),1,0)</f>
        <v>0</v>
      </c>
      <c r="AE708" s="5">
        <f>W708</f>
        <v>0.04</v>
      </c>
      <c r="AF708" s="5">
        <f>X708</f>
        <v>1.59</v>
      </c>
      <c r="AG708" s="5">
        <f>Y708</f>
        <v>0</v>
      </c>
      <c r="AH708" s="5">
        <f>IF(OR(G708="C",G708="S",G708="U"),1,0)</f>
        <v>1</v>
      </c>
      <c r="AI708" s="5">
        <f>IF(ISNUMBER(H708),1,0)</f>
        <v>1</v>
      </c>
      <c r="AJ708" s="5">
        <f>IF(ISNUMBER(P708),1,0)</f>
        <v>0</v>
      </c>
      <c r="AK708" s="5">
        <f>IF(AI708=1,IF(J708&gt;0,1,0),"")</f>
        <v>0</v>
      </c>
      <c r="AL708" s="5" t="str">
        <f>IF(AJ708=1,IF(OR(Q708&gt;0,R708&gt;0),1,0),"")</f>
        <v/>
      </c>
    </row>
    <row r="709" spans="1:38">
      <c r="A709">
        <v>368799</v>
      </c>
      <c r="B709" t="s">
        <v>497</v>
      </c>
      <c r="C709" t="s">
        <v>23</v>
      </c>
      <c r="D709" t="s">
        <v>24</v>
      </c>
      <c r="E709">
        <v>16</v>
      </c>
      <c r="F709">
        <v>270000</v>
      </c>
      <c r="H709">
        <v>1</v>
      </c>
      <c r="I709">
        <v>2</v>
      </c>
      <c r="J709">
        <v>0</v>
      </c>
      <c r="K709">
        <v>0</v>
      </c>
      <c r="L709">
        <v>0</v>
      </c>
      <c r="M709">
        <v>0</v>
      </c>
      <c r="N709">
        <v>0</v>
      </c>
      <c r="O709" t="s">
        <v>26</v>
      </c>
      <c r="P709" t="s">
        <v>26</v>
      </c>
      <c r="Q709" t="s">
        <v>26</v>
      </c>
      <c r="R709" t="s">
        <v>26</v>
      </c>
      <c r="S709" t="s">
        <v>26</v>
      </c>
      <c r="T709" t="s">
        <v>26</v>
      </c>
      <c r="U709" t="s">
        <v>26</v>
      </c>
      <c r="V709">
        <v>0</v>
      </c>
      <c r="W709">
        <f>E709/100</f>
        <v>0.16</v>
      </c>
      <c r="X709">
        <f>F709/1000000</f>
        <v>0.27</v>
      </c>
      <c r="Y709">
        <f>IF(D709="C",1,0)</f>
        <v>0</v>
      </c>
      <c r="Z709">
        <f>IF(G709="C",1,0)</f>
        <v>0</v>
      </c>
      <c r="AA709">
        <f>IF(G709="S",1,0)</f>
        <v>0</v>
      </c>
      <c r="AB709">
        <f>IF(G709="U",1,0)</f>
        <v>0</v>
      </c>
      <c r="AC709" s="5">
        <f>IF(AND(ISNUMBER(H709),NOT(ISNUMBER(P709))),1,0)</f>
        <v>1</v>
      </c>
      <c r="AD709" s="5">
        <f>IF(AND(ISNUMBER(H709),ISNUMBER(P709)),1,0)</f>
        <v>0</v>
      </c>
      <c r="AE709" s="5">
        <f>W709</f>
        <v>0.16</v>
      </c>
      <c r="AF709" s="5">
        <f>X709</f>
        <v>0.27</v>
      </c>
      <c r="AG709" s="5">
        <f>Y709</f>
        <v>0</v>
      </c>
      <c r="AH709" s="5">
        <f>IF(OR(G709="C",G709="S",G709="U"),1,0)</f>
        <v>0</v>
      </c>
      <c r="AI709" s="5">
        <f>IF(ISNUMBER(H709),1,0)</f>
        <v>1</v>
      </c>
      <c r="AJ709" s="5">
        <f>IF(ISNUMBER(P709),1,0)</f>
        <v>0</v>
      </c>
      <c r="AK709" s="5">
        <f>IF(AI709=1,IF(J709&gt;0,1,0),"")</f>
        <v>0</v>
      </c>
      <c r="AL709" s="5" t="str">
        <f>IF(AJ709=1,IF(OR(Q709&gt;0,R709&gt;0),1,0),"")</f>
        <v/>
      </c>
    </row>
    <row r="710" spans="1:38">
      <c r="A710">
        <v>372615</v>
      </c>
      <c r="B710" t="s">
        <v>504</v>
      </c>
      <c r="C710" t="s">
        <v>23</v>
      </c>
      <c r="D710" t="s">
        <v>24</v>
      </c>
      <c r="E710">
        <v>10</v>
      </c>
      <c r="F710">
        <v>113000</v>
      </c>
      <c r="G710" t="s">
        <v>25</v>
      </c>
      <c r="H710">
        <v>1</v>
      </c>
      <c r="I710">
        <v>0</v>
      </c>
      <c r="J710">
        <v>0</v>
      </c>
      <c r="K710">
        <v>0</v>
      </c>
      <c r="L710" t="s">
        <v>26</v>
      </c>
      <c r="M710" t="s">
        <v>26</v>
      </c>
      <c r="N710" t="s">
        <v>26</v>
      </c>
      <c r="O710" t="s">
        <v>26</v>
      </c>
      <c r="P710" t="s">
        <v>26</v>
      </c>
      <c r="Q710" t="s">
        <v>26</v>
      </c>
      <c r="R710" t="s">
        <v>26</v>
      </c>
      <c r="S710" t="s">
        <v>26</v>
      </c>
      <c r="T710" t="s">
        <v>26</v>
      </c>
      <c r="U710" t="s">
        <v>26</v>
      </c>
      <c r="V710">
        <v>0</v>
      </c>
      <c r="W710">
        <f>E710/100</f>
        <v>0.1</v>
      </c>
      <c r="X710">
        <f>F710/1000000</f>
        <v>0.113</v>
      </c>
      <c r="Y710">
        <f>IF(D710="C",1,0)</f>
        <v>0</v>
      </c>
      <c r="Z710">
        <f>IF(G710="C",1,0)</f>
        <v>0</v>
      </c>
      <c r="AA710">
        <f>IF(G710="S",1,0)</f>
        <v>1</v>
      </c>
      <c r="AB710">
        <f>IF(G710="U",1,0)</f>
        <v>0</v>
      </c>
      <c r="AC710" s="5">
        <f>IF(AND(ISNUMBER(H710),NOT(ISNUMBER(P710))),1,0)</f>
        <v>1</v>
      </c>
      <c r="AD710" s="5">
        <f>IF(AND(ISNUMBER(H710),ISNUMBER(P710)),1,0)</f>
        <v>0</v>
      </c>
      <c r="AE710" s="5">
        <f>W710</f>
        <v>0.1</v>
      </c>
      <c r="AF710" s="5">
        <f>X710</f>
        <v>0.113</v>
      </c>
      <c r="AG710" s="5">
        <f>Y710</f>
        <v>0</v>
      </c>
      <c r="AH710" s="5">
        <f>IF(OR(G710="C",G710="S",G710="U"),1,0)</f>
        <v>1</v>
      </c>
      <c r="AI710" s="5">
        <f>IF(ISNUMBER(H710),1,0)</f>
        <v>1</v>
      </c>
      <c r="AJ710" s="5">
        <f>IF(ISNUMBER(P710),1,0)</f>
        <v>0</v>
      </c>
      <c r="AK710" s="5">
        <f>IF(AI710=1,IF(J710&gt;0,1,0),"")</f>
        <v>0</v>
      </c>
      <c r="AL710" s="5" t="str">
        <f>IF(AJ710=1,IF(OR(Q710&gt;0,R710&gt;0),1,0),"")</f>
        <v/>
      </c>
    </row>
    <row r="711" spans="1:38">
      <c r="A711">
        <v>378767</v>
      </c>
      <c r="B711" t="s">
        <v>510</v>
      </c>
      <c r="C711" t="s">
        <v>23</v>
      </c>
      <c r="D711" t="s">
        <v>24</v>
      </c>
      <c r="E711">
        <v>145</v>
      </c>
      <c r="F711">
        <v>2698450</v>
      </c>
      <c r="G711" t="s">
        <v>25</v>
      </c>
      <c r="H711">
        <v>1</v>
      </c>
      <c r="I711">
        <v>4</v>
      </c>
      <c r="J711">
        <v>0</v>
      </c>
      <c r="K711">
        <v>0</v>
      </c>
      <c r="L711">
        <v>0</v>
      </c>
      <c r="M711">
        <v>0</v>
      </c>
      <c r="N711">
        <v>0</v>
      </c>
      <c r="O711" t="s">
        <v>26</v>
      </c>
      <c r="P711" t="s">
        <v>26</v>
      </c>
      <c r="Q711" t="s">
        <v>26</v>
      </c>
      <c r="R711" t="s">
        <v>26</v>
      </c>
      <c r="S711" t="s">
        <v>26</v>
      </c>
      <c r="T711" t="s">
        <v>26</v>
      </c>
      <c r="U711" t="s">
        <v>26</v>
      </c>
      <c r="V711">
        <v>0</v>
      </c>
      <c r="W711">
        <f>E711/100</f>
        <v>1.45</v>
      </c>
      <c r="X711">
        <f>F711/1000000</f>
        <v>2.6984499999999998</v>
      </c>
      <c r="Y711">
        <f>IF(D711="C",1,0)</f>
        <v>0</v>
      </c>
      <c r="Z711">
        <f>IF(G711="C",1,0)</f>
        <v>0</v>
      </c>
      <c r="AA711">
        <f>IF(G711="S",1,0)</f>
        <v>1</v>
      </c>
      <c r="AB711">
        <f>IF(G711="U",1,0)</f>
        <v>0</v>
      </c>
      <c r="AC711" s="5">
        <f>IF(AND(ISNUMBER(H711),NOT(ISNUMBER(P711))),1,0)</f>
        <v>1</v>
      </c>
      <c r="AD711" s="5">
        <f>IF(AND(ISNUMBER(H711),ISNUMBER(P711)),1,0)</f>
        <v>0</v>
      </c>
      <c r="AE711" s="5">
        <f>W711</f>
        <v>1.45</v>
      </c>
      <c r="AF711" s="5">
        <f>X711</f>
        <v>2.6984499999999998</v>
      </c>
      <c r="AG711" s="5">
        <f>Y711</f>
        <v>0</v>
      </c>
      <c r="AH711" s="5">
        <f>IF(OR(G711="C",G711="S",G711="U"),1,0)</f>
        <v>1</v>
      </c>
      <c r="AI711" s="5">
        <f>IF(ISNUMBER(H711),1,0)</f>
        <v>1</v>
      </c>
      <c r="AJ711" s="5">
        <f>IF(ISNUMBER(P711),1,0)</f>
        <v>0</v>
      </c>
      <c r="AK711" s="5">
        <f>IF(AI711=1,IF(J711&gt;0,1,0),"")</f>
        <v>0</v>
      </c>
      <c r="AL711" s="5" t="str">
        <f>IF(AJ711=1,IF(OR(Q711&gt;0,R711&gt;0),1,0),"")</f>
        <v/>
      </c>
    </row>
    <row r="712" spans="1:38">
      <c r="A712">
        <v>391834</v>
      </c>
      <c r="B712" t="s">
        <v>528</v>
      </c>
      <c r="C712" t="s">
        <v>23</v>
      </c>
      <c r="D712" t="s">
        <v>24</v>
      </c>
      <c r="E712">
        <v>76</v>
      </c>
      <c r="F712">
        <v>250000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  <c r="S712" t="s">
        <v>26</v>
      </c>
      <c r="T712" t="s">
        <v>26</v>
      </c>
      <c r="U712" t="s">
        <v>26</v>
      </c>
      <c r="V712">
        <v>0</v>
      </c>
      <c r="W712">
        <f>E712/100</f>
        <v>0.76</v>
      </c>
      <c r="X712">
        <f>F712/1000000</f>
        <v>0.25</v>
      </c>
      <c r="Y712">
        <f>IF(D712="C",1,0)</f>
        <v>0</v>
      </c>
      <c r="Z712">
        <f>IF(G712="C",1,0)</f>
        <v>0</v>
      </c>
      <c r="AA712">
        <f>IF(G712="S",1,0)</f>
        <v>0</v>
      </c>
      <c r="AB712">
        <f>IF(G712="U",1,0)</f>
        <v>0</v>
      </c>
      <c r="AC712" s="5">
        <f>IF(AND(ISNUMBER(H712),NOT(ISNUMBER(P712))),1,0)</f>
        <v>1</v>
      </c>
      <c r="AD712" s="5">
        <f>IF(AND(ISNUMBER(H712),ISNUMBER(P712)),1,0)</f>
        <v>0</v>
      </c>
      <c r="AE712" s="5">
        <f>W712</f>
        <v>0.76</v>
      </c>
      <c r="AF712" s="5">
        <f>X712</f>
        <v>0.25</v>
      </c>
      <c r="AG712" s="5">
        <f>Y712</f>
        <v>0</v>
      </c>
      <c r="AH712" s="5">
        <f>IF(OR(G712="C",G712="S",G712="U"),1,0)</f>
        <v>0</v>
      </c>
      <c r="AI712" s="5">
        <f>IF(ISNUMBER(H712),1,0)</f>
        <v>1</v>
      </c>
      <c r="AJ712" s="5">
        <f>IF(ISNUMBER(P712),1,0)</f>
        <v>0</v>
      </c>
      <c r="AK712" s="5">
        <f>IF(AI712=1,IF(J712&gt;0,1,0),"")</f>
        <v>0</v>
      </c>
      <c r="AL712" s="5" t="str">
        <f>IF(AJ712=1,IF(OR(Q712&gt;0,R712&gt;0),1,0),"")</f>
        <v/>
      </c>
    </row>
    <row r="713" spans="1:38">
      <c r="A713">
        <v>393915</v>
      </c>
      <c r="B713" t="s">
        <v>531</v>
      </c>
      <c r="C713" t="s">
        <v>23</v>
      </c>
      <c r="D713" t="s">
        <v>24</v>
      </c>
      <c r="E713">
        <v>7</v>
      </c>
      <c r="F713">
        <v>310000</v>
      </c>
      <c r="H713">
        <v>1</v>
      </c>
      <c r="I713">
        <v>0</v>
      </c>
      <c r="J713">
        <v>0</v>
      </c>
      <c r="K713">
        <v>0</v>
      </c>
      <c r="L713" t="s">
        <v>26</v>
      </c>
      <c r="M713" t="s">
        <v>26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  <c r="S713" t="s">
        <v>26</v>
      </c>
      <c r="T713" t="s">
        <v>26</v>
      </c>
      <c r="U713" t="s">
        <v>26</v>
      </c>
      <c r="V713">
        <v>0</v>
      </c>
      <c r="W713">
        <f>E713/100</f>
        <v>7.0000000000000007E-2</v>
      </c>
      <c r="X713">
        <f>F713/1000000</f>
        <v>0.31</v>
      </c>
      <c r="Y713">
        <f>IF(D713="C",1,0)</f>
        <v>0</v>
      </c>
      <c r="Z713">
        <f>IF(G713="C",1,0)</f>
        <v>0</v>
      </c>
      <c r="AA713">
        <f>IF(G713="S",1,0)</f>
        <v>0</v>
      </c>
      <c r="AB713">
        <f>IF(G713="U",1,0)</f>
        <v>0</v>
      </c>
      <c r="AC713" s="5">
        <f>IF(AND(ISNUMBER(H713),NOT(ISNUMBER(P713))),1,0)</f>
        <v>1</v>
      </c>
      <c r="AD713" s="5">
        <f>IF(AND(ISNUMBER(H713),ISNUMBER(P713)),1,0)</f>
        <v>0</v>
      </c>
      <c r="AE713" s="5">
        <f>W713</f>
        <v>7.0000000000000007E-2</v>
      </c>
      <c r="AF713" s="5">
        <f>X713</f>
        <v>0.31</v>
      </c>
      <c r="AG713" s="5">
        <f>Y713</f>
        <v>0</v>
      </c>
      <c r="AH713" s="5">
        <f>IF(OR(G713="C",G713="S",G713="U"),1,0)</f>
        <v>0</v>
      </c>
      <c r="AI713" s="5">
        <f>IF(ISNUMBER(H713),1,0)</f>
        <v>1</v>
      </c>
      <c r="AJ713" s="5">
        <f>IF(ISNUMBER(P713),1,0)</f>
        <v>0</v>
      </c>
      <c r="AK713" s="5">
        <f>IF(AI713=1,IF(J713&gt;0,1,0),"")</f>
        <v>0</v>
      </c>
      <c r="AL713" s="5" t="str">
        <f>IF(AJ713=1,IF(OR(Q713&gt;0,R713&gt;0),1,0),"")</f>
        <v/>
      </c>
    </row>
    <row r="714" spans="1:38">
      <c r="A714">
        <v>404558</v>
      </c>
      <c r="B714" t="s">
        <v>540</v>
      </c>
      <c r="C714" t="s">
        <v>37</v>
      </c>
      <c r="D714" t="s">
        <v>33</v>
      </c>
      <c r="E714">
        <v>11</v>
      </c>
      <c r="F714">
        <v>758009</v>
      </c>
      <c r="H714">
        <v>1</v>
      </c>
      <c r="I714">
        <v>0</v>
      </c>
      <c r="J714">
        <v>0</v>
      </c>
      <c r="K714">
        <v>0</v>
      </c>
      <c r="L714" t="s">
        <v>26</v>
      </c>
      <c r="M714" t="s">
        <v>26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  <c r="S714" t="s">
        <v>26</v>
      </c>
      <c r="T714" t="s">
        <v>26</v>
      </c>
      <c r="U714" t="s">
        <v>26</v>
      </c>
      <c r="V714">
        <v>0</v>
      </c>
      <c r="W714">
        <f>E714/100</f>
        <v>0.11</v>
      </c>
      <c r="X714">
        <f>F714/1000000</f>
        <v>0.75800900000000004</v>
      </c>
      <c r="Y714">
        <f>IF(D714="C",1,0)</f>
        <v>1</v>
      </c>
      <c r="Z714">
        <f>IF(G714="C",1,0)</f>
        <v>0</v>
      </c>
      <c r="AA714">
        <f>IF(G714="S",1,0)</f>
        <v>0</v>
      </c>
      <c r="AB714">
        <f>IF(G714="U",1,0)</f>
        <v>0</v>
      </c>
      <c r="AC714" s="5">
        <f>IF(AND(ISNUMBER(H714),NOT(ISNUMBER(P714))),1,0)</f>
        <v>1</v>
      </c>
      <c r="AD714" s="5">
        <f>IF(AND(ISNUMBER(H714),ISNUMBER(P714)),1,0)</f>
        <v>0</v>
      </c>
      <c r="AE714" s="5">
        <f>W714</f>
        <v>0.11</v>
      </c>
      <c r="AF714" s="5">
        <f>X714</f>
        <v>0.75800900000000004</v>
      </c>
      <c r="AG714" s="5">
        <f>Y714</f>
        <v>1</v>
      </c>
      <c r="AH714" s="5">
        <f>IF(OR(G714="C",G714="S",G714="U"),1,0)</f>
        <v>0</v>
      </c>
      <c r="AI714" s="5">
        <f>IF(ISNUMBER(H714),1,0)</f>
        <v>1</v>
      </c>
      <c r="AJ714" s="5">
        <f>IF(ISNUMBER(P714),1,0)</f>
        <v>0</v>
      </c>
      <c r="AK714" s="5">
        <f>IF(AI714=1,IF(J714&gt;0,1,0),"")</f>
        <v>0</v>
      </c>
      <c r="AL714" s="5" t="str">
        <f>IF(AJ714=1,IF(OR(Q714&gt;0,R714&gt;0),1,0),"")</f>
        <v/>
      </c>
    </row>
    <row r="715" spans="1:38">
      <c r="A715">
        <v>426199</v>
      </c>
      <c r="B715" t="s">
        <v>548</v>
      </c>
      <c r="C715" t="s">
        <v>37</v>
      </c>
      <c r="D715" t="s">
        <v>24</v>
      </c>
      <c r="E715">
        <v>117</v>
      </c>
      <c r="F715">
        <v>3400000</v>
      </c>
      <c r="G715" t="s">
        <v>25</v>
      </c>
      <c r="H715">
        <v>2</v>
      </c>
      <c r="I715">
        <v>0</v>
      </c>
      <c r="J715">
        <v>0</v>
      </c>
      <c r="K715">
        <v>0</v>
      </c>
      <c r="L715" t="s">
        <v>26</v>
      </c>
      <c r="M715" t="s">
        <v>26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  <c r="S715" t="s">
        <v>26</v>
      </c>
      <c r="T715" t="s">
        <v>26</v>
      </c>
      <c r="U715" t="s">
        <v>26</v>
      </c>
      <c r="V715">
        <v>0</v>
      </c>
      <c r="W715">
        <f>E715/100</f>
        <v>1.17</v>
      </c>
      <c r="X715">
        <f>F715/1000000</f>
        <v>3.4</v>
      </c>
      <c r="Y715">
        <f>IF(D715="C",1,0)</f>
        <v>0</v>
      </c>
      <c r="Z715">
        <f>IF(G715="C",1,0)</f>
        <v>0</v>
      </c>
      <c r="AA715">
        <f>IF(G715="S",1,0)</f>
        <v>1</v>
      </c>
      <c r="AB715">
        <f>IF(G715="U",1,0)</f>
        <v>0</v>
      </c>
      <c r="AC715" s="5">
        <f>IF(AND(ISNUMBER(H715),NOT(ISNUMBER(P715))),1,0)</f>
        <v>1</v>
      </c>
      <c r="AD715" s="5">
        <f>IF(AND(ISNUMBER(H715),ISNUMBER(P715)),1,0)</f>
        <v>0</v>
      </c>
      <c r="AE715" s="5">
        <f>W715</f>
        <v>1.17</v>
      </c>
      <c r="AF715" s="5">
        <f>X715</f>
        <v>3.4</v>
      </c>
      <c r="AG715" s="5">
        <f>Y715</f>
        <v>0</v>
      </c>
      <c r="AH715" s="5">
        <f>IF(OR(G715="C",G715="S",G715="U"),1,0)</f>
        <v>1</v>
      </c>
      <c r="AI715" s="5">
        <f>IF(ISNUMBER(H715),1,0)</f>
        <v>1</v>
      </c>
      <c r="AJ715" s="5">
        <f>IF(ISNUMBER(P715),1,0)</f>
        <v>0</v>
      </c>
      <c r="AK715" s="5">
        <f>IF(AI715=1,IF(J715&gt;0,1,0),"")</f>
        <v>0</v>
      </c>
      <c r="AL715" s="5" t="str">
        <f>IF(AJ715=1,IF(OR(Q715&gt;0,R715&gt;0),1,0),"")</f>
        <v/>
      </c>
    </row>
    <row r="716" spans="1:38">
      <c r="A716">
        <v>429231</v>
      </c>
      <c r="B716" t="s">
        <v>552</v>
      </c>
      <c r="C716" t="s">
        <v>23</v>
      </c>
      <c r="D716" t="s">
        <v>24</v>
      </c>
      <c r="E716">
        <v>8</v>
      </c>
      <c r="F716">
        <v>219335</v>
      </c>
      <c r="H716">
        <v>1</v>
      </c>
      <c r="I716">
        <v>1</v>
      </c>
      <c r="J716">
        <v>0</v>
      </c>
      <c r="K716">
        <v>0</v>
      </c>
      <c r="L716">
        <v>0</v>
      </c>
      <c r="M716">
        <v>0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  <c r="S716" t="s">
        <v>26</v>
      </c>
      <c r="T716" t="s">
        <v>26</v>
      </c>
      <c r="U716" t="s">
        <v>26</v>
      </c>
      <c r="V716">
        <v>0</v>
      </c>
      <c r="W716">
        <f>E716/100</f>
        <v>0.08</v>
      </c>
      <c r="X716">
        <f>F716/1000000</f>
        <v>0.219335</v>
      </c>
      <c r="Y716">
        <f>IF(D716="C",1,0)</f>
        <v>0</v>
      </c>
      <c r="Z716">
        <f>IF(G716="C",1,0)</f>
        <v>0</v>
      </c>
      <c r="AA716">
        <f>IF(G716="S",1,0)</f>
        <v>0</v>
      </c>
      <c r="AB716">
        <f>IF(G716="U",1,0)</f>
        <v>0</v>
      </c>
      <c r="AC716" s="5">
        <f>IF(AND(ISNUMBER(H716),NOT(ISNUMBER(P716))),1,0)</f>
        <v>1</v>
      </c>
      <c r="AD716" s="5">
        <f>IF(AND(ISNUMBER(H716),ISNUMBER(P716)),1,0)</f>
        <v>0</v>
      </c>
      <c r="AE716" s="5">
        <f>W716</f>
        <v>0.08</v>
      </c>
      <c r="AF716" s="5">
        <f>X716</f>
        <v>0.219335</v>
      </c>
      <c r="AG716" s="5">
        <f>Y716</f>
        <v>0</v>
      </c>
      <c r="AH716" s="5">
        <f>IF(OR(G716="C",G716="S",G716="U"),1,0)</f>
        <v>0</v>
      </c>
      <c r="AI716" s="5">
        <f>IF(ISNUMBER(H716),1,0)</f>
        <v>1</v>
      </c>
      <c r="AJ716" s="5">
        <f>IF(ISNUMBER(P716),1,0)</f>
        <v>0</v>
      </c>
      <c r="AK716" s="5">
        <f>IF(AI716=1,IF(J716&gt;0,1,0),"")</f>
        <v>0</v>
      </c>
      <c r="AL716" s="5" t="str">
        <f>IF(AJ716=1,IF(OR(Q716&gt;0,R716&gt;0),1,0),"")</f>
        <v/>
      </c>
    </row>
    <row r="717" spans="1:38">
      <c r="A717">
        <v>437661</v>
      </c>
      <c r="B717" t="s">
        <v>559</v>
      </c>
      <c r="C717" t="s">
        <v>82</v>
      </c>
      <c r="D717" t="s">
        <v>24</v>
      </c>
      <c r="E717">
        <v>907</v>
      </c>
      <c r="F717">
        <v>497822</v>
      </c>
      <c r="G717" t="s">
        <v>25</v>
      </c>
      <c r="H717">
        <v>2</v>
      </c>
      <c r="I717">
        <v>2</v>
      </c>
      <c r="J717">
        <v>0</v>
      </c>
      <c r="K717">
        <v>0</v>
      </c>
      <c r="L717">
        <v>0</v>
      </c>
      <c r="M717">
        <v>0</v>
      </c>
      <c r="N717">
        <v>0</v>
      </c>
      <c r="O717" t="s">
        <v>26</v>
      </c>
      <c r="P717" t="s">
        <v>26</v>
      </c>
      <c r="Q717" t="s">
        <v>26</v>
      </c>
      <c r="R717" t="s">
        <v>26</v>
      </c>
      <c r="S717" t="s">
        <v>26</v>
      </c>
      <c r="T717" t="s">
        <v>26</v>
      </c>
      <c r="U717" t="s">
        <v>26</v>
      </c>
      <c r="V717">
        <v>0</v>
      </c>
      <c r="W717">
        <f>E717/100</f>
        <v>9.07</v>
      </c>
      <c r="X717">
        <f>F717/1000000</f>
        <v>0.49782199999999999</v>
      </c>
      <c r="Y717">
        <f>IF(D717="C",1,0)</f>
        <v>0</v>
      </c>
      <c r="Z717">
        <f>IF(G717="C",1,0)</f>
        <v>0</v>
      </c>
      <c r="AA717">
        <f>IF(G717="S",1,0)</f>
        <v>1</v>
      </c>
      <c r="AB717">
        <f>IF(G717="U",1,0)</f>
        <v>0</v>
      </c>
      <c r="AC717" s="5">
        <f>IF(AND(ISNUMBER(H717),NOT(ISNUMBER(P717))),1,0)</f>
        <v>1</v>
      </c>
      <c r="AD717" s="5">
        <f>IF(AND(ISNUMBER(H717),ISNUMBER(P717)),1,0)</f>
        <v>0</v>
      </c>
      <c r="AE717" s="5">
        <f>W717</f>
        <v>9.07</v>
      </c>
      <c r="AF717" s="5">
        <f>X717</f>
        <v>0.49782199999999999</v>
      </c>
      <c r="AG717" s="5">
        <f>Y717</f>
        <v>0</v>
      </c>
      <c r="AH717" s="5">
        <f>IF(OR(G717="C",G717="S",G717="U"),1,0)</f>
        <v>1</v>
      </c>
      <c r="AI717" s="5">
        <f>IF(ISNUMBER(H717),1,0)</f>
        <v>1</v>
      </c>
      <c r="AJ717" s="5">
        <f>IF(ISNUMBER(P717),1,0)</f>
        <v>0</v>
      </c>
      <c r="AK717" s="5">
        <f>IF(AI717=1,IF(J717&gt;0,1,0),"")</f>
        <v>0</v>
      </c>
      <c r="AL717" s="5" t="str">
        <f>IF(AJ717=1,IF(OR(Q717&gt;0,R717&gt;0),1,0),"")</f>
        <v/>
      </c>
    </row>
    <row r="718" spans="1:38">
      <c r="A718">
        <v>440131</v>
      </c>
      <c r="B718" t="s">
        <v>560</v>
      </c>
      <c r="C718" t="s">
        <v>23</v>
      </c>
      <c r="D718" t="s">
        <v>24</v>
      </c>
      <c r="E718">
        <v>6</v>
      </c>
      <c r="F718">
        <v>256334</v>
      </c>
      <c r="H718">
        <v>1</v>
      </c>
      <c r="I718">
        <v>0</v>
      </c>
      <c r="J718">
        <v>0</v>
      </c>
      <c r="K718">
        <v>0</v>
      </c>
      <c r="L718" t="s">
        <v>26</v>
      </c>
      <c r="M718" t="s">
        <v>26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  <c r="S718" t="s">
        <v>26</v>
      </c>
      <c r="T718" t="s">
        <v>26</v>
      </c>
      <c r="U718" t="s">
        <v>26</v>
      </c>
      <c r="V718">
        <v>0</v>
      </c>
      <c r="W718">
        <f>E718/100</f>
        <v>0.06</v>
      </c>
      <c r="X718">
        <f>F718/1000000</f>
        <v>0.25633400000000001</v>
      </c>
      <c r="Y718">
        <f>IF(D718="C",1,0)</f>
        <v>0</v>
      </c>
      <c r="Z718">
        <f>IF(G718="C",1,0)</f>
        <v>0</v>
      </c>
      <c r="AA718">
        <f>IF(G718="S",1,0)</f>
        <v>0</v>
      </c>
      <c r="AB718">
        <f>IF(G718="U",1,0)</f>
        <v>0</v>
      </c>
      <c r="AC718" s="5">
        <f>IF(AND(ISNUMBER(H718),NOT(ISNUMBER(P718))),1,0)</f>
        <v>1</v>
      </c>
      <c r="AD718" s="5">
        <f>IF(AND(ISNUMBER(H718),ISNUMBER(P718)),1,0)</f>
        <v>0</v>
      </c>
      <c r="AE718" s="5">
        <f>W718</f>
        <v>0.06</v>
      </c>
      <c r="AF718" s="5">
        <f>X718</f>
        <v>0.25633400000000001</v>
      </c>
      <c r="AG718" s="5">
        <f>Y718</f>
        <v>0</v>
      </c>
      <c r="AH718" s="5">
        <f>IF(OR(G718="C",G718="S",G718="U"),1,0)</f>
        <v>0</v>
      </c>
      <c r="AI718" s="5">
        <f>IF(ISNUMBER(H718),1,0)</f>
        <v>1</v>
      </c>
      <c r="AJ718" s="5">
        <f>IF(ISNUMBER(P718),1,0)</f>
        <v>0</v>
      </c>
      <c r="AK718" s="5">
        <f>IF(AI718=1,IF(J718&gt;0,1,0),"")</f>
        <v>0</v>
      </c>
      <c r="AL718" s="5" t="str">
        <f>IF(AJ718=1,IF(OR(Q718&gt;0,R718&gt;0),1,0),"")</f>
        <v/>
      </c>
    </row>
    <row r="719" spans="1:38">
      <c r="A719">
        <v>440171</v>
      </c>
      <c r="B719" t="s">
        <v>561</v>
      </c>
      <c r="C719" t="s">
        <v>23</v>
      </c>
      <c r="D719" t="s">
        <v>24</v>
      </c>
      <c r="E719">
        <v>7</v>
      </c>
      <c r="F719">
        <v>150746</v>
      </c>
      <c r="H719">
        <v>1</v>
      </c>
      <c r="I719">
        <v>0</v>
      </c>
      <c r="J719">
        <v>0</v>
      </c>
      <c r="K719">
        <v>0</v>
      </c>
      <c r="L719" t="s">
        <v>26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  <c r="S719" t="s">
        <v>26</v>
      </c>
      <c r="T719" t="s">
        <v>26</v>
      </c>
      <c r="U719" t="s">
        <v>26</v>
      </c>
      <c r="V719">
        <v>0</v>
      </c>
      <c r="W719">
        <f>E719/100</f>
        <v>7.0000000000000007E-2</v>
      </c>
      <c r="X719">
        <f>F719/1000000</f>
        <v>0.15074599999999999</v>
      </c>
      <c r="Y719">
        <f>IF(D719="C",1,0)</f>
        <v>0</v>
      </c>
      <c r="Z719">
        <f>IF(G719="C",1,0)</f>
        <v>0</v>
      </c>
      <c r="AA719">
        <f>IF(G719="S",1,0)</f>
        <v>0</v>
      </c>
      <c r="AB719">
        <f>IF(G719="U",1,0)</f>
        <v>0</v>
      </c>
      <c r="AC719" s="5">
        <f>IF(AND(ISNUMBER(H719),NOT(ISNUMBER(P719))),1,0)</f>
        <v>1</v>
      </c>
      <c r="AD719" s="5">
        <f>IF(AND(ISNUMBER(H719),ISNUMBER(P719)),1,0)</f>
        <v>0</v>
      </c>
      <c r="AE719" s="5">
        <f>W719</f>
        <v>7.0000000000000007E-2</v>
      </c>
      <c r="AF719" s="5">
        <f>X719</f>
        <v>0.15074599999999999</v>
      </c>
      <c r="AG719" s="5">
        <f>Y719</f>
        <v>0</v>
      </c>
      <c r="AH719" s="5">
        <f>IF(OR(G719="C",G719="S",G719="U"),1,0)</f>
        <v>0</v>
      </c>
      <c r="AI719" s="5">
        <f>IF(ISNUMBER(H719),1,0)</f>
        <v>1</v>
      </c>
      <c r="AJ719" s="5">
        <f>IF(ISNUMBER(P719),1,0)</f>
        <v>0</v>
      </c>
      <c r="AK719" s="5">
        <f>IF(AI719=1,IF(J719&gt;0,1,0),"")</f>
        <v>0</v>
      </c>
      <c r="AL719" s="5" t="str">
        <f>IF(AJ719=1,IF(OR(Q719&gt;0,R719&gt;0),1,0),"")</f>
        <v/>
      </c>
    </row>
    <row r="720" spans="1:38">
      <c r="A720">
        <v>443021</v>
      </c>
      <c r="B720" t="s">
        <v>564</v>
      </c>
      <c r="C720" t="s">
        <v>23</v>
      </c>
      <c r="D720" t="s">
        <v>24</v>
      </c>
      <c r="E720">
        <v>7</v>
      </c>
      <c r="F720">
        <v>278357</v>
      </c>
      <c r="H720">
        <v>1</v>
      </c>
      <c r="I720">
        <v>1</v>
      </c>
      <c r="J720">
        <v>0</v>
      </c>
      <c r="K720">
        <v>0</v>
      </c>
      <c r="L720">
        <v>0</v>
      </c>
      <c r="M720">
        <v>0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  <c r="S720" t="s">
        <v>26</v>
      </c>
      <c r="T720" t="s">
        <v>26</v>
      </c>
      <c r="U720" t="s">
        <v>26</v>
      </c>
      <c r="V720">
        <v>0</v>
      </c>
      <c r="W720">
        <f>E720/100</f>
        <v>7.0000000000000007E-2</v>
      </c>
      <c r="X720">
        <f>F720/1000000</f>
        <v>0.27835700000000002</v>
      </c>
      <c r="Y720">
        <f>IF(D720="C",1,0)</f>
        <v>0</v>
      </c>
      <c r="Z720">
        <f>IF(G720="C",1,0)</f>
        <v>0</v>
      </c>
      <c r="AA720">
        <f>IF(G720="S",1,0)</f>
        <v>0</v>
      </c>
      <c r="AB720">
        <f>IF(G720="U",1,0)</f>
        <v>0</v>
      </c>
      <c r="AC720" s="5">
        <f>IF(AND(ISNUMBER(H720),NOT(ISNUMBER(P720))),1,0)</f>
        <v>1</v>
      </c>
      <c r="AD720" s="5">
        <f>IF(AND(ISNUMBER(H720),ISNUMBER(P720)),1,0)</f>
        <v>0</v>
      </c>
      <c r="AE720" s="5">
        <f>W720</f>
        <v>7.0000000000000007E-2</v>
      </c>
      <c r="AF720" s="5">
        <f>X720</f>
        <v>0.27835700000000002</v>
      </c>
      <c r="AG720" s="5">
        <f>Y720</f>
        <v>0</v>
      </c>
      <c r="AH720" s="5">
        <f>IF(OR(G720="C",G720="S",G720="U"),1,0)</f>
        <v>0</v>
      </c>
      <c r="AI720" s="5">
        <f>IF(ISNUMBER(H720),1,0)</f>
        <v>1</v>
      </c>
      <c r="AJ720" s="5">
        <f>IF(ISNUMBER(P720),1,0)</f>
        <v>0</v>
      </c>
      <c r="AK720" s="5">
        <f>IF(AI720=1,IF(J720&gt;0,1,0),"")</f>
        <v>0</v>
      </c>
      <c r="AL720" s="5" t="str">
        <f>IF(AJ720=1,IF(OR(Q720&gt;0,R720&gt;0),1,0),"")</f>
        <v/>
      </c>
    </row>
    <row r="721" spans="1:38">
      <c r="A721">
        <v>448694</v>
      </c>
      <c r="B721" t="s">
        <v>571</v>
      </c>
      <c r="C721" t="s">
        <v>314</v>
      </c>
      <c r="D721" t="s">
        <v>24</v>
      </c>
      <c r="E721">
        <v>16</v>
      </c>
      <c r="F721">
        <v>1228860</v>
      </c>
      <c r="G721" t="s">
        <v>25</v>
      </c>
      <c r="H721">
        <v>1</v>
      </c>
      <c r="I721">
        <v>0</v>
      </c>
      <c r="J721">
        <v>0</v>
      </c>
      <c r="K721">
        <v>0</v>
      </c>
      <c r="L721" t="s">
        <v>26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  <c r="S721" t="s">
        <v>26</v>
      </c>
      <c r="T721" t="s">
        <v>26</v>
      </c>
      <c r="U721" t="s">
        <v>26</v>
      </c>
      <c r="V721">
        <v>0</v>
      </c>
      <c r="W721">
        <f>E721/100</f>
        <v>0.16</v>
      </c>
      <c r="X721">
        <f>F721/1000000</f>
        <v>1.2288600000000001</v>
      </c>
      <c r="Y721">
        <f>IF(D721="C",1,0)</f>
        <v>0</v>
      </c>
      <c r="Z721">
        <f>IF(G721="C",1,0)</f>
        <v>0</v>
      </c>
      <c r="AA721">
        <f>IF(G721="S",1,0)</f>
        <v>1</v>
      </c>
      <c r="AB721">
        <f>IF(G721="U",1,0)</f>
        <v>0</v>
      </c>
      <c r="AC721" s="5">
        <f>IF(AND(ISNUMBER(H721),NOT(ISNUMBER(P721))),1,0)</f>
        <v>1</v>
      </c>
      <c r="AD721" s="5">
        <f>IF(AND(ISNUMBER(H721),ISNUMBER(P721)),1,0)</f>
        <v>0</v>
      </c>
      <c r="AE721" s="5">
        <f>W721</f>
        <v>0.16</v>
      </c>
      <c r="AF721" s="5">
        <f>X721</f>
        <v>1.2288600000000001</v>
      </c>
      <c r="AG721" s="5">
        <f>Y721</f>
        <v>0</v>
      </c>
      <c r="AH721" s="5">
        <f>IF(OR(G721="C",G721="S",G721="U"),1,0)</f>
        <v>1</v>
      </c>
      <c r="AI721" s="5">
        <f>IF(ISNUMBER(H721),1,0)</f>
        <v>1</v>
      </c>
      <c r="AJ721" s="5">
        <f>IF(ISNUMBER(P721),1,0)</f>
        <v>0</v>
      </c>
      <c r="AK721" s="5">
        <f>IF(AI721=1,IF(J721&gt;0,1,0),"")</f>
        <v>0</v>
      </c>
      <c r="AL721" s="5" t="str">
        <f>IF(AJ721=1,IF(OR(Q721&gt;0,R721&gt;0),1,0),"")</f>
        <v/>
      </c>
    </row>
    <row r="722" spans="1:38">
      <c r="A722">
        <v>449266</v>
      </c>
      <c r="B722" t="s">
        <v>572</v>
      </c>
      <c r="C722" t="s">
        <v>23</v>
      </c>
      <c r="D722" t="s">
        <v>33</v>
      </c>
      <c r="E722">
        <v>51</v>
      </c>
      <c r="F722">
        <v>151459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  <c r="S722" t="s">
        <v>26</v>
      </c>
      <c r="T722" t="s">
        <v>26</v>
      </c>
      <c r="U722" t="s">
        <v>26</v>
      </c>
      <c r="V722">
        <v>0</v>
      </c>
      <c r="W722">
        <f>E722/100</f>
        <v>0.51</v>
      </c>
      <c r="X722">
        <f>F722/1000000</f>
        <v>0.15145900000000001</v>
      </c>
      <c r="Y722">
        <f>IF(D722="C",1,0)</f>
        <v>1</v>
      </c>
      <c r="Z722">
        <f>IF(G722="C",1,0)</f>
        <v>0</v>
      </c>
      <c r="AA722">
        <f>IF(G722="S",1,0)</f>
        <v>0</v>
      </c>
      <c r="AB722">
        <f>IF(G722="U",1,0)</f>
        <v>0</v>
      </c>
      <c r="AC722" s="5">
        <f>IF(AND(ISNUMBER(H722),NOT(ISNUMBER(P722))),1,0)</f>
        <v>1</v>
      </c>
      <c r="AD722" s="5">
        <f>IF(AND(ISNUMBER(H722),ISNUMBER(P722)),1,0)</f>
        <v>0</v>
      </c>
      <c r="AE722" s="5">
        <f>W722</f>
        <v>0.51</v>
      </c>
      <c r="AF722" s="5">
        <f>X722</f>
        <v>0.15145900000000001</v>
      </c>
      <c r="AG722" s="5">
        <f>Y722</f>
        <v>1</v>
      </c>
      <c r="AH722" s="5">
        <f>IF(OR(G722="C",G722="S",G722="U"),1,0)</f>
        <v>0</v>
      </c>
      <c r="AI722" s="5">
        <f>IF(ISNUMBER(H722),1,0)</f>
        <v>1</v>
      </c>
      <c r="AJ722" s="5">
        <f>IF(ISNUMBER(P722),1,0)</f>
        <v>0</v>
      </c>
      <c r="AK722" s="5">
        <f>IF(AI722=1,IF(J722&gt;0,1,0),"")</f>
        <v>0</v>
      </c>
      <c r="AL722" s="5" t="str">
        <f>IF(AJ722=1,IF(OR(Q722&gt;0,R722&gt;0),1,0),"")</f>
        <v/>
      </c>
    </row>
    <row r="723" spans="1:38">
      <c r="A723">
        <v>456704</v>
      </c>
      <c r="B723" t="s">
        <v>580</v>
      </c>
      <c r="C723" t="s">
        <v>37</v>
      </c>
      <c r="D723" t="s">
        <v>24</v>
      </c>
      <c r="E723">
        <v>18</v>
      </c>
      <c r="F723">
        <v>47509</v>
      </c>
      <c r="H723">
        <v>1</v>
      </c>
      <c r="I723">
        <v>2</v>
      </c>
      <c r="J723">
        <v>0</v>
      </c>
      <c r="K723">
        <v>0</v>
      </c>
      <c r="L723">
        <v>0</v>
      </c>
      <c r="M723">
        <v>0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  <c r="S723" t="s">
        <v>26</v>
      </c>
      <c r="T723" t="s">
        <v>26</v>
      </c>
      <c r="U723" t="s">
        <v>26</v>
      </c>
      <c r="V723">
        <v>0</v>
      </c>
      <c r="W723">
        <f>E723/100</f>
        <v>0.18</v>
      </c>
      <c r="X723">
        <f>F723/1000000</f>
        <v>4.7509000000000003E-2</v>
      </c>
      <c r="Y723">
        <f>IF(D723="C",1,0)</f>
        <v>0</v>
      </c>
      <c r="Z723">
        <f>IF(G723="C",1,0)</f>
        <v>0</v>
      </c>
      <c r="AA723">
        <f>IF(G723="S",1,0)</f>
        <v>0</v>
      </c>
      <c r="AB723">
        <f>IF(G723="U",1,0)</f>
        <v>0</v>
      </c>
      <c r="AC723" s="5">
        <f>IF(AND(ISNUMBER(H723),NOT(ISNUMBER(P723))),1,0)</f>
        <v>1</v>
      </c>
      <c r="AD723" s="5">
        <f>IF(AND(ISNUMBER(H723),ISNUMBER(P723)),1,0)</f>
        <v>0</v>
      </c>
      <c r="AE723" s="5">
        <f>W723</f>
        <v>0.18</v>
      </c>
      <c r="AF723" s="5">
        <f>X723</f>
        <v>4.7509000000000003E-2</v>
      </c>
      <c r="AG723" s="5">
        <f>Y723</f>
        <v>0</v>
      </c>
      <c r="AH723" s="5">
        <f>IF(OR(G723="C",G723="S",G723="U"),1,0)</f>
        <v>0</v>
      </c>
      <c r="AI723" s="5">
        <f>IF(ISNUMBER(H723),1,0)</f>
        <v>1</v>
      </c>
      <c r="AJ723" s="5">
        <f>IF(ISNUMBER(P723),1,0)</f>
        <v>0</v>
      </c>
      <c r="AK723" s="5">
        <f>IF(AI723=1,IF(J723&gt;0,1,0),"")</f>
        <v>0</v>
      </c>
      <c r="AL723" s="5" t="str">
        <f>IF(AJ723=1,IF(OR(Q723&gt;0,R723&gt;0),1,0),"")</f>
        <v/>
      </c>
    </row>
    <row r="724" spans="1:38">
      <c r="A724">
        <v>461215</v>
      </c>
      <c r="B724" t="s">
        <v>587</v>
      </c>
      <c r="C724" t="s">
        <v>82</v>
      </c>
      <c r="D724" t="s">
        <v>24</v>
      </c>
      <c r="E724">
        <v>48</v>
      </c>
      <c r="F724">
        <v>2152353</v>
      </c>
      <c r="H724">
        <v>1</v>
      </c>
      <c r="I724">
        <v>0</v>
      </c>
      <c r="J724">
        <v>0</v>
      </c>
      <c r="K724">
        <v>0</v>
      </c>
      <c r="L724" t="s">
        <v>26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  <c r="S724" t="s">
        <v>26</v>
      </c>
      <c r="T724" t="s">
        <v>26</v>
      </c>
      <c r="U724" t="s">
        <v>26</v>
      </c>
      <c r="V724">
        <v>0</v>
      </c>
      <c r="W724">
        <f>E724/100</f>
        <v>0.48</v>
      </c>
      <c r="X724">
        <f>F724/1000000</f>
        <v>2.1523530000000002</v>
      </c>
      <c r="Y724">
        <f>IF(D724="C",1,0)</f>
        <v>0</v>
      </c>
      <c r="Z724">
        <f>IF(G724="C",1,0)</f>
        <v>0</v>
      </c>
      <c r="AA724">
        <f>IF(G724="S",1,0)</f>
        <v>0</v>
      </c>
      <c r="AB724">
        <f>IF(G724="U",1,0)</f>
        <v>0</v>
      </c>
      <c r="AC724" s="5">
        <f>IF(AND(ISNUMBER(H724),NOT(ISNUMBER(P724))),1,0)</f>
        <v>1</v>
      </c>
      <c r="AD724" s="5">
        <f>IF(AND(ISNUMBER(H724),ISNUMBER(P724)),1,0)</f>
        <v>0</v>
      </c>
      <c r="AE724" s="5">
        <f>W724</f>
        <v>0.48</v>
      </c>
      <c r="AF724" s="5">
        <f>X724</f>
        <v>2.1523530000000002</v>
      </c>
      <c r="AG724" s="5">
        <f>Y724</f>
        <v>0</v>
      </c>
      <c r="AH724" s="5">
        <f>IF(OR(G724="C",G724="S",G724="U"),1,0)</f>
        <v>0</v>
      </c>
      <c r="AI724" s="5">
        <f>IF(ISNUMBER(H724),1,0)</f>
        <v>1</v>
      </c>
      <c r="AJ724" s="5">
        <f>IF(ISNUMBER(P724),1,0)</f>
        <v>0</v>
      </c>
      <c r="AK724" s="5">
        <f>IF(AI724=1,IF(J724&gt;0,1,0),"")</f>
        <v>0</v>
      </c>
      <c r="AL724" s="5" t="str">
        <f>IF(AJ724=1,IF(OR(Q724&gt;0,R724&gt;0),1,0),"")</f>
        <v/>
      </c>
    </row>
    <row r="725" spans="1:38">
      <c r="A725">
        <v>472791</v>
      </c>
      <c r="B725" t="s">
        <v>603</v>
      </c>
      <c r="C725" t="s">
        <v>302</v>
      </c>
      <c r="D725" t="s">
        <v>24</v>
      </c>
      <c r="E725">
        <v>89</v>
      </c>
      <c r="F725">
        <v>3232611</v>
      </c>
      <c r="H725">
        <v>1</v>
      </c>
      <c r="I725">
        <v>0</v>
      </c>
      <c r="J725">
        <v>0</v>
      </c>
      <c r="K725">
        <v>0</v>
      </c>
      <c r="L725" t="s">
        <v>26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  <c r="S725" t="s">
        <v>26</v>
      </c>
      <c r="T725" t="s">
        <v>26</v>
      </c>
      <c r="U725" t="s">
        <v>26</v>
      </c>
      <c r="V725">
        <v>0</v>
      </c>
      <c r="W725">
        <f>E725/100</f>
        <v>0.89</v>
      </c>
      <c r="X725">
        <f>F725/1000000</f>
        <v>3.2326109999999999</v>
      </c>
      <c r="Y725">
        <f>IF(D725="C",1,0)</f>
        <v>0</v>
      </c>
      <c r="Z725">
        <f>IF(G725="C",1,0)</f>
        <v>0</v>
      </c>
      <c r="AA725">
        <f>IF(G725="S",1,0)</f>
        <v>0</v>
      </c>
      <c r="AB725">
        <f>IF(G725="U",1,0)</f>
        <v>0</v>
      </c>
      <c r="AC725" s="5">
        <f>IF(AND(ISNUMBER(H725),NOT(ISNUMBER(P725))),1,0)</f>
        <v>1</v>
      </c>
      <c r="AD725" s="5">
        <f>IF(AND(ISNUMBER(H725),ISNUMBER(P725)),1,0)</f>
        <v>0</v>
      </c>
      <c r="AE725" s="5">
        <f>W725</f>
        <v>0.89</v>
      </c>
      <c r="AF725" s="5">
        <f>X725</f>
        <v>3.2326109999999999</v>
      </c>
      <c r="AG725" s="5">
        <f>Y725</f>
        <v>0</v>
      </c>
      <c r="AH725" s="5">
        <f>IF(OR(G725="C",G725="S",G725="U"),1,0)</f>
        <v>0</v>
      </c>
      <c r="AI725" s="5">
        <f>IF(ISNUMBER(H725),1,0)</f>
        <v>1</v>
      </c>
      <c r="AJ725" s="5">
        <f>IF(ISNUMBER(P725),1,0)</f>
        <v>0</v>
      </c>
      <c r="AK725" s="5">
        <f>IF(AI725=1,IF(J725&gt;0,1,0),"")</f>
        <v>0</v>
      </c>
      <c r="AL725" s="5" t="str">
        <f>IF(AJ725=1,IF(OR(Q725&gt;0,R725&gt;0),1,0),"")</f>
        <v/>
      </c>
    </row>
    <row r="726" spans="1:38">
      <c r="A726">
        <v>473589</v>
      </c>
      <c r="B726" t="s">
        <v>604</v>
      </c>
      <c r="C726" t="s">
        <v>82</v>
      </c>
      <c r="D726" t="s">
        <v>24</v>
      </c>
      <c r="E726">
        <v>4</v>
      </c>
      <c r="F726">
        <v>96260</v>
      </c>
      <c r="G726" t="s">
        <v>33</v>
      </c>
      <c r="H726">
        <v>1</v>
      </c>
      <c r="I726">
        <v>7</v>
      </c>
      <c r="J726">
        <v>0</v>
      </c>
      <c r="K726">
        <v>0</v>
      </c>
      <c r="L726">
        <v>0</v>
      </c>
      <c r="M726" t="s">
        <v>26</v>
      </c>
      <c r="N726">
        <v>0</v>
      </c>
      <c r="O726" t="s">
        <v>26</v>
      </c>
      <c r="P726" t="s">
        <v>26</v>
      </c>
      <c r="Q726" t="s">
        <v>26</v>
      </c>
      <c r="R726" t="s">
        <v>26</v>
      </c>
      <c r="S726" t="s">
        <v>26</v>
      </c>
      <c r="T726" t="s">
        <v>26</v>
      </c>
      <c r="U726" t="s">
        <v>26</v>
      </c>
      <c r="V726">
        <v>0</v>
      </c>
      <c r="W726">
        <f>E726/100</f>
        <v>0.04</v>
      </c>
      <c r="X726">
        <f>F726/1000000</f>
        <v>9.6259999999999998E-2</v>
      </c>
      <c r="Y726">
        <f>IF(D726="C",1,0)</f>
        <v>0</v>
      </c>
      <c r="Z726">
        <f>IF(G726="C",1,0)</f>
        <v>1</v>
      </c>
      <c r="AA726">
        <f>IF(G726="S",1,0)</f>
        <v>0</v>
      </c>
      <c r="AB726">
        <f>IF(G726="U",1,0)</f>
        <v>0</v>
      </c>
      <c r="AC726" s="5">
        <f>IF(AND(ISNUMBER(H726),NOT(ISNUMBER(P726))),1,0)</f>
        <v>1</v>
      </c>
      <c r="AD726" s="5">
        <f>IF(AND(ISNUMBER(H726),ISNUMBER(P726)),1,0)</f>
        <v>0</v>
      </c>
      <c r="AE726" s="5">
        <f>W726</f>
        <v>0.04</v>
      </c>
      <c r="AF726" s="5">
        <f>X726</f>
        <v>9.6259999999999998E-2</v>
      </c>
      <c r="AG726" s="5">
        <f>Y726</f>
        <v>0</v>
      </c>
      <c r="AH726" s="5">
        <f>IF(OR(G726="C",G726="S",G726="U"),1,0)</f>
        <v>1</v>
      </c>
      <c r="AI726" s="5">
        <f>IF(ISNUMBER(H726),1,0)</f>
        <v>1</v>
      </c>
      <c r="AJ726" s="5">
        <f>IF(ISNUMBER(P726),1,0)</f>
        <v>0</v>
      </c>
      <c r="AK726" s="5">
        <f>IF(AI726=1,IF(J726&gt;0,1,0),"")</f>
        <v>0</v>
      </c>
      <c r="AL726" s="5" t="str">
        <f>IF(AJ726=1,IF(OR(Q726&gt;0,R726&gt;0),1,0),"")</f>
        <v/>
      </c>
    </row>
    <row r="727" spans="1:38">
      <c r="A727">
        <v>480924</v>
      </c>
      <c r="B727" t="s">
        <v>614</v>
      </c>
      <c r="C727" t="s">
        <v>23</v>
      </c>
      <c r="D727" t="s">
        <v>24</v>
      </c>
      <c r="E727">
        <v>549</v>
      </c>
      <c r="F727">
        <v>8682793</v>
      </c>
      <c r="H727">
        <v>3</v>
      </c>
      <c r="I727">
        <v>2</v>
      </c>
      <c r="J727">
        <v>0</v>
      </c>
      <c r="K727">
        <v>0</v>
      </c>
      <c r="L727">
        <v>0</v>
      </c>
      <c r="M727" t="s">
        <v>26</v>
      </c>
      <c r="N727">
        <v>0</v>
      </c>
      <c r="O727">
        <v>0</v>
      </c>
      <c r="P727" t="s">
        <v>26</v>
      </c>
      <c r="Q727" t="s">
        <v>26</v>
      </c>
      <c r="R727" t="s">
        <v>26</v>
      </c>
      <c r="S727" t="s">
        <v>26</v>
      </c>
      <c r="T727" t="s">
        <v>26</v>
      </c>
      <c r="U727" t="s">
        <v>26</v>
      </c>
      <c r="V727">
        <v>0</v>
      </c>
      <c r="W727">
        <f>E727/100</f>
        <v>5.49</v>
      </c>
      <c r="X727">
        <f>F727/1000000</f>
        <v>8.6827930000000002</v>
      </c>
      <c r="Y727">
        <f>IF(D727="C",1,0)</f>
        <v>0</v>
      </c>
      <c r="Z727">
        <f>IF(G727="C",1,0)</f>
        <v>0</v>
      </c>
      <c r="AA727">
        <f>IF(G727="S",1,0)</f>
        <v>0</v>
      </c>
      <c r="AB727">
        <f>IF(G727="U",1,0)</f>
        <v>0</v>
      </c>
      <c r="AC727" s="5">
        <f>IF(AND(ISNUMBER(H727),NOT(ISNUMBER(P727))),1,0)</f>
        <v>1</v>
      </c>
      <c r="AD727" s="5">
        <f>IF(AND(ISNUMBER(H727),ISNUMBER(P727)),1,0)</f>
        <v>0</v>
      </c>
      <c r="AE727" s="5">
        <f>W727</f>
        <v>5.49</v>
      </c>
      <c r="AF727" s="5">
        <f>X727</f>
        <v>8.6827930000000002</v>
      </c>
      <c r="AG727" s="5">
        <f>Y727</f>
        <v>0</v>
      </c>
      <c r="AH727" s="5">
        <f>IF(OR(G727="C",G727="S",G727="U"),1,0)</f>
        <v>0</v>
      </c>
      <c r="AI727" s="5">
        <f>IF(ISNUMBER(H727),1,0)</f>
        <v>1</v>
      </c>
      <c r="AJ727" s="5">
        <f>IF(ISNUMBER(P727),1,0)</f>
        <v>0</v>
      </c>
      <c r="AK727" s="5">
        <f>IF(AI727=1,IF(J727&gt;0,1,0),"")</f>
        <v>0</v>
      </c>
      <c r="AL727" s="5" t="str">
        <f>IF(AJ727=1,IF(OR(Q727&gt;0,R727&gt;0),1,0),"")</f>
        <v/>
      </c>
    </row>
    <row r="728" spans="1:38">
      <c r="A728">
        <v>485758</v>
      </c>
      <c r="B728" t="s">
        <v>615</v>
      </c>
      <c r="C728" t="s">
        <v>23</v>
      </c>
      <c r="D728" t="s">
        <v>33</v>
      </c>
      <c r="E728">
        <v>8</v>
      </c>
      <c r="F728">
        <v>100000</v>
      </c>
      <c r="H728">
        <v>1</v>
      </c>
      <c r="I728">
        <v>2</v>
      </c>
      <c r="J728">
        <v>2</v>
      </c>
      <c r="K728">
        <v>1</v>
      </c>
      <c r="L728">
        <v>1</v>
      </c>
      <c r="M728">
        <v>1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  <c r="S728" t="s">
        <v>26</v>
      </c>
      <c r="T728" t="s">
        <v>26</v>
      </c>
      <c r="U728" t="s">
        <v>26</v>
      </c>
      <c r="V728">
        <v>1</v>
      </c>
      <c r="W728">
        <f>E728/100</f>
        <v>0.08</v>
      </c>
      <c r="X728">
        <f>F728/1000000</f>
        <v>0.1</v>
      </c>
      <c r="Y728">
        <f>IF(D728="C",1,0)</f>
        <v>1</v>
      </c>
      <c r="Z728">
        <f>IF(G728="C",1,0)</f>
        <v>0</v>
      </c>
      <c r="AA728">
        <f>IF(G728="S",1,0)</f>
        <v>0</v>
      </c>
      <c r="AB728">
        <f>IF(G728="U",1,0)</f>
        <v>0</v>
      </c>
      <c r="AC728" s="5">
        <f>IF(AND(ISNUMBER(H728),NOT(ISNUMBER(P728))),1,0)</f>
        <v>1</v>
      </c>
      <c r="AD728" s="5">
        <f>IF(AND(ISNUMBER(H728),ISNUMBER(P728)),1,0)</f>
        <v>0</v>
      </c>
      <c r="AE728" s="5">
        <f>W728</f>
        <v>0.08</v>
      </c>
      <c r="AF728" s="5">
        <f>X728</f>
        <v>0.1</v>
      </c>
      <c r="AG728" s="5">
        <f>Y728</f>
        <v>1</v>
      </c>
      <c r="AH728" s="5">
        <f>IF(OR(G728="C",G728="S",G728="U"),1,0)</f>
        <v>0</v>
      </c>
      <c r="AI728" s="5">
        <f>IF(ISNUMBER(H728),1,0)</f>
        <v>1</v>
      </c>
      <c r="AJ728" s="5">
        <f>IF(ISNUMBER(P728),1,0)</f>
        <v>0</v>
      </c>
      <c r="AK728" s="5">
        <f>IF(AI728=1,IF(J728&gt;0,1,0),"")</f>
        <v>1</v>
      </c>
      <c r="AL728" s="5" t="str">
        <f>IF(AJ728=1,IF(OR(Q728&gt;0,R728&gt;0),1,0),"")</f>
        <v/>
      </c>
    </row>
    <row r="729" spans="1:38">
      <c r="A729">
        <v>494346</v>
      </c>
      <c r="B729" t="s">
        <v>621</v>
      </c>
      <c r="C729" t="s">
        <v>23</v>
      </c>
      <c r="D729" t="s">
        <v>24</v>
      </c>
      <c r="E729">
        <v>90</v>
      </c>
      <c r="F729">
        <v>66857</v>
      </c>
      <c r="H729">
        <v>1</v>
      </c>
      <c r="I729">
        <v>2</v>
      </c>
      <c r="J729">
        <v>0</v>
      </c>
      <c r="K729">
        <v>0</v>
      </c>
      <c r="L729">
        <v>0</v>
      </c>
      <c r="M729">
        <v>0</v>
      </c>
      <c r="N729">
        <v>0</v>
      </c>
      <c r="O729" t="s">
        <v>26</v>
      </c>
      <c r="P729" t="s">
        <v>26</v>
      </c>
      <c r="Q729" t="s">
        <v>26</v>
      </c>
      <c r="R729" t="s">
        <v>26</v>
      </c>
      <c r="S729" t="s">
        <v>26</v>
      </c>
      <c r="T729" t="s">
        <v>26</v>
      </c>
      <c r="U729" t="s">
        <v>26</v>
      </c>
      <c r="V729">
        <v>0</v>
      </c>
      <c r="W729">
        <f>E729/100</f>
        <v>0.9</v>
      </c>
      <c r="X729">
        <f>F729/1000000</f>
        <v>6.6857E-2</v>
      </c>
      <c r="Y729">
        <f>IF(D729="C",1,0)</f>
        <v>0</v>
      </c>
      <c r="Z729">
        <f>IF(G729="C",1,0)</f>
        <v>0</v>
      </c>
      <c r="AA729">
        <f>IF(G729="S",1,0)</f>
        <v>0</v>
      </c>
      <c r="AB729">
        <f>IF(G729="U",1,0)</f>
        <v>0</v>
      </c>
      <c r="AC729" s="5">
        <f>IF(AND(ISNUMBER(H729),NOT(ISNUMBER(P729))),1,0)</f>
        <v>1</v>
      </c>
      <c r="AD729" s="5">
        <f>IF(AND(ISNUMBER(H729),ISNUMBER(P729)),1,0)</f>
        <v>0</v>
      </c>
      <c r="AE729" s="5">
        <f>W729</f>
        <v>0.9</v>
      </c>
      <c r="AF729" s="5">
        <f>X729</f>
        <v>6.6857E-2</v>
      </c>
      <c r="AG729" s="5">
        <f>Y729</f>
        <v>0</v>
      </c>
      <c r="AH729" s="5">
        <f>IF(OR(G729="C",G729="S",G729="U"),1,0)</f>
        <v>0</v>
      </c>
      <c r="AI729" s="5">
        <f>IF(ISNUMBER(H729),1,0)</f>
        <v>1</v>
      </c>
      <c r="AJ729" s="5">
        <f>IF(ISNUMBER(P729),1,0)</f>
        <v>0</v>
      </c>
      <c r="AK729" s="5">
        <f>IF(AI729=1,IF(J729&gt;0,1,0),"")</f>
        <v>0</v>
      </c>
      <c r="AL729" s="5" t="str">
        <f>IF(AJ729=1,IF(OR(Q729&gt;0,R729&gt;0),1,0),"")</f>
        <v/>
      </c>
    </row>
    <row r="730" spans="1:38">
      <c r="A730">
        <v>505053</v>
      </c>
      <c r="B730" t="s">
        <v>629</v>
      </c>
      <c r="C730" t="s">
        <v>40</v>
      </c>
      <c r="D730" t="s">
        <v>24</v>
      </c>
      <c r="E730">
        <v>14</v>
      </c>
      <c r="F730">
        <v>60449</v>
      </c>
      <c r="H730">
        <v>1</v>
      </c>
      <c r="I730">
        <v>4</v>
      </c>
      <c r="J730">
        <v>0</v>
      </c>
      <c r="K730">
        <v>0</v>
      </c>
      <c r="L730">
        <v>0</v>
      </c>
      <c r="M730">
        <v>0</v>
      </c>
      <c r="N730">
        <v>0</v>
      </c>
      <c r="O730" t="s">
        <v>26</v>
      </c>
      <c r="P730" t="s">
        <v>26</v>
      </c>
      <c r="Q730" t="s">
        <v>26</v>
      </c>
      <c r="R730" t="s">
        <v>26</v>
      </c>
      <c r="S730" t="s">
        <v>26</v>
      </c>
      <c r="T730" t="s">
        <v>26</v>
      </c>
      <c r="U730" t="s">
        <v>26</v>
      </c>
      <c r="V730">
        <v>0</v>
      </c>
      <c r="W730">
        <f>E730/100</f>
        <v>0.14000000000000001</v>
      </c>
      <c r="X730">
        <f>F730/1000000</f>
        <v>6.0449000000000003E-2</v>
      </c>
      <c r="Y730">
        <f>IF(D730="C",1,0)</f>
        <v>0</v>
      </c>
      <c r="Z730">
        <f>IF(G730="C",1,0)</f>
        <v>0</v>
      </c>
      <c r="AA730">
        <f>IF(G730="S",1,0)</f>
        <v>0</v>
      </c>
      <c r="AB730">
        <f>IF(G730="U",1,0)</f>
        <v>0</v>
      </c>
      <c r="AC730" s="5">
        <f>IF(AND(ISNUMBER(H730),NOT(ISNUMBER(P730))),1,0)</f>
        <v>1</v>
      </c>
      <c r="AD730" s="5">
        <f>IF(AND(ISNUMBER(H730),ISNUMBER(P730)),1,0)</f>
        <v>0</v>
      </c>
      <c r="AE730" s="5">
        <f>W730</f>
        <v>0.14000000000000001</v>
      </c>
      <c r="AF730" s="5">
        <f>X730</f>
        <v>6.0449000000000003E-2</v>
      </c>
      <c r="AG730" s="5">
        <f>Y730</f>
        <v>0</v>
      </c>
      <c r="AH730" s="5">
        <f>IF(OR(G730="C",G730="S",G730="U"),1,0)</f>
        <v>0</v>
      </c>
      <c r="AI730" s="5">
        <f>IF(ISNUMBER(H730),1,0)</f>
        <v>1</v>
      </c>
      <c r="AJ730" s="5">
        <f>IF(ISNUMBER(P730),1,0)</f>
        <v>0</v>
      </c>
      <c r="AK730" s="5">
        <f>IF(AI730=1,IF(J730&gt;0,1,0),"")</f>
        <v>0</v>
      </c>
      <c r="AL730" s="5" t="str">
        <f>IF(AJ730=1,IF(OR(Q730&gt;0,R730&gt;0),1,0),"")</f>
        <v/>
      </c>
    </row>
    <row r="731" spans="1:38">
      <c r="A731">
        <v>510595</v>
      </c>
      <c r="B731" t="s">
        <v>634</v>
      </c>
      <c r="C731" t="s">
        <v>190</v>
      </c>
      <c r="D731" t="s">
        <v>24</v>
      </c>
      <c r="E731">
        <v>19</v>
      </c>
      <c r="F731">
        <v>2728018</v>
      </c>
      <c r="G731" t="s">
        <v>25</v>
      </c>
      <c r="H731">
        <v>1</v>
      </c>
      <c r="I731">
        <v>0</v>
      </c>
      <c r="J731">
        <v>0</v>
      </c>
      <c r="K731">
        <v>0</v>
      </c>
      <c r="L731" t="s">
        <v>26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  <c r="S731" t="s">
        <v>26</v>
      </c>
      <c r="T731" t="s">
        <v>26</v>
      </c>
      <c r="U731" t="s">
        <v>26</v>
      </c>
      <c r="V731">
        <v>0</v>
      </c>
      <c r="W731">
        <f>E731/100</f>
        <v>0.19</v>
      </c>
      <c r="X731">
        <f>F731/1000000</f>
        <v>2.7280180000000001</v>
      </c>
      <c r="Y731">
        <f>IF(D731="C",1,0)</f>
        <v>0</v>
      </c>
      <c r="Z731">
        <f>IF(G731="C",1,0)</f>
        <v>0</v>
      </c>
      <c r="AA731">
        <f>IF(G731="S",1,0)</f>
        <v>1</v>
      </c>
      <c r="AB731">
        <f>IF(G731="U",1,0)</f>
        <v>0</v>
      </c>
      <c r="AC731" s="5">
        <f>IF(AND(ISNUMBER(H731),NOT(ISNUMBER(P731))),1,0)</f>
        <v>1</v>
      </c>
      <c r="AD731" s="5">
        <f>IF(AND(ISNUMBER(H731),ISNUMBER(P731)),1,0)</f>
        <v>0</v>
      </c>
      <c r="AE731" s="5">
        <f>W731</f>
        <v>0.19</v>
      </c>
      <c r="AF731" s="5">
        <f>X731</f>
        <v>2.7280180000000001</v>
      </c>
      <c r="AG731" s="5">
        <f>Y731</f>
        <v>0</v>
      </c>
      <c r="AH731" s="5">
        <f>IF(OR(G731="C",G731="S",G731="U"),1,0)</f>
        <v>1</v>
      </c>
      <c r="AI731" s="5">
        <f>IF(ISNUMBER(H731),1,0)</f>
        <v>1</v>
      </c>
      <c r="AJ731" s="5">
        <f>IF(ISNUMBER(P731),1,0)</f>
        <v>0</v>
      </c>
      <c r="AK731" s="5">
        <f>IF(AI731=1,IF(J731&gt;0,1,0),"")</f>
        <v>0</v>
      </c>
      <c r="AL731" s="5" t="str">
        <f>IF(AJ731=1,IF(OR(Q731&gt;0,R731&gt;0),1,0),"")</f>
        <v/>
      </c>
    </row>
    <row r="732" spans="1:38">
      <c r="A732">
        <v>515617</v>
      </c>
      <c r="B732" t="s">
        <v>636</v>
      </c>
      <c r="C732" t="s">
        <v>23</v>
      </c>
      <c r="D732" t="s">
        <v>33</v>
      </c>
      <c r="E732">
        <v>1</v>
      </c>
      <c r="F732">
        <v>100000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  <c r="S732" t="s">
        <v>26</v>
      </c>
      <c r="T732" t="s">
        <v>26</v>
      </c>
      <c r="U732" t="s">
        <v>26</v>
      </c>
      <c r="V732">
        <v>0</v>
      </c>
      <c r="W732">
        <f>E732/100</f>
        <v>0.01</v>
      </c>
      <c r="X732">
        <f>F732/1000000</f>
        <v>0.1</v>
      </c>
      <c r="Y732">
        <f>IF(D732="C",1,0)</f>
        <v>1</v>
      </c>
      <c r="Z732">
        <f>IF(G732="C",1,0)</f>
        <v>0</v>
      </c>
      <c r="AA732">
        <f>IF(G732="S",1,0)</f>
        <v>0</v>
      </c>
      <c r="AB732">
        <f>IF(G732="U",1,0)</f>
        <v>0</v>
      </c>
      <c r="AC732" s="5">
        <f>IF(AND(ISNUMBER(H732),NOT(ISNUMBER(P732))),1,0)</f>
        <v>1</v>
      </c>
      <c r="AD732" s="5">
        <f>IF(AND(ISNUMBER(H732),ISNUMBER(P732)),1,0)</f>
        <v>0</v>
      </c>
      <c r="AE732" s="5">
        <f>W732</f>
        <v>0.01</v>
      </c>
      <c r="AF732" s="5">
        <f>X732</f>
        <v>0.1</v>
      </c>
      <c r="AG732" s="5">
        <f>Y732</f>
        <v>1</v>
      </c>
      <c r="AH732" s="5">
        <f>IF(OR(G732="C",G732="S",G732="U"),1,0)</f>
        <v>0</v>
      </c>
      <c r="AI732" s="5">
        <f>IF(ISNUMBER(H732),1,0)</f>
        <v>1</v>
      </c>
      <c r="AJ732" s="5">
        <f>IF(ISNUMBER(P732),1,0)</f>
        <v>0</v>
      </c>
      <c r="AK732" s="5">
        <f>IF(AI732=1,IF(J732&gt;0,1,0),"")</f>
        <v>0</v>
      </c>
      <c r="AL732" s="5" t="str">
        <f>IF(AJ732=1,IF(OR(Q732&gt;0,R732&gt;0),1,0),"")</f>
        <v/>
      </c>
    </row>
    <row r="733" spans="1:38">
      <c r="A733">
        <v>516013</v>
      </c>
      <c r="B733" t="s">
        <v>637</v>
      </c>
      <c r="C733" t="s">
        <v>23</v>
      </c>
      <c r="D733" t="s">
        <v>24</v>
      </c>
      <c r="E733">
        <v>317</v>
      </c>
      <c r="F733">
        <v>4595000</v>
      </c>
      <c r="H733">
        <v>2</v>
      </c>
      <c r="I733">
        <v>1</v>
      </c>
      <c r="J733">
        <v>0</v>
      </c>
      <c r="K733">
        <v>0</v>
      </c>
      <c r="L733">
        <v>0</v>
      </c>
      <c r="M733" t="s">
        <v>26</v>
      </c>
      <c r="N733">
        <v>0</v>
      </c>
      <c r="O733" t="s">
        <v>26</v>
      </c>
      <c r="P733" t="s">
        <v>26</v>
      </c>
      <c r="Q733" t="s">
        <v>26</v>
      </c>
      <c r="R733" t="s">
        <v>26</v>
      </c>
      <c r="S733" t="s">
        <v>26</v>
      </c>
      <c r="T733" t="s">
        <v>26</v>
      </c>
      <c r="U733" t="s">
        <v>26</v>
      </c>
      <c r="V733">
        <v>0</v>
      </c>
      <c r="W733">
        <f>E733/100</f>
        <v>3.17</v>
      </c>
      <c r="X733">
        <f>F733/1000000</f>
        <v>4.5949999999999998</v>
      </c>
      <c r="Y733">
        <f>IF(D733="C",1,0)</f>
        <v>0</v>
      </c>
      <c r="Z733">
        <f>IF(G733="C",1,0)</f>
        <v>0</v>
      </c>
      <c r="AA733">
        <f>IF(G733="S",1,0)</f>
        <v>0</v>
      </c>
      <c r="AB733">
        <f>IF(G733="U",1,0)</f>
        <v>0</v>
      </c>
      <c r="AC733" s="5">
        <f>IF(AND(ISNUMBER(H733),NOT(ISNUMBER(P733))),1,0)</f>
        <v>1</v>
      </c>
      <c r="AD733" s="5">
        <f>IF(AND(ISNUMBER(H733),ISNUMBER(P733)),1,0)</f>
        <v>0</v>
      </c>
      <c r="AE733" s="5">
        <f>W733</f>
        <v>3.17</v>
      </c>
      <c r="AF733" s="5">
        <f>X733</f>
        <v>4.5949999999999998</v>
      </c>
      <c r="AG733" s="5">
        <f>Y733</f>
        <v>0</v>
      </c>
      <c r="AH733" s="5">
        <f>IF(OR(G733="C",G733="S",G733="U"),1,0)</f>
        <v>0</v>
      </c>
      <c r="AI733" s="5">
        <f>IF(ISNUMBER(H733),1,0)</f>
        <v>1</v>
      </c>
      <c r="AJ733" s="5">
        <f>IF(ISNUMBER(P733),1,0)</f>
        <v>0</v>
      </c>
      <c r="AK733" s="5">
        <f>IF(AI733=1,IF(J733&gt;0,1,0),"")</f>
        <v>0</v>
      </c>
      <c r="AL733" s="5" t="str">
        <f>IF(AJ733=1,IF(OR(Q733&gt;0,R733&gt;0),1,0),"")</f>
        <v/>
      </c>
    </row>
    <row r="734" spans="1:38">
      <c r="A734">
        <v>516793</v>
      </c>
      <c r="B734" t="s">
        <v>638</v>
      </c>
      <c r="C734" t="s">
        <v>23</v>
      </c>
      <c r="D734" t="s">
        <v>33</v>
      </c>
      <c r="E734">
        <v>9</v>
      </c>
      <c r="F734">
        <v>40000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  <c r="S734" t="s">
        <v>26</v>
      </c>
      <c r="T734" t="s">
        <v>26</v>
      </c>
      <c r="U734" t="s">
        <v>26</v>
      </c>
      <c r="V734">
        <v>0</v>
      </c>
      <c r="W734">
        <f>E734/100</f>
        <v>0.09</v>
      </c>
      <c r="X734">
        <f>F734/1000000</f>
        <v>0.04</v>
      </c>
      <c r="Y734">
        <f>IF(D734="C",1,0)</f>
        <v>1</v>
      </c>
      <c r="Z734">
        <f>IF(G734="C",1,0)</f>
        <v>0</v>
      </c>
      <c r="AA734">
        <f>IF(G734="S",1,0)</f>
        <v>0</v>
      </c>
      <c r="AB734">
        <f>IF(G734="U",1,0)</f>
        <v>0</v>
      </c>
      <c r="AC734" s="5">
        <f>IF(AND(ISNUMBER(H734),NOT(ISNUMBER(P734))),1,0)</f>
        <v>1</v>
      </c>
      <c r="AD734" s="5">
        <f>IF(AND(ISNUMBER(H734),ISNUMBER(P734)),1,0)</f>
        <v>0</v>
      </c>
      <c r="AE734" s="5">
        <f>W734</f>
        <v>0.09</v>
      </c>
      <c r="AF734" s="5">
        <f>X734</f>
        <v>0.04</v>
      </c>
      <c r="AG734" s="5">
        <f>Y734</f>
        <v>1</v>
      </c>
      <c r="AH734" s="5">
        <f>IF(OR(G734="C",G734="S",G734="U"),1,0)</f>
        <v>0</v>
      </c>
      <c r="AI734" s="5">
        <f>IF(ISNUMBER(H734),1,0)</f>
        <v>1</v>
      </c>
      <c r="AJ734" s="5">
        <f>IF(ISNUMBER(P734),1,0)</f>
        <v>0</v>
      </c>
      <c r="AK734" s="5">
        <f>IF(AI734=1,IF(J734&gt;0,1,0),"")</f>
        <v>0</v>
      </c>
      <c r="AL734" s="5" t="str">
        <f>IF(AJ734=1,IF(OR(Q734&gt;0,R734&gt;0),1,0),"")</f>
        <v/>
      </c>
    </row>
    <row r="735" spans="1:38">
      <c r="A735">
        <v>523401</v>
      </c>
      <c r="B735" t="s">
        <v>647</v>
      </c>
      <c r="C735" t="s">
        <v>42</v>
      </c>
      <c r="D735" t="s">
        <v>24</v>
      </c>
      <c r="E735">
        <v>42</v>
      </c>
      <c r="F735">
        <v>2087051</v>
      </c>
      <c r="G735" t="s">
        <v>25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  <c r="S735" t="s">
        <v>26</v>
      </c>
      <c r="T735" t="s">
        <v>26</v>
      </c>
      <c r="U735" t="s">
        <v>26</v>
      </c>
      <c r="V735">
        <v>0</v>
      </c>
      <c r="W735">
        <f>E735/100</f>
        <v>0.42</v>
      </c>
      <c r="X735">
        <f>F735/1000000</f>
        <v>2.0870510000000002</v>
      </c>
      <c r="Y735">
        <f>IF(D735="C",1,0)</f>
        <v>0</v>
      </c>
      <c r="Z735">
        <f>IF(G735="C",1,0)</f>
        <v>0</v>
      </c>
      <c r="AA735">
        <f>IF(G735="S",1,0)</f>
        <v>1</v>
      </c>
      <c r="AB735">
        <f>IF(G735="U",1,0)</f>
        <v>0</v>
      </c>
      <c r="AC735" s="5">
        <f>IF(AND(ISNUMBER(H735),NOT(ISNUMBER(P735))),1,0)</f>
        <v>1</v>
      </c>
      <c r="AD735" s="5">
        <f>IF(AND(ISNUMBER(H735),ISNUMBER(P735)),1,0)</f>
        <v>0</v>
      </c>
      <c r="AE735" s="5">
        <f>W735</f>
        <v>0.42</v>
      </c>
      <c r="AF735" s="5">
        <f>X735</f>
        <v>2.0870510000000002</v>
      </c>
      <c r="AG735" s="5">
        <f>Y735</f>
        <v>0</v>
      </c>
      <c r="AH735" s="5">
        <f>IF(OR(G735="C",G735="S",G735="U"),1,0)</f>
        <v>1</v>
      </c>
      <c r="AI735" s="5">
        <f>IF(ISNUMBER(H735),1,0)</f>
        <v>1</v>
      </c>
      <c r="AJ735" s="5">
        <f>IF(ISNUMBER(P735),1,0)</f>
        <v>0</v>
      </c>
      <c r="AK735" s="5">
        <f>IF(AI735=1,IF(J735&gt;0,1,0),"")</f>
        <v>0</v>
      </c>
      <c r="AL735" s="5" t="str">
        <f>IF(AJ735=1,IF(OR(Q735&gt;0,R735&gt;0),1,0),"")</f>
        <v/>
      </c>
    </row>
    <row r="736" spans="1:38">
      <c r="A736">
        <v>526210</v>
      </c>
      <c r="B736" t="s">
        <v>653</v>
      </c>
      <c r="C736" t="s">
        <v>37</v>
      </c>
      <c r="D736" t="s">
        <v>24</v>
      </c>
      <c r="E736">
        <v>195</v>
      </c>
      <c r="F736">
        <v>8150857</v>
      </c>
      <c r="H736">
        <v>1</v>
      </c>
      <c r="I736">
        <v>1</v>
      </c>
      <c r="J736">
        <v>0</v>
      </c>
      <c r="K736">
        <v>0</v>
      </c>
      <c r="L736">
        <v>0</v>
      </c>
      <c r="M736" t="s">
        <v>26</v>
      </c>
      <c r="N736">
        <v>0</v>
      </c>
      <c r="O736" t="s">
        <v>26</v>
      </c>
      <c r="P736" t="s">
        <v>26</v>
      </c>
      <c r="Q736" t="s">
        <v>26</v>
      </c>
      <c r="R736" t="s">
        <v>26</v>
      </c>
      <c r="S736" t="s">
        <v>26</v>
      </c>
      <c r="T736" t="s">
        <v>26</v>
      </c>
      <c r="U736" t="s">
        <v>26</v>
      </c>
      <c r="V736">
        <v>0</v>
      </c>
      <c r="W736">
        <f>E736/100</f>
        <v>1.95</v>
      </c>
      <c r="X736">
        <f>F736/1000000</f>
        <v>8.1508570000000002</v>
      </c>
      <c r="Y736">
        <f>IF(D736="C",1,0)</f>
        <v>0</v>
      </c>
      <c r="Z736">
        <f>IF(G736="C",1,0)</f>
        <v>0</v>
      </c>
      <c r="AA736">
        <f>IF(G736="S",1,0)</f>
        <v>0</v>
      </c>
      <c r="AB736">
        <f>IF(G736="U",1,0)</f>
        <v>0</v>
      </c>
      <c r="AC736" s="5">
        <f>IF(AND(ISNUMBER(H736),NOT(ISNUMBER(P736))),1,0)</f>
        <v>1</v>
      </c>
      <c r="AD736" s="5">
        <f>IF(AND(ISNUMBER(H736),ISNUMBER(P736)),1,0)</f>
        <v>0</v>
      </c>
      <c r="AE736" s="5">
        <f>W736</f>
        <v>1.95</v>
      </c>
      <c r="AF736" s="5">
        <f>X736</f>
        <v>8.1508570000000002</v>
      </c>
      <c r="AG736" s="5">
        <f>Y736</f>
        <v>0</v>
      </c>
      <c r="AH736" s="5">
        <f>IF(OR(G736="C",G736="S",G736="U"),1,0)</f>
        <v>0</v>
      </c>
      <c r="AI736" s="5">
        <f>IF(ISNUMBER(H736),1,0)</f>
        <v>1</v>
      </c>
      <c r="AJ736" s="5">
        <f>IF(ISNUMBER(P736),1,0)</f>
        <v>0</v>
      </c>
      <c r="AK736" s="5">
        <f>IF(AI736=1,IF(J736&gt;0,1,0),"")</f>
        <v>0</v>
      </c>
      <c r="AL736" s="5" t="str">
        <f>IF(AJ736=1,IF(OR(Q736&gt;0,R736&gt;0),1,0),"")</f>
        <v/>
      </c>
    </row>
    <row r="737" spans="1:38">
      <c r="A737">
        <v>544753</v>
      </c>
      <c r="B737" t="s">
        <v>668</v>
      </c>
      <c r="C737" t="s">
        <v>23</v>
      </c>
      <c r="D737" t="s">
        <v>24</v>
      </c>
      <c r="E737">
        <v>97</v>
      </c>
      <c r="F737">
        <v>44000</v>
      </c>
      <c r="H737">
        <v>1</v>
      </c>
      <c r="I737">
        <v>0</v>
      </c>
      <c r="J737">
        <v>0</v>
      </c>
      <c r="K737">
        <v>0</v>
      </c>
      <c r="L737" t="s">
        <v>26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  <c r="S737" t="s">
        <v>26</v>
      </c>
      <c r="T737" t="s">
        <v>26</v>
      </c>
      <c r="U737" t="s">
        <v>26</v>
      </c>
      <c r="V737">
        <v>0</v>
      </c>
      <c r="W737">
        <f>E737/100</f>
        <v>0.97</v>
      </c>
      <c r="X737">
        <f>F737/1000000</f>
        <v>4.3999999999999997E-2</v>
      </c>
      <c r="Y737">
        <f>IF(D737="C",1,0)</f>
        <v>0</v>
      </c>
      <c r="Z737">
        <f>IF(G737="C",1,0)</f>
        <v>0</v>
      </c>
      <c r="AA737">
        <f>IF(G737="S",1,0)</f>
        <v>0</v>
      </c>
      <c r="AB737">
        <f>IF(G737="U",1,0)</f>
        <v>0</v>
      </c>
      <c r="AC737" s="5">
        <f>IF(AND(ISNUMBER(H737),NOT(ISNUMBER(P737))),1,0)</f>
        <v>1</v>
      </c>
      <c r="AD737" s="5">
        <f>IF(AND(ISNUMBER(H737),ISNUMBER(P737)),1,0)</f>
        <v>0</v>
      </c>
      <c r="AE737" s="5">
        <f>W737</f>
        <v>0.97</v>
      </c>
      <c r="AF737" s="5">
        <f>X737</f>
        <v>4.3999999999999997E-2</v>
      </c>
      <c r="AG737" s="5">
        <f>Y737</f>
        <v>0</v>
      </c>
      <c r="AH737" s="5">
        <f>IF(OR(G737="C",G737="S",G737="U"),1,0)</f>
        <v>0</v>
      </c>
      <c r="AI737" s="5">
        <f>IF(ISNUMBER(H737),1,0)</f>
        <v>1</v>
      </c>
      <c r="AJ737" s="5">
        <f>IF(ISNUMBER(P737),1,0)</f>
        <v>0</v>
      </c>
      <c r="AK737" s="5">
        <f>IF(AI737=1,IF(J737&gt;0,1,0),"")</f>
        <v>0</v>
      </c>
      <c r="AL737" s="5" t="str">
        <f>IF(AJ737=1,IF(OR(Q737&gt;0,R737&gt;0),1,0),"")</f>
        <v/>
      </c>
    </row>
    <row r="738" spans="1:38">
      <c r="A738">
        <v>545490</v>
      </c>
      <c r="B738" t="s">
        <v>669</v>
      </c>
      <c r="C738" t="s">
        <v>23</v>
      </c>
      <c r="D738" t="s">
        <v>33</v>
      </c>
      <c r="E738">
        <v>14</v>
      </c>
      <c r="F738">
        <v>461515</v>
      </c>
      <c r="H738">
        <v>1</v>
      </c>
      <c r="I738">
        <v>0</v>
      </c>
      <c r="J738">
        <v>0</v>
      </c>
      <c r="K738">
        <v>0</v>
      </c>
      <c r="L738" t="s">
        <v>26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  <c r="S738" t="s">
        <v>26</v>
      </c>
      <c r="T738" t="s">
        <v>26</v>
      </c>
      <c r="U738" t="s">
        <v>26</v>
      </c>
      <c r="V738">
        <v>0</v>
      </c>
      <c r="W738">
        <f>E738/100</f>
        <v>0.14000000000000001</v>
      </c>
      <c r="X738">
        <f>F738/1000000</f>
        <v>0.46151500000000001</v>
      </c>
      <c r="Y738">
        <f>IF(D738="C",1,0)</f>
        <v>1</v>
      </c>
      <c r="Z738">
        <f>IF(G738="C",1,0)</f>
        <v>0</v>
      </c>
      <c r="AA738">
        <f>IF(G738="S",1,0)</f>
        <v>0</v>
      </c>
      <c r="AB738">
        <f>IF(G738="U",1,0)</f>
        <v>0</v>
      </c>
      <c r="AC738" s="5">
        <f>IF(AND(ISNUMBER(H738),NOT(ISNUMBER(P738))),1,0)</f>
        <v>1</v>
      </c>
      <c r="AD738" s="5">
        <f>IF(AND(ISNUMBER(H738),ISNUMBER(P738)),1,0)</f>
        <v>0</v>
      </c>
      <c r="AE738" s="5">
        <f>W738</f>
        <v>0.14000000000000001</v>
      </c>
      <c r="AF738" s="5">
        <f>X738</f>
        <v>0.46151500000000001</v>
      </c>
      <c r="AG738" s="5">
        <f>Y738</f>
        <v>1</v>
      </c>
      <c r="AH738" s="5">
        <f>IF(OR(G738="C",G738="S",G738="U"),1,0)</f>
        <v>0</v>
      </c>
      <c r="AI738" s="5">
        <f>IF(ISNUMBER(H738),1,0)</f>
        <v>1</v>
      </c>
      <c r="AJ738" s="5">
        <f>IF(ISNUMBER(P738),1,0)</f>
        <v>0</v>
      </c>
      <c r="AK738" s="5">
        <f>IF(AI738=1,IF(J738&gt;0,1,0),"")</f>
        <v>0</v>
      </c>
      <c r="AL738" s="5" t="str">
        <f>IF(AJ738=1,IF(OR(Q738&gt;0,R738&gt;0),1,0),"")</f>
        <v/>
      </c>
    </row>
    <row r="739" spans="1:38">
      <c r="A739">
        <v>550100</v>
      </c>
      <c r="B739" t="s">
        <v>671</v>
      </c>
      <c r="C739" t="s">
        <v>23</v>
      </c>
      <c r="D739" t="s">
        <v>24</v>
      </c>
      <c r="E739">
        <v>4</v>
      </c>
      <c r="F739">
        <v>100000</v>
      </c>
      <c r="H739">
        <v>1</v>
      </c>
      <c r="I739">
        <v>8</v>
      </c>
      <c r="J739">
        <v>3</v>
      </c>
      <c r="K739">
        <v>1</v>
      </c>
      <c r="L739">
        <v>0.375</v>
      </c>
      <c r="M739" t="s">
        <v>26</v>
      </c>
      <c r="N739">
        <v>0.375</v>
      </c>
      <c r="O739">
        <v>1</v>
      </c>
      <c r="P739" t="s">
        <v>26</v>
      </c>
      <c r="Q739" t="s">
        <v>26</v>
      </c>
      <c r="R739" t="s">
        <v>26</v>
      </c>
      <c r="S739" t="s">
        <v>26</v>
      </c>
      <c r="T739" t="s">
        <v>26</v>
      </c>
      <c r="U739" t="s">
        <v>26</v>
      </c>
      <c r="V739">
        <v>1</v>
      </c>
      <c r="W739">
        <f>E739/100</f>
        <v>0.04</v>
      </c>
      <c r="X739">
        <f>F739/1000000</f>
        <v>0.1</v>
      </c>
      <c r="Y739">
        <f>IF(D739="C",1,0)</f>
        <v>0</v>
      </c>
      <c r="Z739">
        <f>IF(G739="C",1,0)</f>
        <v>0</v>
      </c>
      <c r="AA739">
        <f>IF(G739="S",1,0)</f>
        <v>0</v>
      </c>
      <c r="AB739">
        <f>IF(G739="U",1,0)</f>
        <v>0</v>
      </c>
      <c r="AC739" s="5">
        <f>IF(AND(ISNUMBER(H739),NOT(ISNUMBER(P739))),1,0)</f>
        <v>1</v>
      </c>
      <c r="AD739" s="5">
        <f>IF(AND(ISNUMBER(H739),ISNUMBER(P739)),1,0)</f>
        <v>0</v>
      </c>
      <c r="AE739" s="5">
        <f>W739</f>
        <v>0.04</v>
      </c>
      <c r="AF739" s="5">
        <f>X739</f>
        <v>0.1</v>
      </c>
      <c r="AG739" s="5">
        <f>Y739</f>
        <v>0</v>
      </c>
      <c r="AH739" s="5">
        <f>IF(OR(G739="C",G739="S",G739="U"),1,0)</f>
        <v>0</v>
      </c>
      <c r="AI739" s="5">
        <f>IF(ISNUMBER(H739),1,0)</f>
        <v>1</v>
      </c>
      <c r="AJ739" s="5">
        <f>IF(ISNUMBER(P739),1,0)</f>
        <v>0</v>
      </c>
      <c r="AK739" s="5">
        <f>IF(AI739=1,IF(J739&gt;0,1,0),"")</f>
        <v>1</v>
      </c>
      <c r="AL739" s="5" t="str">
        <f>IF(AJ739=1,IF(OR(Q739&gt;0,R739&gt;0),1,0),"")</f>
        <v/>
      </c>
    </row>
    <row r="740" spans="1:38">
      <c r="A740">
        <v>587997</v>
      </c>
      <c r="B740" t="s">
        <v>697</v>
      </c>
      <c r="C740" t="s">
        <v>23</v>
      </c>
      <c r="D740" t="s">
        <v>24</v>
      </c>
      <c r="E740">
        <v>105</v>
      </c>
      <c r="F740">
        <v>9500000</v>
      </c>
      <c r="H740">
        <v>1</v>
      </c>
      <c r="I740">
        <v>2</v>
      </c>
      <c r="J740">
        <v>1</v>
      </c>
      <c r="K740">
        <v>1</v>
      </c>
      <c r="L740">
        <v>0.5</v>
      </c>
      <c r="M740">
        <v>0</v>
      </c>
      <c r="N740">
        <v>1</v>
      </c>
      <c r="O740" t="s">
        <v>26</v>
      </c>
      <c r="P740" t="s">
        <v>26</v>
      </c>
      <c r="Q740" t="s">
        <v>26</v>
      </c>
      <c r="R740" t="s">
        <v>26</v>
      </c>
      <c r="S740" t="s">
        <v>26</v>
      </c>
      <c r="T740" t="s">
        <v>26</v>
      </c>
      <c r="U740" t="s">
        <v>26</v>
      </c>
      <c r="V740">
        <v>1</v>
      </c>
      <c r="W740">
        <f>E740/100</f>
        <v>1.05</v>
      </c>
      <c r="X740">
        <f>F740/1000000</f>
        <v>9.5</v>
      </c>
      <c r="Y740">
        <f>IF(D740="C",1,0)</f>
        <v>0</v>
      </c>
      <c r="Z740">
        <f>IF(G740="C",1,0)</f>
        <v>0</v>
      </c>
      <c r="AA740">
        <f>IF(G740="S",1,0)</f>
        <v>0</v>
      </c>
      <c r="AB740">
        <f>IF(G740="U",1,0)</f>
        <v>0</v>
      </c>
      <c r="AC740" s="5">
        <f>IF(AND(ISNUMBER(H740),NOT(ISNUMBER(P740))),1,0)</f>
        <v>1</v>
      </c>
      <c r="AD740" s="5">
        <f>IF(AND(ISNUMBER(H740),ISNUMBER(P740)),1,0)</f>
        <v>0</v>
      </c>
      <c r="AE740" s="5">
        <f>W740</f>
        <v>1.05</v>
      </c>
      <c r="AF740" s="5">
        <f>X740</f>
        <v>9.5</v>
      </c>
      <c r="AG740" s="5">
        <f>Y740</f>
        <v>0</v>
      </c>
      <c r="AH740" s="5">
        <f>IF(OR(G740="C",G740="S",G740="U"),1,0)</f>
        <v>0</v>
      </c>
      <c r="AI740" s="5">
        <f>IF(ISNUMBER(H740),1,0)</f>
        <v>1</v>
      </c>
      <c r="AJ740" s="5">
        <f>IF(ISNUMBER(P740),1,0)</f>
        <v>0</v>
      </c>
      <c r="AK740" s="5">
        <f>IF(AI740=1,IF(J740&gt;0,1,0),"")</f>
        <v>1</v>
      </c>
      <c r="AL740" s="5" t="str">
        <f>IF(AJ740=1,IF(OR(Q740&gt;0,R740&gt;0),1,0),"")</f>
        <v/>
      </c>
    </row>
    <row r="741" spans="1:38">
      <c r="A741">
        <v>588348</v>
      </c>
      <c r="B741" t="s">
        <v>698</v>
      </c>
      <c r="C741" t="s">
        <v>37</v>
      </c>
      <c r="D741" t="s">
        <v>24</v>
      </c>
      <c r="E741">
        <v>22</v>
      </c>
      <c r="F741">
        <v>131176</v>
      </c>
      <c r="H741">
        <v>1</v>
      </c>
      <c r="I741">
        <v>4</v>
      </c>
      <c r="J741">
        <v>0</v>
      </c>
      <c r="K741">
        <v>0</v>
      </c>
      <c r="L741">
        <v>0</v>
      </c>
      <c r="M741" t="s">
        <v>26</v>
      </c>
      <c r="N741">
        <v>0</v>
      </c>
      <c r="O741" t="s">
        <v>26</v>
      </c>
      <c r="P741" t="s">
        <v>26</v>
      </c>
      <c r="Q741" t="s">
        <v>26</v>
      </c>
      <c r="R741" t="s">
        <v>26</v>
      </c>
      <c r="S741" t="s">
        <v>26</v>
      </c>
      <c r="T741" t="s">
        <v>26</v>
      </c>
      <c r="U741" t="s">
        <v>26</v>
      </c>
      <c r="V741">
        <v>0</v>
      </c>
      <c r="W741">
        <f>E741/100</f>
        <v>0.22</v>
      </c>
      <c r="X741">
        <f>F741/1000000</f>
        <v>0.13117599999999999</v>
      </c>
      <c r="Y741">
        <f>IF(D741="C",1,0)</f>
        <v>0</v>
      </c>
      <c r="Z741">
        <f>IF(G741="C",1,0)</f>
        <v>0</v>
      </c>
      <c r="AA741">
        <f>IF(G741="S",1,0)</f>
        <v>0</v>
      </c>
      <c r="AB741">
        <f>IF(G741="U",1,0)</f>
        <v>0</v>
      </c>
      <c r="AC741" s="5">
        <f>IF(AND(ISNUMBER(H741),NOT(ISNUMBER(P741))),1,0)</f>
        <v>1</v>
      </c>
      <c r="AD741" s="5">
        <f>IF(AND(ISNUMBER(H741),ISNUMBER(P741)),1,0)</f>
        <v>0</v>
      </c>
      <c r="AE741" s="5">
        <f>W741</f>
        <v>0.22</v>
      </c>
      <c r="AF741" s="5">
        <f>X741</f>
        <v>0.13117599999999999</v>
      </c>
      <c r="AG741" s="5">
        <f>Y741</f>
        <v>0</v>
      </c>
      <c r="AH741" s="5">
        <f>IF(OR(G741="C",G741="S",G741="U"),1,0)</f>
        <v>0</v>
      </c>
      <c r="AI741" s="5">
        <f>IF(ISNUMBER(H741),1,0)</f>
        <v>1</v>
      </c>
      <c r="AJ741" s="5">
        <f>IF(ISNUMBER(P741),1,0)</f>
        <v>0</v>
      </c>
      <c r="AK741" s="5">
        <f>IF(AI741=1,IF(J741&gt;0,1,0),"")</f>
        <v>0</v>
      </c>
      <c r="AL741" s="5" t="str">
        <f>IF(AJ741=1,IF(OR(Q741&gt;0,R741&gt;0),1,0),"")</f>
        <v/>
      </c>
    </row>
    <row r="742" spans="1:38">
      <c r="A742">
        <v>593732</v>
      </c>
      <c r="B742" t="s">
        <v>700</v>
      </c>
      <c r="C742" t="s">
        <v>23</v>
      </c>
      <c r="D742" t="s">
        <v>24</v>
      </c>
      <c r="E742">
        <v>176</v>
      </c>
      <c r="F742">
        <v>2221776</v>
      </c>
      <c r="H742">
        <v>2</v>
      </c>
      <c r="I742">
        <v>0</v>
      </c>
      <c r="J742">
        <v>0</v>
      </c>
      <c r="K742">
        <v>0</v>
      </c>
      <c r="L742" t="s">
        <v>26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  <c r="S742" t="s">
        <v>26</v>
      </c>
      <c r="T742" t="s">
        <v>26</v>
      </c>
      <c r="U742" t="s">
        <v>26</v>
      </c>
      <c r="V742">
        <v>0</v>
      </c>
      <c r="W742">
        <f>E742/100</f>
        <v>1.76</v>
      </c>
      <c r="X742">
        <f>F742/1000000</f>
        <v>2.2217760000000002</v>
      </c>
      <c r="Y742">
        <f>IF(D742="C",1,0)</f>
        <v>0</v>
      </c>
      <c r="Z742">
        <f>IF(G742="C",1,0)</f>
        <v>0</v>
      </c>
      <c r="AA742">
        <f>IF(G742="S",1,0)</f>
        <v>0</v>
      </c>
      <c r="AB742">
        <f>IF(G742="U",1,0)</f>
        <v>0</v>
      </c>
      <c r="AC742" s="5">
        <f>IF(AND(ISNUMBER(H742),NOT(ISNUMBER(P742))),1,0)</f>
        <v>1</v>
      </c>
      <c r="AD742" s="5">
        <f>IF(AND(ISNUMBER(H742),ISNUMBER(P742)),1,0)</f>
        <v>0</v>
      </c>
      <c r="AE742" s="5">
        <f>W742</f>
        <v>1.76</v>
      </c>
      <c r="AF742" s="5">
        <f>X742</f>
        <v>2.2217760000000002</v>
      </c>
      <c r="AG742" s="5">
        <f>Y742</f>
        <v>0</v>
      </c>
      <c r="AH742" s="5">
        <f>IF(OR(G742="C",G742="S",G742="U"),1,0)</f>
        <v>0</v>
      </c>
      <c r="AI742" s="5">
        <f>IF(ISNUMBER(H742),1,0)</f>
        <v>1</v>
      </c>
      <c r="AJ742" s="5">
        <f>IF(ISNUMBER(P742),1,0)</f>
        <v>0</v>
      </c>
      <c r="AK742" s="5">
        <f>IF(AI742=1,IF(J742&gt;0,1,0),"")</f>
        <v>0</v>
      </c>
      <c r="AL742" s="5" t="str">
        <f>IF(AJ742=1,IF(OR(Q742&gt;0,R742&gt;0),1,0),"")</f>
        <v/>
      </c>
    </row>
    <row r="743" spans="1:38">
      <c r="A743">
        <v>594752</v>
      </c>
      <c r="B743" t="s">
        <v>701</v>
      </c>
      <c r="C743" t="s">
        <v>23</v>
      </c>
      <c r="D743" t="s">
        <v>24</v>
      </c>
      <c r="E743">
        <v>26</v>
      </c>
      <c r="F743">
        <v>991203</v>
      </c>
      <c r="H743">
        <v>1</v>
      </c>
      <c r="I743">
        <v>0</v>
      </c>
      <c r="J743">
        <v>0</v>
      </c>
      <c r="K743">
        <v>0</v>
      </c>
      <c r="L743" t="s">
        <v>26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  <c r="S743" t="s">
        <v>26</v>
      </c>
      <c r="T743" t="s">
        <v>26</v>
      </c>
      <c r="U743" t="s">
        <v>26</v>
      </c>
      <c r="V743">
        <v>0</v>
      </c>
      <c r="W743">
        <f>E743/100</f>
        <v>0.26</v>
      </c>
      <c r="X743">
        <f>F743/1000000</f>
        <v>0.99120299999999995</v>
      </c>
      <c r="Y743">
        <f>IF(D743="C",1,0)</f>
        <v>0</v>
      </c>
      <c r="Z743">
        <f>IF(G743="C",1,0)</f>
        <v>0</v>
      </c>
      <c r="AA743">
        <f>IF(G743="S",1,0)</f>
        <v>0</v>
      </c>
      <c r="AB743">
        <f>IF(G743="U",1,0)</f>
        <v>0</v>
      </c>
      <c r="AC743" s="5">
        <f>IF(AND(ISNUMBER(H743),NOT(ISNUMBER(P743))),1,0)</f>
        <v>1</v>
      </c>
      <c r="AD743" s="5">
        <f>IF(AND(ISNUMBER(H743),ISNUMBER(P743)),1,0)</f>
        <v>0</v>
      </c>
      <c r="AE743" s="5">
        <f>W743</f>
        <v>0.26</v>
      </c>
      <c r="AF743" s="5">
        <f>X743</f>
        <v>0.99120299999999995</v>
      </c>
      <c r="AG743" s="5">
        <f>Y743</f>
        <v>0</v>
      </c>
      <c r="AH743" s="5">
        <f>IF(OR(G743="C",G743="S",G743="U"),1,0)</f>
        <v>0</v>
      </c>
      <c r="AI743" s="5">
        <f>IF(ISNUMBER(H743),1,0)</f>
        <v>1</v>
      </c>
      <c r="AJ743" s="5">
        <f>IF(ISNUMBER(P743),1,0)</f>
        <v>0</v>
      </c>
      <c r="AK743" s="5">
        <f>IF(AI743=1,IF(J743&gt;0,1,0),"")</f>
        <v>0</v>
      </c>
      <c r="AL743" s="5" t="str">
        <f>IF(AJ743=1,IF(OR(Q743&gt;0,R743&gt;0),1,0),"")</f>
        <v/>
      </c>
    </row>
    <row r="744" spans="1:38">
      <c r="A744">
        <v>597681</v>
      </c>
      <c r="B744" t="s">
        <v>704</v>
      </c>
      <c r="C744" t="s">
        <v>23</v>
      </c>
      <c r="D744" t="s">
        <v>24</v>
      </c>
      <c r="E744">
        <v>68</v>
      </c>
      <c r="F744">
        <v>2787613</v>
      </c>
      <c r="H744">
        <v>1</v>
      </c>
      <c r="I744">
        <v>2</v>
      </c>
      <c r="J744">
        <v>0</v>
      </c>
      <c r="K744">
        <v>0</v>
      </c>
      <c r="L744">
        <v>0</v>
      </c>
      <c r="M744" t="s">
        <v>26</v>
      </c>
      <c r="N744">
        <v>0</v>
      </c>
      <c r="O744" t="s">
        <v>26</v>
      </c>
      <c r="P744" t="s">
        <v>26</v>
      </c>
      <c r="Q744" t="s">
        <v>26</v>
      </c>
      <c r="R744" t="s">
        <v>26</v>
      </c>
      <c r="S744" t="s">
        <v>26</v>
      </c>
      <c r="T744" t="s">
        <v>26</v>
      </c>
      <c r="U744" t="s">
        <v>26</v>
      </c>
      <c r="V744">
        <v>0</v>
      </c>
      <c r="W744">
        <f>E744/100</f>
        <v>0.68</v>
      </c>
      <c r="X744">
        <f>F744/1000000</f>
        <v>2.7876129999999999</v>
      </c>
      <c r="Y744">
        <f>IF(D744="C",1,0)</f>
        <v>0</v>
      </c>
      <c r="Z744">
        <f>IF(G744="C",1,0)</f>
        <v>0</v>
      </c>
      <c r="AA744">
        <f>IF(G744="S",1,0)</f>
        <v>0</v>
      </c>
      <c r="AB744">
        <f>IF(G744="U",1,0)</f>
        <v>0</v>
      </c>
      <c r="AC744" s="5">
        <f>IF(AND(ISNUMBER(H744),NOT(ISNUMBER(P744))),1,0)</f>
        <v>1</v>
      </c>
      <c r="AD744" s="5">
        <f>IF(AND(ISNUMBER(H744),ISNUMBER(P744)),1,0)</f>
        <v>0</v>
      </c>
      <c r="AE744" s="5">
        <f>W744</f>
        <v>0.68</v>
      </c>
      <c r="AF744" s="5">
        <f>X744</f>
        <v>2.7876129999999999</v>
      </c>
      <c r="AG744" s="5">
        <f>Y744</f>
        <v>0</v>
      </c>
      <c r="AH744" s="5">
        <f>IF(OR(G744="C",G744="S",G744="U"),1,0)</f>
        <v>0</v>
      </c>
      <c r="AI744" s="5">
        <f>IF(ISNUMBER(H744),1,0)</f>
        <v>1</v>
      </c>
      <c r="AJ744" s="5">
        <f>IF(ISNUMBER(P744),1,0)</f>
        <v>0</v>
      </c>
      <c r="AK744" s="5">
        <f>IF(AI744=1,IF(J744&gt;0,1,0),"")</f>
        <v>0</v>
      </c>
      <c r="AL744" s="5" t="str">
        <f>IF(AJ744=1,IF(OR(Q744&gt;0,R744&gt;0),1,0),"")</f>
        <v/>
      </c>
    </row>
    <row r="745" spans="1:38">
      <c r="A745">
        <v>599132</v>
      </c>
      <c r="B745" t="s">
        <v>706</v>
      </c>
      <c r="C745" t="s">
        <v>23</v>
      </c>
      <c r="D745" t="s">
        <v>24</v>
      </c>
      <c r="E745">
        <v>5</v>
      </c>
      <c r="F745">
        <v>130000</v>
      </c>
      <c r="H745">
        <v>1</v>
      </c>
      <c r="I745">
        <v>2</v>
      </c>
      <c r="J745">
        <v>1</v>
      </c>
      <c r="K745">
        <v>1</v>
      </c>
      <c r="L745">
        <v>0.5</v>
      </c>
      <c r="M745" t="s">
        <v>26</v>
      </c>
      <c r="N745">
        <v>0.5</v>
      </c>
      <c r="O745" t="s">
        <v>26</v>
      </c>
      <c r="P745" t="s">
        <v>26</v>
      </c>
      <c r="Q745" t="s">
        <v>26</v>
      </c>
      <c r="R745" t="s">
        <v>26</v>
      </c>
      <c r="S745" t="s">
        <v>26</v>
      </c>
      <c r="T745" t="s">
        <v>26</v>
      </c>
      <c r="U745" t="s">
        <v>26</v>
      </c>
      <c r="V745">
        <v>1</v>
      </c>
      <c r="W745">
        <f>E745/100</f>
        <v>0.05</v>
      </c>
      <c r="X745">
        <f>F745/1000000</f>
        <v>0.13</v>
      </c>
      <c r="Y745">
        <f>IF(D745="C",1,0)</f>
        <v>0</v>
      </c>
      <c r="Z745">
        <f>IF(G745="C",1,0)</f>
        <v>0</v>
      </c>
      <c r="AA745">
        <f>IF(G745="S",1,0)</f>
        <v>0</v>
      </c>
      <c r="AB745">
        <f>IF(G745="U",1,0)</f>
        <v>0</v>
      </c>
      <c r="AC745" s="5">
        <f>IF(AND(ISNUMBER(H745),NOT(ISNUMBER(P745))),1,0)</f>
        <v>1</v>
      </c>
      <c r="AD745" s="5">
        <f>IF(AND(ISNUMBER(H745),ISNUMBER(P745)),1,0)</f>
        <v>0</v>
      </c>
      <c r="AE745" s="5">
        <f>W745</f>
        <v>0.05</v>
      </c>
      <c r="AF745" s="5">
        <f>X745</f>
        <v>0.13</v>
      </c>
      <c r="AG745" s="5">
        <f>Y745</f>
        <v>0</v>
      </c>
      <c r="AH745" s="5">
        <f>IF(OR(G745="C",G745="S",G745="U"),1,0)</f>
        <v>0</v>
      </c>
      <c r="AI745" s="5">
        <f>IF(ISNUMBER(H745),1,0)</f>
        <v>1</v>
      </c>
      <c r="AJ745" s="5">
        <f>IF(ISNUMBER(P745),1,0)</f>
        <v>0</v>
      </c>
      <c r="AK745" s="5">
        <f>IF(AI745=1,IF(J745&gt;0,1,0),"")</f>
        <v>1</v>
      </c>
      <c r="AL745" s="5" t="str">
        <f>IF(AJ745=1,IF(OR(Q745&gt;0,R745&gt;0),1,0),"")</f>
        <v/>
      </c>
    </row>
    <row r="746" spans="1:38">
      <c r="A746">
        <v>615987</v>
      </c>
      <c r="B746" t="s">
        <v>717</v>
      </c>
      <c r="C746" t="s">
        <v>93</v>
      </c>
      <c r="D746" t="s">
        <v>24</v>
      </c>
      <c r="E746">
        <v>288</v>
      </c>
      <c r="F746">
        <v>6624129</v>
      </c>
      <c r="G746" t="s">
        <v>25</v>
      </c>
      <c r="H746">
        <v>1</v>
      </c>
      <c r="I746">
        <v>3</v>
      </c>
      <c r="J746">
        <v>0</v>
      </c>
      <c r="K746">
        <v>0</v>
      </c>
      <c r="L746">
        <v>0</v>
      </c>
      <c r="M746">
        <v>0</v>
      </c>
      <c r="N746">
        <v>0</v>
      </c>
      <c r="O746" t="s">
        <v>26</v>
      </c>
      <c r="P746" t="s">
        <v>26</v>
      </c>
      <c r="Q746" t="s">
        <v>26</v>
      </c>
      <c r="R746" t="s">
        <v>26</v>
      </c>
      <c r="S746" t="s">
        <v>26</v>
      </c>
      <c r="T746" t="s">
        <v>26</v>
      </c>
      <c r="U746" t="s">
        <v>26</v>
      </c>
      <c r="V746">
        <v>0</v>
      </c>
      <c r="W746">
        <f>E746/100</f>
        <v>2.88</v>
      </c>
      <c r="X746">
        <f>F746/1000000</f>
        <v>6.6241289999999999</v>
      </c>
      <c r="Y746">
        <f>IF(D746="C",1,0)</f>
        <v>0</v>
      </c>
      <c r="Z746">
        <f>IF(G746="C",1,0)</f>
        <v>0</v>
      </c>
      <c r="AA746">
        <f>IF(G746="S",1,0)</f>
        <v>1</v>
      </c>
      <c r="AB746">
        <f>IF(G746="U",1,0)</f>
        <v>0</v>
      </c>
      <c r="AC746" s="5">
        <f>IF(AND(ISNUMBER(H746),NOT(ISNUMBER(P746))),1,0)</f>
        <v>1</v>
      </c>
      <c r="AD746" s="5">
        <f>IF(AND(ISNUMBER(H746),ISNUMBER(P746)),1,0)</f>
        <v>0</v>
      </c>
      <c r="AE746" s="5">
        <f>W746</f>
        <v>2.88</v>
      </c>
      <c r="AF746" s="5">
        <f>X746</f>
        <v>6.6241289999999999</v>
      </c>
      <c r="AG746" s="5">
        <f>Y746</f>
        <v>0</v>
      </c>
      <c r="AH746" s="5">
        <f>IF(OR(G746="C",G746="S",G746="U"),1,0)</f>
        <v>1</v>
      </c>
      <c r="AI746" s="5">
        <f>IF(ISNUMBER(H746),1,0)</f>
        <v>1</v>
      </c>
      <c r="AJ746" s="5">
        <f>IF(ISNUMBER(P746),1,0)</f>
        <v>0</v>
      </c>
      <c r="AK746" s="5">
        <f>IF(AI746=1,IF(J746&gt;0,1,0),"")</f>
        <v>0</v>
      </c>
      <c r="AL746" s="5" t="str">
        <f>IF(AJ746=1,IF(OR(Q746&gt;0,R746&gt;0),1,0),"")</f>
        <v/>
      </c>
    </row>
    <row r="747" spans="1:38">
      <c r="A747">
        <v>624407</v>
      </c>
      <c r="B747" t="s">
        <v>722</v>
      </c>
      <c r="C747" t="s">
        <v>23</v>
      </c>
      <c r="D747" t="s">
        <v>24</v>
      </c>
      <c r="E747">
        <v>5</v>
      </c>
      <c r="F747">
        <v>120000</v>
      </c>
      <c r="H747">
        <v>1</v>
      </c>
      <c r="I747">
        <v>5</v>
      </c>
      <c r="J747">
        <v>1</v>
      </c>
      <c r="K747">
        <v>1</v>
      </c>
      <c r="L747">
        <v>0.2</v>
      </c>
      <c r="M747" t="s">
        <v>26</v>
      </c>
      <c r="N747">
        <v>0.2</v>
      </c>
      <c r="O747" t="s">
        <v>26</v>
      </c>
      <c r="P747" t="s">
        <v>26</v>
      </c>
      <c r="Q747" t="s">
        <v>26</v>
      </c>
      <c r="R747" t="s">
        <v>26</v>
      </c>
      <c r="S747" t="s">
        <v>26</v>
      </c>
      <c r="T747" t="s">
        <v>26</v>
      </c>
      <c r="U747" t="s">
        <v>26</v>
      </c>
      <c r="V747">
        <v>1</v>
      </c>
      <c r="W747">
        <f>E747/100</f>
        <v>0.05</v>
      </c>
      <c r="X747">
        <f>F747/1000000</f>
        <v>0.12</v>
      </c>
      <c r="Y747">
        <f>IF(D747="C",1,0)</f>
        <v>0</v>
      </c>
      <c r="Z747">
        <f>IF(G747="C",1,0)</f>
        <v>0</v>
      </c>
      <c r="AA747">
        <f>IF(G747="S",1,0)</f>
        <v>0</v>
      </c>
      <c r="AB747">
        <f>IF(G747="U",1,0)</f>
        <v>0</v>
      </c>
      <c r="AC747" s="5">
        <f>IF(AND(ISNUMBER(H747),NOT(ISNUMBER(P747))),1,0)</f>
        <v>1</v>
      </c>
      <c r="AD747" s="5">
        <f>IF(AND(ISNUMBER(H747),ISNUMBER(P747)),1,0)</f>
        <v>0</v>
      </c>
      <c r="AE747" s="5">
        <f>W747</f>
        <v>0.05</v>
      </c>
      <c r="AF747" s="5">
        <f>X747</f>
        <v>0.12</v>
      </c>
      <c r="AG747" s="5">
        <f>Y747</f>
        <v>0</v>
      </c>
      <c r="AH747" s="5">
        <f>IF(OR(G747="C",G747="S",G747="U"),1,0)</f>
        <v>0</v>
      </c>
      <c r="AI747" s="5">
        <f>IF(ISNUMBER(H747),1,0)</f>
        <v>1</v>
      </c>
      <c r="AJ747" s="5">
        <f>IF(ISNUMBER(P747),1,0)</f>
        <v>0</v>
      </c>
      <c r="AK747" s="5">
        <f>IF(AI747=1,IF(J747&gt;0,1,0),"")</f>
        <v>1</v>
      </c>
      <c r="AL747" s="5" t="str">
        <f>IF(AJ747=1,IF(OR(Q747&gt;0,R747&gt;0),1,0),"")</f>
        <v/>
      </c>
    </row>
    <row r="748" spans="1:38">
      <c r="A748">
        <v>625001</v>
      </c>
      <c r="B748" t="s">
        <v>723</v>
      </c>
      <c r="C748" t="s">
        <v>23</v>
      </c>
      <c r="D748" t="s">
        <v>24</v>
      </c>
      <c r="E748">
        <v>7</v>
      </c>
      <c r="F748">
        <v>122000</v>
      </c>
      <c r="H748">
        <v>1</v>
      </c>
      <c r="I748">
        <v>0</v>
      </c>
      <c r="J748">
        <v>0</v>
      </c>
      <c r="K748">
        <v>0</v>
      </c>
      <c r="L748" t="s">
        <v>26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  <c r="S748" t="s">
        <v>26</v>
      </c>
      <c r="T748" t="s">
        <v>26</v>
      </c>
      <c r="U748" t="s">
        <v>26</v>
      </c>
      <c r="V748">
        <v>0</v>
      </c>
      <c r="W748">
        <f>E748/100</f>
        <v>7.0000000000000007E-2</v>
      </c>
      <c r="X748">
        <f>F748/1000000</f>
        <v>0.122</v>
      </c>
      <c r="Y748">
        <f>IF(D748="C",1,0)</f>
        <v>0</v>
      </c>
      <c r="Z748">
        <f>IF(G748="C",1,0)</f>
        <v>0</v>
      </c>
      <c r="AA748">
        <f>IF(G748="S",1,0)</f>
        <v>0</v>
      </c>
      <c r="AB748">
        <f>IF(G748="U",1,0)</f>
        <v>0</v>
      </c>
      <c r="AC748" s="5">
        <f>IF(AND(ISNUMBER(H748),NOT(ISNUMBER(P748))),1,0)</f>
        <v>1</v>
      </c>
      <c r="AD748" s="5">
        <f>IF(AND(ISNUMBER(H748),ISNUMBER(P748)),1,0)</f>
        <v>0</v>
      </c>
      <c r="AE748" s="5">
        <f>W748</f>
        <v>7.0000000000000007E-2</v>
      </c>
      <c r="AF748" s="5">
        <f>X748</f>
        <v>0.122</v>
      </c>
      <c r="AG748" s="5">
        <f>Y748</f>
        <v>0</v>
      </c>
      <c r="AH748" s="5">
        <f>IF(OR(G748="C",G748="S",G748="U"),1,0)</f>
        <v>0</v>
      </c>
      <c r="AI748" s="5">
        <f>IF(ISNUMBER(H748),1,0)</f>
        <v>1</v>
      </c>
      <c r="AJ748" s="5">
        <f>IF(ISNUMBER(P748),1,0)</f>
        <v>0</v>
      </c>
      <c r="AK748" s="5">
        <f>IF(AI748=1,IF(J748&gt;0,1,0),"")</f>
        <v>0</v>
      </c>
      <c r="AL748" s="5" t="str">
        <f>IF(AJ748=1,IF(OR(Q748&gt;0,R748&gt;0),1,0),"")</f>
        <v/>
      </c>
    </row>
    <row r="749" spans="1:38">
      <c r="A749">
        <v>627478</v>
      </c>
      <c r="B749" t="s">
        <v>725</v>
      </c>
      <c r="C749" t="s">
        <v>37</v>
      </c>
      <c r="D749" t="s">
        <v>24</v>
      </c>
      <c r="E749">
        <v>6</v>
      </c>
      <c r="F749">
        <v>204706</v>
      </c>
      <c r="H749">
        <v>1</v>
      </c>
      <c r="I749">
        <v>2</v>
      </c>
      <c r="J749">
        <v>0</v>
      </c>
      <c r="K749">
        <v>0</v>
      </c>
      <c r="L749">
        <v>0</v>
      </c>
      <c r="M749" t="s">
        <v>26</v>
      </c>
      <c r="N749">
        <v>0</v>
      </c>
      <c r="O749" t="s">
        <v>26</v>
      </c>
      <c r="P749" t="s">
        <v>26</v>
      </c>
      <c r="Q749" t="s">
        <v>26</v>
      </c>
      <c r="R749" t="s">
        <v>26</v>
      </c>
      <c r="S749" t="s">
        <v>26</v>
      </c>
      <c r="T749" t="s">
        <v>26</v>
      </c>
      <c r="U749" t="s">
        <v>26</v>
      </c>
      <c r="V749">
        <v>0</v>
      </c>
      <c r="W749">
        <f>E749/100</f>
        <v>0.06</v>
      </c>
      <c r="X749">
        <f>F749/1000000</f>
        <v>0.204706</v>
      </c>
      <c r="Y749">
        <f>IF(D749="C",1,0)</f>
        <v>0</v>
      </c>
      <c r="Z749">
        <f>IF(G749="C",1,0)</f>
        <v>0</v>
      </c>
      <c r="AA749">
        <f>IF(G749="S",1,0)</f>
        <v>0</v>
      </c>
      <c r="AB749">
        <f>IF(G749="U",1,0)</f>
        <v>0</v>
      </c>
      <c r="AC749" s="5">
        <f>IF(AND(ISNUMBER(H749),NOT(ISNUMBER(P749))),1,0)</f>
        <v>1</v>
      </c>
      <c r="AD749" s="5">
        <f>IF(AND(ISNUMBER(H749),ISNUMBER(P749)),1,0)</f>
        <v>0</v>
      </c>
      <c r="AE749" s="5">
        <f>W749</f>
        <v>0.06</v>
      </c>
      <c r="AF749" s="5">
        <f>X749</f>
        <v>0.204706</v>
      </c>
      <c r="AG749" s="5">
        <f>Y749</f>
        <v>0</v>
      </c>
      <c r="AH749" s="5">
        <f>IF(OR(G749="C",G749="S",G749="U"),1,0)</f>
        <v>0</v>
      </c>
      <c r="AI749" s="5">
        <f>IF(ISNUMBER(H749),1,0)</f>
        <v>1</v>
      </c>
      <c r="AJ749" s="5">
        <f>IF(ISNUMBER(P749),1,0)</f>
        <v>0</v>
      </c>
      <c r="AK749" s="5">
        <f>IF(AI749=1,IF(J749&gt;0,1,0),"")</f>
        <v>0</v>
      </c>
      <c r="AL749" s="5" t="str">
        <f>IF(AJ749=1,IF(OR(Q749&gt;0,R749&gt;0),1,0),"")</f>
        <v/>
      </c>
    </row>
    <row r="750" spans="1:38">
      <c r="A750">
        <v>632316</v>
      </c>
      <c r="B750" t="s">
        <v>727</v>
      </c>
      <c r="C750" t="s">
        <v>23</v>
      </c>
      <c r="D750" t="s">
        <v>24</v>
      </c>
      <c r="E750">
        <v>3</v>
      </c>
      <c r="F750">
        <v>460806</v>
      </c>
      <c r="H750">
        <v>1</v>
      </c>
      <c r="I750">
        <v>0</v>
      </c>
      <c r="J750">
        <v>0</v>
      </c>
      <c r="K750">
        <v>0</v>
      </c>
      <c r="L750" t="s">
        <v>26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  <c r="S750" t="s">
        <v>26</v>
      </c>
      <c r="T750" t="s">
        <v>26</v>
      </c>
      <c r="U750" t="s">
        <v>26</v>
      </c>
      <c r="V750">
        <v>0</v>
      </c>
      <c r="W750">
        <f>E750/100</f>
        <v>0.03</v>
      </c>
      <c r="X750">
        <f>F750/1000000</f>
        <v>0.46080599999999999</v>
      </c>
      <c r="Y750">
        <f>IF(D750="C",1,0)</f>
        <v>0</v>
      </c>
      <c r="Z750">
        <f>IF(G750="C",1,0)</f>
        <v>0</v>
      </c>
      <c r="AA750">
        <f>IF(G750="S",1,0)</f>
        <v>0</v>
      </c>
      <c r="AB750">
        <f>IF(G750="U",1,0)</f>
        <v>0</v>
      </c>
      <c r="AC750" s="5">
        <f>IF(AND(ISNUMBER(H750),NOT(ISNUMBER(P750))),1,0)</f>
        <v>1</v>
      </c>
      <c r="AD750" s="5">
        <f>IF(AND(ISNUMBER(H750),ISNUMBER(P750)),1,0)</f>
        <v>0</v>
      </c>
      <c r="AE750" s="5">
        <f>W750</f>
        <v>0.03</v>
      </c>
      <c r="AF750" s="5">
        <f>X750</f>
        <v>0.46080599999999999</v>
      </c>
      <c r="AG750" s="5">
        <f>Y750</f>
        <v>0</v>
      </c>
      <c r="AH750" s="5">
        <f>IF(OR(G750="C",G750="S",G750="U"),1,0)</f>
        <v>0</v>
      </c>
      <c r="AI750" s="5">
        <f>IF(ISNUMBER(H750),1,0)</f>
        <v>1</v>
      </c>
      <c r="AJ750" s="5">
        <f>IF(ISNUMBER(P750),1,0)</f>
        <v>0</v>
      </c>
      <c r="AK750" s="5">
        <f>IF(AI750=1,IF(J750&gt;0,1,0),"")</f>
        <v>0</v>
      </c>
      <c r="AL750" s="5" t="str">
        <f>IF(AJ750=1,IF(OR(Q750&gt;0,R750&gt;0),1,0),"")</f>
        <v/>
      </c>
    </row>
    <row r="751" spans="1:38">
      <c r="A751">
        <v>633854</v>
      </c>
      <c r="B751" t="s">
        <v>730</v>
      </c>
      <c r="C751" t="s">
        <v>37</v>
      </c>
      <c r="D751" t="s">
        <v>24</v>
      </c>
      <c r="E751">
        <v>3</v>
      </c>
      <c r="F751">
        <v>40000</v>
      </c>
      <c r="H751">
        <v>1</v>
      </c>
      <c r="I751">
        <v>2</v>
      </c>
      <c r="J751">
        <v>0</v>
      </c>
      <c r="K751">
        <v>0</v>
      </c>
      <c r="L751">
        <v>0</v>
      </c>
      <c r="M751">
        <v>0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  <c r="S751" t="s">
        <v>26</v>
      </c>
      <c r="T751" t="s">
        <v>26</v>
      </c>
      <c r="U751" t="s">
        <v>26</v>
      </c>
      <c r="V751">
        <v>0</v>
      </c>
      <c r="W751">
        <f>E751/100</f>
        <v>0.03</v>
      </c>
      <c r="X751">
        <f>F751/1000000</f>
        <v>0.04</v>
      </c>
      <c r="Y751">
        <f>IF(D751="C",1,0)</f>
        <v>0</v>
      </c>
      <c r="Z751">
        <f>IF(G751="C",1,0)</f>
        <v>0</v>
      </c>
      <c r="AA751">
        <f>IF(G751="S",1,0)</f>
        <v>0</v>
      </c>
      <c r="AB751">
        <f>IF(G751="U",1,0)</f>
        <v>0</v>
      </c>
      <c r="AC751" s="5">
        <f>IF(AND(ISNUMBER(H751),NOT(ISNUMBER(P751))),1,0)</f>
        <v>1</v>
      </c>
      <c r="AD751" s="5">
        <f>IF(AND(ISNUMBER(H751),ISNUMBER(P751)),1,0)</f>
        <v>0</v>
      </c>
      <c r="AE751" s="5">
        <f>W751</f>
        <v>0.03</v>
      </c>
      <c r="AF751" s="5">
        <f>X751</f>
        <v>0.04</v>
      </c>
      <c r="AG751" s="5">
        <f>Y751</f>
        <v>0</v>
      </c>
      <c r="AH751" s="5">
        <f>IF(OR(G751="C",G751="S",G751="U"),1,0)</f>
        <v>0</v>
      </c>
      <c r="AI751" s="5">
        <f>IF(ISNUMBER(H751),1,0)</f>
        <v>1</v>
      </c>
      <c r="AJ751" s="5">
        <f>IF(ISNUMBER(P751),1,0)</f>
        <v>0</v>
      </c>
      <c r="AK751" s="5">
        <f>IF(AI751=1,IF(J751&gt;0,1,0),"")</f>
        <v>0</v>
      </c>
      <c r="AL751" s="5" t="str">
        <f>IF(AJ751=1,IF(OR(Q751&gt;0,R751&gt;0),1,0),"")</f>
        <v/>
      </c>
    </row>
    <row r="752" spans="1:38">
      <c r="A752">
        <v>648701</v>
      </c>
      <c r="B752" t="s">
        <v>739</v>
      </c>
      <c r="C752" t="s">
        <v>77</v>
      </c>
      <c r="D752" t="s">
        <v>24</v>
      </c>
      <c r="E752">
        <v>2</v>
      </c>
      <c r="F752">
        <v>40000</v>
      </c>
      <c r="H752">
        <v>1</v>
      </c>
      <c r="I752">
        <v>1</v>
      </c>
      <c r="J752">
        <v>0</v>
      </c>
      <c r="K752">
        <v>0</v>
      </c>
      <c r="L752">
        <v>0</v>
      </c>
      <c r="M752" t="s">
        <v>26</v>
      </c>
      <c r="N752">
        <v>0</v>
      </c>
      <c r="O752" t="s">
        <v>26</v>
      </c>
      <c r="P752" t="s">
        <v>26</v>
      </c>
      <c r="Q752" t="s">
        <v>26</v>
      </c>
      <c r="R752" t="s">
        <v>26</v>
      </c>
      <c r="S752" t="s">
        <v>26</v>
      </c>
      <c r="T752" t="s">
        <v>26</v>
      </c>
      <c r="U752" t="s">
        <v>26</v>
      </c>
      <c r="V752">
        <v>0</v>
      </c>
      <c r="W752">
        <f>E752/100</f>
        <v>0.02</v>
      </c>
      <c r="X752">
        <f>F752/1000000</f>
        <v>0.04</v>
      </c>
      <c r="Y752">
        <f>IF(D752="C",1,0)</f>
        <v>0</v>
      </c>
      <c r="Z752">
        <f>IF(G752="C",1,0)</f>
        <v>0</v>
      </c>
      <c r="AA752">
        <f>IF(G752="S",1,0)</f>
        <v>0</v>
      </c>
      <c r="AB752">
        <f>IF(G752="U",1,0)</f>
        <v>0</v>
      </c>
      <c r="AC752" s="5">
        <f>IF(AND(ISNUMBER(H752),NOT(ISNUMBER(P752))),1,0)</f>
        <v>1</v>
      </c>
      <c r="AD752" s="5">
        <f>IF(AND(ISNUMBER(H752),ISNUMBER(P752)),1,0)</f>
        <v>0</v>
      </c>
      <c r="AE752" s="5">
        <f>W752</f>
        <v>0.02</v>
      </c>
      <c r="AF752" s="5">
        <f>X752</f>
        <v>0.04</v>
      </c>
      <c r="AG752" s="5">
        <f>Y752</f>
        <v>0</v>
      </c>
      <c r="AH752" s="5">
        <f>IF(OR(G752="C",G752="S",G752="U"),1,0)</f>
        <v>0</v>
      </c>
      <c r="AI752" s="5">
        <f>IF(ISNUMBER(H752),1,0)</f>
        <v>1</v>
      </c>
      <c r="AJ752" s="5">
        <f>IF(ISNUMBER(P752),1,0)</f>
        <v>0</v>
      </c>
      <c r="AK752" s="5">
        <f>IF(AI752=1,IF(J752&gt;0,1,0),"")</f>
        <v>0</v>
      </c>
      <c r="AL752" s="5" t="str">
        <f>IF(AJ752=1,IF(OR(Q752&gt;0,R752&gt;0),1,0),"")</f>
        <v/>
      </c>
    </row>
    <row r="753" spans="1:38">
      <c r="A753">
        <v>652129</v>
      </c>
      <c r="B753" t="s">
        <v>743</v>
      </c>
      <c r="C753" t="s">
        <v>162</v>
      </c>
      <c r="D753" t="s">
        <v>24</v>
      </c>
      <c r="E753">
        <v>19</v>
      </c>
      <c r="F753">
        <v>500000</v>
      </c>
      <c r="H753">
        <v>1</v>
      </c>
      <c r="I753">
        <v>9</v>
      </c>
      <c r="J753">
        <v>2</v>
      </c>
      <c r="K753">
        <v>1</v>
      </c>
      <c r="L753">
        <v>0.22220000000000001</v>
      </c>
      <c r="M753">
        <v>0</v>
      </c>
      <c r="N753">
        <v>0.25</v>
      </c>
      <c r="O753" t="s">
        <v>26</v>
      </c>
      <c r="P753" t="s">
        <v>26</v>
      </c>
      <c r="Q753" t="s">
        <v>26</v>
      </c>
      <c r="R753" t="s">
        <v>26</v>
      </c>
      <c r="S753" t="s">
        <v>26</v>
      </c>
      <c r="T753" t="s">
        <v>26</v>
      </c>
      <c r="U753" t="s">
        <v>26</v>
      </c>
      <c r="V753">
        <v>1</v>
      </c>
      <c r="W753">
        <f>E753/100</f>
        <v>0.19</v>
      </c>
      <c r="X753">
        <f>F753/1000000</f>
        <v>0.5</v>
      </c>
      <c r="Y753">
        <f>IF(D753="C",1,0)</f>
        <v>0</v>
      </c>
      <c r="Z753">
        <f>IF(G753="C",1,0)</f>
        <v>0</v>
      </c>
      <c r="AA753">
        <f>IF(G753="S",1,0)</f>
        <v>0</v>
      </c>
      <c r="AB753">
        <f>IF(G753="U",1,0)</f>
        <v>0</v>
      </c>
      <c r="AC753" s="5">
        <f>IF(AND(ISNUMBER(H753),NOT(ISNUMBER(P753))),1,0)</f>
        <v>1</v>
      </c>
      <c r="AD753" s="5">
        <f>IF(AND(ISNUMBER(H753),ISNUMBER(P753)),1,0)</f>
        <v>0</v>
      </c>
      <c r="AE753" s="5">
        <f>W753</f>
        <v>0.19</v>
      </c>
      <c r="AF753" s="5">
        <f>X753</f>
        <v>0.5</v>
      </c>
      <c r="AG753" s="5">
        <f>Y753</f>
        <v>0</v>
      </c>
      <c r="AH753" s="5">
        <f>IF(OR(G753="C",G753="S",G753="U"),1,0)</f>
        <v>0</v>
      </c>
      <c r="AI753" s="5">
        <f>IF(ISNUMBER(H753),1,0)</f>
        <v>1</v>
      </c>
      <c r="AJ753" s="5">
        <f>IF(ISNUMBER(P753),1,0)</f>
        <v>0</v>
      </c>
      <c r="AK753" s="5">
        <f>IF(AI753=1,IF(J753&gt;0,1,0),"")</f>
        <v>1</v>
      </c>
      <c r="AL753" s="5" t="str">
        <f>IF(AJ753=1,IF(OR(Q753&gt;0,R753&gt;0),1,0),"")</f>
        <v/>
      </c>
    </row>
    <row r="754" spans="1:38">
      <c r="A754">
        <v>669888</v>
      </c>
      <c r="B754" t="s">
        <v>750</v>
      </c>
      <c r="C754" t="s">
        <v>135</v>
      </c>
      <c r="D754" t="s">
        <v>24</v>
      </c>
      <c r="E754">
        <v>125</v>
      </c>
      <c r="F754">
        <v>1810644</v>
      </c>
      <c r="G754" t="s">
        <v>25</v>
      </c>
      <c r="H754">
        <v>1</v>
      </c>
      <c r="I754">
        <v>17</v>
      </c>
      <c r="J754">
        <v>6</v>
      </c>
      <c r="K754">
        <v>1</v>
      </c>
      <c r="L754">
        <v>0.35289999999999999</v>
      </c>
      <c r="M754" t="s">
        <v>26</v>
      </c>
      <c r="N754">
        <v>0.35289999999999999</v>
      </c>
      <c r="O754" t="s">
        <v>26</v>
      </c>
      <c r="P754" t="s">
        <v>26</v>
      </c>
      <c r="Q754" t="s">
        <v>26</v>
      </c>
      <c r="R754" t="s">
        <v>26</v>
      </c>
      <c r="S754" t="s">
        <v>26</v>
      </c>
      <c r="T754" t="s">
        <v>26</v>
      </c>
      <c r="U754" t="s">
        <v>26</v>
      </c>
      <c r="V754">
        <v>1</v>
      </c>
      <c r="W754">
        <f>E754/100</f>
        <v>1.25</v>
      </c>
      <c r="X754">
        <f>F754/1000000</f>
        <v>1.8106439999999999</v>
      </c>
      <c r="Y754">
        <f>IF(D754="C",1,0)</f>
        <v>0</v>
      </c>
      <c r="Z754">
        <f>IF(G754="C",1,0)</f>
        <v>0</v>
      </c>
      <c r="AA754">
        <f>IF(G754="S",1,0)</f>
        <v>1</v>
      </c>
      <c r="AB754">
        <f>IF(G754="U",1,0)</f>
        <v>0</v>
      </c>
      <c r="AC754" s="5">
        <f>IF(AND(ISNUMBER(H754),NOT(ISNUMBER(P754))),1,0)</f>
        <v>1</v>
      </c>
      <c r="AD754" s="5">
        <f>IF(AND(ISNUMBER(H754),ISNUMBER(P754)),1,0)</f>
        <v>0</v>
      </c>
      <c r="AE754" s="5">
        <f>W754</f>
        <v>1.25</v>
      </c>
      <c r="AF754" s="5">
        <f>X754</f>
        <v>1.8106439999999999</v>
      </c>
      <c r="AG754" s="5">
        <f>Y754</f>
        <v>0</v>
      </c>
      <c r="AH754" s="5">
        <f>IF(OR(G754="C",G754="S",G754="U"),1,0)</f>
        <v>1</v>
      </c>
      <c r="AI754" s="5">
        <f>IF(ISNUMBER(H754),1,0)</f>
        <v>1</v>
      </c>
      <c r="AJ754" s="5">
        <f>IF(ISNUMBER(P754),1,0)</f>
        <v>0</v>
      </c>
      <c r="AK754" s="5">
        <f>IF(AI754=1,IF(J754&gt;0,1,0),"")</f>
        <v>1</v>
      </c>
      <c r="AL754" s="5" t="str">
        <f>IF(AJ754=1,IF(OR(Q754&gt;0,R754&gt;0),1,0),"")</f>
        <v/>
      </c>
    </row>
    <row r="755" spans="1:38">
      <c r="A755">
        <v>673894</v>
      </c>
      <c r="B755" t="s">
        <v>753</v>
      </c>
      <c r="C755" t="s">
        <v>40</v>
      </c>
      <c r="D755" t="s">
        <v>24</v>
      </c>
      <c r="E755">
        <v>1</v>
      </c>
      <c r="F755">
        <v>4000</v>
      </c>
      <c r="H755">
        <v>1</v>
      </c>
      <c r="I755">
        <v>10</v>
      </c>
      <c r="J755">
        <v>1</v>
      </c>
      <c r="K755">
        <v>1</v>
      </c>
      <c r="L755">
        <v>0.1</v>
      </c>
      <c r="M755">
        <v>0</v>
      </c>
      <c r="N755">
        <v>0.1111</v>
      </c>
      <c r="O755" t="s">
        <v>26</v>
      </c>
      <c r="P755" t="s">
        <v>26</v>
      </c>
      <c r="Q755" t="s">
        <v>26</v>
      </c>
      <c r="R755" t="s">
        <v>26</v>
      </c>
      <c r="S755" t="s">
        <v>26</v>
      </c>
      <c r="T755" t="s">
        <v>26</v>
      </c>
      <c r="U755" t="s">
        <v>26</v>
      </c>
      <c r="V755">
        <v>1</v>
      </c>
      <c r="W755">
        <f>E755/100</f>
        <v>0.01</v>
      </c>
      <c r="X755">
        <f>F755/1000000</f>
        <v>4.0000000000000001E-3</v>
      </c>
      <c r="Y755">
        <f>IF(D755="C",1,0)</f>
        <v>0</v>
      </c>
      <c r="Z755">
        <f>IF(G755="C",1,0)</f>
        <v>0</v>
      </c>
      <c r="AA755">
        <f>IF(G755="S",1,0)</f>
        <v>0</v>
      </c>
      <c r="AB755">
        <f>IF(G755="U",1,0)</f>
        <v>0</v>
      </c>
      <c r="AC755" s="5">
        <f>IF(AND(ISNUMBER(H755),NOT(ISNUMBER(P755))),1,0)</f>
        <v>1</v>
      </c>
      <c r="AD755" s="5">
        <f>IF(AND(ISNUMBER(H755),ISNUMBER(P755)),1,0)</f>
        <v>0</v>
      </c>
      <c r="AE755" s="5">
        <f>W755</f>
        <v>0.01</v>
      </c>
      <c r="AF755" s="5">
        <f>X755</f>
        <v>4.0000000000000001E-3</v>
      </c>
      <c r="AG755" s="5">
        <f>Y755</f>
        <v>0</v>
      </c>
      <c r="AH755" s="5">
        <f>IF(OR(G755="C",G755="S",G755="U"),1,0)</f>
        <v>0</v>
      </c>
      <c r="AI755" s="5">
        <f>IF(ISNUMBER(H755),1,0)</f>
        <v>1</v>
      </c>
      <c r="AJ755" s="5">
        <f>IF(ISNUMBER(P755),1,0)</f>
        <v>0</v>
      </c>
      <c r="AK755" s="5">
        <f>IF(AI755=1,IF(J755&gt;0,1,0),"")</f>
        <v>1</v>
      </c>
      <c r="AL755" s="5" t="str">
        <f>IF(AJ755=1,IF(OR(Q755&gt;0,R755&gt;0),1,0),"")</f>
        <v/>
      </c>
    </row>
    <row r="756" spans="1:38">
      <c r="A756">
        <v>680692</v>
      </c>
      <c r="B756" t="s">
        <v>761</v>
      </c>
      <c r="C756" t="s">
        <v>23</v>
      </c>
      <c r="D756" t="s">
        <v>33</v>
      </c>
      <c r="E756">
        <v>21</v>
      </c>
      <c r="F756">
        <v>50000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 t="s">
        <v>26</v>
      </c>
      <c r="O756" t="s">
        <v>26</v>
      </c>
      <c r="P756" t="s">
        <v>26</v>
      </c>
      <c r="Q756" t="s">
        <v>26</v>
      </c>
      <c r="R756" t="s">
        <v>26</v>
      </c>
      <c r="S756" t="s">
        <v>26</v>
      </c>
      <c r="T756" t="s">
        <v>26</v>
      </c>
      <c r="U756" t="s">
        <v>26</v>
      </c>
      <c r="V756">
        <v>0</v>
      </c>
      <c r="W756">
        <f>E756/100</f>
        <v>0.21</v>
      </c>
      <c r="X756">
        <f>F756/1000000</f>
        <v>0.05</v>
      </c>
      <c r="Y756">
        <f>IF(D756="C",1,0)</f>
        <v>1</v>
      </c>
      <c r="Z756">
        <f>IF(G756="C",1,0)</f>
        <v>0</v>
      </c>
      <c r="AA756">
        <f>IF(G756="S",1,0)</f>
        <v>0</v>
      </c>
      <c r="AB756">
        <f>IF(G756="U",1,0)</f>
        <v>0</v>
      </c>
      <c r="AC756" s="5">
        <f>IF(AND(ISNUMBER(H756),NOT(ISNUMBER(P756))),1,0)</f>
        <v>1</v>
      </c>
      <c r="AD756" s="5">
        <f>IF(AND(ISNUMBER(H756),ISNUMBER(P756)),1,0)</f>
        <v>0</v>
      </c>
      <c r="AE756" s="5">
        <f>W756</f>
        <v>0.21</v>
      </c>
      <c r="AF756" s="5">
        <f>X756</f>
        <v>0.05</v>
      </c>
      <c r="AG756" s="5">
        <f>Y756</f>
        <v>1</v>
      </c>
      <c r="AH756" s="5">
        <f>IF(OR(G756="C",G756="S",G756="U"),1,0)</f>
        <v>0</v>
      </c>
      <c r="AI756" s="5">
        <f>IF(ISNUMBER(H756),1,0)</f>
        <v>1</v>
      </c>
      <c r="AJ756" s="5">
        <f>IF(ISNUMBER(P756),1,0)</f>
        <v>0</v>
      </c>
      <c r="AK756" s="5">
        <f>IF(AI756=1,IF(J756&gt;0,1,0),"")</f>
        <v>0</v>
      </c>
      <c r="AL756" s="5" t="str">
        <f>IF(AJ756=1,IF(OR(Q756&gt;0,R756&gt;0),1,0),"")</f>
        <v/>
      </c>
    </row>
    <row r="757" spans="1:38">
      <c r="A757">
        <v>694291</v>
      </c>
      <c r="B757" t="s">
        <v>770</v>
      </c>
      <c r="C757" t="s">
        <v>37</v>
      </c>
      <c r="D757" t="s">
        <v>24</v>
      </c>
      <c r="E757">
        <v>114</v>
      </c>
      <c r="F757">
        <v>1359021</v>
      </c>
      <c r="H757">
        <v>2</v>
      </c>
      <c r="I757">
        <v>0</v>
      </c>
      <c r="J757">
        <v>0</v>
      </c>
      <c r="K757">
        <v>0</v>
      </c>
      <c r="L757" t="s">
        <v>26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  <c r="S757" t="s">
        <v>26</v>
      </c>
      <c r="T757" t="s">
        <v>26</v>
      </c>
      <c r="U757" t="s">
        <v>26</v>
      </c>
      <c r="V757">
        <v>0</v>
      </c>
      <c r="W757">
        <f>E757/100</f>
        <v>1.1399999999999999</v>
      </c>
      <c r="X757">
        <f>F757/1000000</f>
        <v>1.359021</v>
      </c>
      <c r="Y757">
        <f>IF(D757="C",1,0)</f>
        <v>0</v>
      </c>
      <c r="Z757">
        <f>IF(G757="C",1,0)</f>
        <v>0</v>
      </c>
      <c r="AA757">
        <f>IF(G757="S",1,0)</f>
        <v>0</v>
      </c>
      <c r="AB757">
        <f>IF(G757="U",1,0)</f>
        <v>0</v>
      </c>
      <c r="AC757" s="5">
        <f>IF(AND(ISNUMBER(H757),NOT(ISNUMBER(P757))),1,0)</f>
        <v>1</v>
      </c>
      <c r="AD757" s="5">
        <f>IF(AND(ISNUMBER(H757),ISNUMBER(P757)),1,0)</f>
        <v>0</v>
      </c>
      <c r="AE757" s="5">
        <f>W757</f>
        <v>1.1399999999999999</v>
      </c>
      <c r="AF757" s="5">
        <f>X757</f>
        <v>1.359021</v>
      </c>
      <c r="AG757" s="5">
        <f>Y757</f>
        <v>0</v>
      </c>
      <c r="AH757" s="5">
        <f>IF(OR(G757="C",G757="S",G757="U"),1,0)</f>
        <v>0</v>
      </c>
      <c r="AI757" s="5">
        <f>IF(ISNUMBER(H757),1,0)</f>
        <v>1</v>
      </c>
      <c r="AJ757" s="5">
        <f>IF(ISNUMBER(P757),1,0)</f>
        <v>0</v>
      </c>
      <c r="AK757" s="5">
        <f>IF(AI757=1,IF(J757&gt;0,1,0),"")</f>
        <v>0</v>
      </c>
      <c r="AL757" s="5" t="str">
        <f>IF(AJ757=1,IF(OR(Q757&gt;0,R757&gt;0),1,0),"")</f>
        <v/>
      </c>
    </row>
    <row r="758" spans="1:38">
      <c r="A758">
        <v>694617</v>
      </c>
      <c r="B758" t="s">
        <v>771</v>
      </c>
      <c r="C758" t="s">
        <v>23</v>
      </c>
      <c r="D758" t="s">
        <v>24</v>
      </c>
      <c r="E758">
        <v>5</v>
      </c>
      <c r="F758">
        <v>70000</v>
      </c>
      <c r="H758">
        <v>1</v>
      </c>
      <c r="I758">
        <v>0</v>
      </c>
      <c r="J758">
        <v>0</v>
      </c>
      <c r="K758">
        <v>0</v>
      </c>
      <c r="L758" t="s">
        <v>26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  <c r="S758" t="s">
        <v>26</v>
      </c>
      <c r="T758" t="s">
        <v>26</v>
      </c>
      <c r="U758" t="s">
        <v>26</v>
      </c>
      <c r="V758">
        <v>0</v>
      </c>
      <c r="W758">
        <f>E758/100</f>
        <v>0.05</v>
      </c>
      <c r="X758">
        <f>F758/1000000</f>
        <v>7.0000000000000007E-2</v>
      </c>
      <c r="Y758">
        <f>IF(D758="C",1,0)</f>
        <v>0</v>
      </c>
      <c r="Z758">
        <f>IF(G758="C",1,0)</f>
        <v>0</v>
      </c>
      <c r="AA758">
        <f>IF(G758="S",1,0)</f>
        <v>0</v>
      </c>
      <c r="AB758">
        <f>IF(G758="U",1,0)</f>
        <v>0</v>
      </c>
      <c r="AC758" s="5">
        <f>IF(AND(ISNUMBER(H758),NOT(ISNUMBER(P758))),1,0)</f>
        <v>1</v>
      </c>
      <c r="AD758" s="5">
        <f>IF(AND(ISNUMBER(H758),ISNUMBER(P758)),1,0)</f>
        <v>0</v>
      </c>
      <c r="AE758" s="5">
        <f>W758</f>
        <v>0.05</v>
      </c>
      <c r="AF758" s="5">
        <f>X758</f>
        <v>7.0000000000000007E-2</v>
      </c>
      <c r="AG758" s="5">
        <f>Y758</f>
        <v>0</v>
      </c>
      <c r="AH758" s="5">
        <f>IF(OR(G758="C",G758="S",G758="U"),1,0)</f>
        <v>0</v>
      </c>
      <c r="AI758" s="5">
        <f>IF(ISNUMBER(H758),1,0)</f>
        <v>1</v>
      </c>
      <c r="AJ758" s="5">
        <f>IF(ISNUMBER(P758),1,0)</f>
        <v>0</v>
      </c>
      <c r="AK758" s="5">
        <f>IF(AI758=1,IF(J758&gt;0,1,0),"")</f>
        <v>0</v>
      </c>
      <c r="AL758" s="5" t="str">
        <f>IF(AJ758=1,IF(OR(Q758&gt;0,R758&gt;0),1,0),"")</f>
        <v/>
      </c>
    </row>
    <row r="759" spans="1:38">
      <c r="A759">
        <v>698621</v>
      </c>
      <c r="B759" t="s">
        <v>772</v>
      </c>
      <c r="C759" t="s">
        <v>23</v>
      </c>
      <c r="D759" t="s">
        <v>24</v>
      </c>
      <c r="E759">
        <v>8</v>
      </c>
      <c r="F759">
        <v>360000</v>
      </c>
      <c r="H759">
        <v>1</v>
      </c>
      <c r="I759">
        <v>3</v>
      </c>
      <c r="J759">
        <v>2</v>
      </c>
      <c r="K759">
        <v>1</v>
      </c>
      <c r="L759">
        <v>0.66669999999999996</v>
      </c>
      <c r="M759">
        <v>1</v>
      </c>
      <c r="N759">
        <v>0</v>
      </c>
      <c r="O759" t="s">
        <v>26</v>
      </c>
      <c r="P759" t="s">
        <v>26</v>
      </c>
      <c r="Q759" t="s">
        <v>26</v>
      </c>
      <c r="R759" t="s">
        <v>26</v>
      </c>
      <c r="S759" t="s">
        <v>26</v>
      </c>
      <c r="T759" t="s">
        <v>26</v>
      </c>
      <c r="U759" t="s">
        <v>26</v>
      </c>
      <c r="V759">
        <v>1</v>
      </c>
      <c r="W759">
        <f>E759/100</f>
        <v>0.08</v>
      </c>
      <c r="X759">
        <f>F759/1000000</f>
        <v>0.36</v>
      </c>
      <c r="Y759">
        <f>IF(D759="C",1,0)</f>
        <v>0</v>
      </c>
      <c r="Z759">
        <f>IF(G759="C",1,0)</f>
        <v>0</v>
      </c>
      <c r="AA759">
        <f>IF(G759="S",1,0)</f>
        <v>0</v>
      </c>
      <c r="AB759">
        <f>IF(G759="U",1,0)</f>
        <v>0</v>
      </c>
      <c r="AC759" s="5">
        <f>IF(AND(ISNUMBER(H759),NOT(ISNUMBER(P759))),1,0)</f>
        <v>1</v>
      </c>
      <c r="AD759" s="5">
        <f>IF(AND(ISNUMBER(H759),ISNUMBER(P759)),1,0)</f>
        <v>0</v>
      </c>
      <c r="AE759" s="5">
        <f>W759</f>
        <v>0.08</v>
      </c>
      <c r="AF759" s="5">
        <f>X759</f>
        <v>0.36</v>
      </c>
      <c r="AG759" s="5">
        <f>Y759</f>
        <v>0</v>
      </c>
      <c r="AH759" s="5">
        <f>IF(OR(G759="C",G759="S",G759="U"),1,0)</f>
        <v>0</v>
      </c>
      <c r="AI759" s="5">
        <f>IF(ISNUMBER(H759),1,0)</f>
        <v>1</v>
      </c>
      <c r="AJ759" s="5">
        <f>IF(ISNUMBER(P759),1,0)</f>
        <v>0</v>
      </c>
      <c r="AK759" s="5">
        <f>IF(AI759=1,IF(J759&gt;0,1,0),"")</f>
        <v>1</v>
      </c>
      <c r="AL759" s="5" t="str">
        <f>IF(AJ759=1,IF(OR(Q759&gt;0,R759&gt;0),1,0),"")</f>
        <v/>
      </c>
    </row>
    <row r="760" spans="1:38">
      <c r="A760">
        <v>699434</v>
      </c>
      <c r="B760" t="s">
        <v>773</v>
      </c>
      <c r="C760" t="s">
        <v>159</v>
      </c>
      <c r="D760" t="s">
        <v>24</v>
      </c>
      <c r="E760">
        <v>38</v>
      </c>
      <c r="F760">
        <v>2418847</v>
      </c>
      <c r="G760" t="s">
        <v>25</v>
      </c>
      <c r="H760">
        <v>1</v>
      </c>
      <c r="I760">
        <v>0</v>
      </c>
      <c r="J760">
        <v>0</v>
      </c>
      <c r="K760">
        <v>0</v>
      </c>
      <c r="L760" t="s">
        <v>26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  <c r="S760" t="s">
        <v>26</v>
      </c>
      <c r="T760" t="s">
        <v>26</v>
      </c>
      <c r="U760" t="s">
        <v>26</v>
      </c>
      <c r="V760">
        <v>0</v>
      </c>
      <c r="W760">
        <f>E760/100</f>
        <v>0.38</v>
      </c>
      <c r="X760">
        <f>F760/1000000</f>
        <v>2.418847</v>
      </c>
      <c r="Y760">
        <f>IF(D760="C",1,0)</f>
        <v>0</v>
      </c>
      <c r="Z760">
        <f>IF(G760="C",1,0)</f>
        <v>0</v>
      </c>
      <c r="AA760">
        <f>IF(G760="S",1,0)</f>
        <v>1</v>
      </c>
      <c r="AB760">
        <f>IF(G760="U",1,0)</f>
        <v>0</v>
      </c>
      <c r="AC760" s="5">
        <f>IF(AND(ISNUMBER(H760),NOT(ISNUMBER(P760))),1,0)</f>
        <v>1</v>
      </c>
      <c r="AD760" s="5">
        <f>IF(AND(ISNUMBER(H760),ISNUMBER(P760)),1,0)</f>
        <v>0</v>
      </c>
      <c r="AE760" s="5">
        <f>W760</f>
        <v>0.38</v>
      </c>
      <c r="AF760" s="5">
        <f>X760</f>
        <v>2.418847</v>
      </c>
      <c r="AG760" s="5">
        <f>Y760</f>
        <v>0</v>
      </c>
      <c r="AH760" s="5">
        <f>IF(OR(G760="C",G760="S",G760="U"),1,0)</f>
        <v>1</v>
      </c>
      <c r="AI760" s="5">
        <f>IF(ISNUMBER(H760),1,0)</f>
        <v>1</v>
      </c>
      <c r="AJ760" s="5">
        <f>IF(ISNUMBER(P760),1,0)</f>
        <v>0</v>
      </c>
      <c r="AK760" s="5">
        <f>IF(AI760=1,IF(J760&gt;0,1,0),"")</f>
        <v>0</v>
      </c>
      <c r="AL760" s="5" t="str">
        <f>IF(AJ760=1,IF(OR(Q760&gt;0,R760&gt;0),1,0),"")</f>
        <v/>
      </c>
    </row>
    <row r="761" spans="1:38">
      <c r="A761">
        <v>727820</v>
      </c>
      <c r="B761" t="s">
        <v>781</v>
      </c>
      <c r="C761" t="s">
        <v>261</v>
      </c>
      <c r="D761" t="s">
        <v>24</v>
      </c>
      <c r="E761">
        <v>15</v>
      </c>
      <c r="F761">
        <v>696904</v>
      </c>
      <c r="H761">
        <v>1</v>
      </c>
      <c r="I761">
        <v>3</v>
      </c>
      <c r="J761">
        <v>1</v>
      </c>
      <c r="K761">
        <v>1</v>
      </c>
      <c r="L761">
        <v>0.33329999999999999</v>
      </c>
      <c r="M761" t="s">
        <v>26</v>
      </c>
      <c r="N761">
        <v>0.33329999999999999</v>
      </c>
      <c r="O761" t="s">
        <v>26</v>
      </c>
      <c r="P761" t="s">
        <v>26</v>
      </c>
      <c r="Q761" t="s">
        <v>26</v>
      </c>
      <c r="R761" t="s">
        <v>26</v>
      </c>
      <c r="S761" t="s">
        <v>26</v>
      </c>
      <c r="T761" t="s">
        <v>26</v>
      </c>
      <c r="U761" t="s">
        <v>26</v>
      </c>
      <c r="V761">
        <v>1</v>
      </c>
      <c r="W761">
        <f>E761/100</f>
        <v>0.15</v>
      </c>
      <c r="X761">
        <f>F761/1000000</f>
        <v>0.69690399999999997</v>
      </c>
      <c r="Y761">
        <f>IF(D761="C",1,0)</f>
        <v>0</v>
      </c>
      <c r="Z761">
        <f>IF(G761="C",1,0)</f>
        <v>0</v>
      </c>
      <c r="AA761">
        <f>IF(G761="S",1,0)</f>
        <v>0</v>
      </c>
      <c r="AB761">
        <f>IF(G761="U",1,0)</f>
        <v>0</v>
      </c>
      <c r="AC761" s="5">
        <f>IF(AND(ISNUMBER(H761),NOT(ISNUMBER(P761))),1,0)</f>
        <v>1</v>
      </c>
      <c r="AD761" s="5">
        <f>IF(AND(ISNUMBER(H761),ISNUMBER(P761)),1,0)</f>
        <v>0</v>
      </c>
      <c r="AE761" s="5">
        <f>W761</f>
        <v>0.15</v>
      </c>
      <c r="AF761" s="5">
        <f>X761</f>
        <v>0.69690399999999997</v>
      </c>
      <c r="AG761" s="5">
        <f>Y761</f>
        <v>0</v>
      </c>
      <c r="AH761" s="5">
        <f>IF(OR(G761="C",G761="S",G761="U"),1,0)</f>
        <v>0</v>
      </c>
      <c r="AI761" s="5">
        <f>IF(ISNUMBER(H761),1,0)</f>
        <v>1</v>
      </c>
      <c r="AJ761" s="5">
        <f>IF(ISNUMBER(P761),1,0)</f>
        <v>0</v>
      </c>
      <c r="AK761" s="5">
        <f>IF(AI761=1,IF(J761&gt;0,1,0),"")</f>
        <v>1</v>
      </c>
      <c r="AL761" s="5" t="str">
        <f>IF(AJ761=1,IF(OR(Q761&gt;0,R761&gt;0),1,0),"")</f>
        <v/>
      </c>
    </row>
    <row r="762" spans="1:38">
      <c r="A762">
        <v>733496</v>
      </c>
      <c r="B762" t="s">
        <v>784</v>
      </c>
      <c r="C762" t="s">
        <v>314</v>
      </c>
      <c r="D762" t="s">
        <v>24</v>
      </c>
      <c r="E762">
        <v>28</v>
      </c>
      <c r="F762">
        <v>1273787</v>
      </c>
      <c r="H762">
        <v>1</v>
      </c>
      <c r="I762">
        <v>0</v>
      </c>
      <c r="J762">
        <v>0</v>
      </c>
      <c r="K762">
        <v>0</v>
      </c>
      <c r="L762" t="s">
        <v>26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  <c r="S762" t="s">
        <v>26</v>
      </c>
      <c r="T762" t="s">
        <v>26</v>
      </c>
      <c r="U762" t="s">
        <v>26</v>
      </c>
      <c r="V762">
        <v>0</v>
      </c>
      <c r="W762">
        <f>E762/100</f>
        <v>0.28000000000000003</v>
      </c>
      <c r="X762">
        <f>F762/1000000</f>
        <v>1.273787</v>
      </c>
      <c r="Y762">
        <f>IF(D762="C",1,0)</f>
        <v>0</v>
      </c>
      <c r="Z762">
        <f>IF(G762="C",1,0)</f>
        <v>0</v>
      </c>
      <c r="AA762">
        <f>IF(G762="S",1,0)</f>
        <v>0</v>
      </c>
      <c r="AB762">
        <f>IF(G762="U",1,0)</f>
        <v>0</v>
      </c>
      <c r="AC762" s="5">
        <f>IF(AND(ISNUMBER(H762),NOT(ISNUMBER(P762))),1,0)</f>
        <v>1</v>
      </c>
      <c r="AD762" s="5">
        <f>IF(AND(ISNUMBER(H762),ISNUMBER(P762)),1,0)</f>
        <v>0</v>
      </c>
      <c r="AE762" s="5">
        <f>W762</f>
        <v>0.28000000000000003</v>
      </c>
      <c r="AF762" s="5">
        <f>X762</f>
        <v>1.273787</v>
      </c>
      <c r="AG762" s="5">
        <f>Y762</f>
        <v>0</v>
      </c>
      <c r="AH762" s="5">
        <f>IF(OR(G762="C",G762="S",G762="U"),1,0)</f>
        <v>0</v>
      </c>
      <c r="AI762" s="5">
        <f>IF(ISNUMBER(H762),1,0)</f>
        <v>1</v>
      </c>
      <c r="AJ762" s="5">
        <f>IF(ISNUMBER(P762),1,0)</f>
        <v>0</v>
      </c>
      <c r="AK762" s="5">
        <f>IF(AI762=1,IF(J762&gt;0,1,0),"")</f>
        <v>0</v>
      </c>
      <c r="AL762" s="5" t="str">
        <f>IF(AJ762=1,IF(OR(Q762&gt;0,R762&gt;0),1,0),"")</f>
        <v/>
      </c>
    </row>
    <row r="763" spans="1:38">
      <c r="A763">
        <v>749313</v>
      </c>
      <c r="B763" t="s">
        <v>790</v>
      </c>
      <c r="C763" t="s">
        <v>23</v>
      </c>
      <c r="D763" t="s">
        <v>24</v>
      </c>
      <c r="E763">
        <v>33</v>
      </c>
      <c r="F763">
        <v>698000</v>
      </c>
      <c r="H763">
        <v>1</v>
      </c>
      <c r="I763">
        <v>7</v>
      </c>
      <c r="J763">
        <v>0</v>
      </c>
      <c r="K763">
        <v>0</v>
      </c>
      <c r="L763">
        <v>0</v>
      </c>
      <c r="M763">
        <v>0</v>
      </c>
      <c r="N763">
        <v>0</v>
      </c>
      <c r="O763" t="s">
        <v>26</v>
      </c>
      <c r="P763" t="s">
        <v>26</v>
      </c>
      <c r="Q763" t="s">
        <v>26</v>
      </c>
      <c r="R763" t="s">
        <v>26</v>
      </c>
      <c r="S763" t="s">
        <v>26</v>
      </c>
      <c r="T763" t="s">
        <v>26</v>
      </c>
      <c r="U763" t="s">
        <v>26</v>
      </c>
      <c r="V763">
        <v>0</v>
      </c>
      <c r="W763">
        <f>E763/100</f>
        <v>0.33</v>
      </c>
      <c r="X763">
        <f>F763/1000000</f>
        <v>0.69799999999999995</v>
      </c>
      <c r="Y763">
        <f>IF(D763="C",1,0)</f>
        <v>0</v>
      </c>
      <c r="Z763">
        <f>IF(G763="C",1,0)</f>
        <v>0</v>
      </c>
      <c r="AA763">
        <f>IF(G763="S",1,0)</f>
        <v>0</v>
      </c>
      <c r="AB763">
        <f>IF(G763="U",1,0)</f>
        <v>0</v>
      </c>
      <c r="AC763" s="5">
        <f>IF(AND(ISNUMBER(H763),NOT(ISNUMBER(P763))),1,0)</f>
        <v>1</v>
      </c>
      <c r="AD763" s="5">
        <f>IF(AND(ISNUMBER(H763),ISNUMBER(P763)),1,0)</f>
        <v>0</v>
      </c>
      <c r="AE763" s="5">
        <f>W763</f>
        <v>0.33</v>
      </c>
      <c r="AF763" s="5">
        <f>X763</f>
        <v>0.69799999999999995</v>
      </c>
      <c r="AG763" s="5">
        <f>Y763</f>
        <v>0</v>
      </c>
      <c r="AH763" s="5">
        <f>IF(OR(G763="C",G763="S",G763="U"),1,0)</f>
        <v>0</v>
      </c>
      <c r="AI763" s="5">
        <f>IF(ISNUMBER(H763),1,0)</f>
        <v>1</v>
      </c>
      <c r="AJ763" s="5">
        <f>IF(ISNUMBER(P763),1,0)</f>
        <v>0</v>
      </c>
      <c r="AK763" s="5">
        <f>IF(AI763=1,IF(J763&gt;0,1,0),"")</f>
        <v>0</v>
      </c>
      <c r="AL763" s="5" t="str">
        <f>IF(AJ763=1,IF(OR(Q763&gt;0,R763&gt;0),1,0),"")</f>
        <v/>
      </c>
    </row>
    <row r="764" spans="1:38">
      <c r="A764">
        <v>795351</v>
      </c>
      <c r="B764" t="s">
        <v>800</v>
      </c>
      <c r="C764" t="s">
        <v>84</v>
      </c>
      <c r="D764" t="s">
        <v>24</v>
      </c>
      <c r="E764">
        <v>3</v>
      </c>
      <c r="F764">
        <v>100000</v>
      </c>
      <c r="H764">
        <v>1</v>
      </c>
      <c r="I764">
        <v>0</v>
      </c>
      <c r="J764">
        <v>0</v>
      </c>
      <c r="K764">
        <v>0</v>
      </c>
      <c r="L764" t="s">
        <v>26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  <c r="S764" t="s">
        <v>26</v>
      </c>
      <c r="T764" t="s">
        <v>26</v>
      </c>
      <c r="U764" t="s">
        <v>26</v>
      </c>
      <c r="V764">
        <v>0</v>
      </c>
      <c r="W764">
        <f>E764/100</f>
        <v>0.03</v>
      </c>
      <c r="X764">
        <f>F764/1000000</f>
        <v>0.1</v>
      </c>
      <c r="Y764">
        <f>IF(D764="C",1,0)</f>
        <v>0</v>
      </c>
      <c r="Z764">
        <f>IF(G764="C",1,0)</f>
        <v>0</v>
      </c>
      <c r="AA764">
        <f>IF(G764="S",1,0)</f>
        <v>0</v>
      </c>
      <c r="AB764">
        <f>IF(G764="U",1,0)</f>
        <v>0</v>
      </c>
      <c r="AC764" s="5">
        <f>IF(AND(ISNUMBER(H764),NOT(ISNUMBER(P764))),1,0)</f>
        <v>1</v>
      </c>
      <c r="AD764" s="5">
        <f>IF(AND(ISNUMBER(H764),ISNUMBER(P764)),1,0)</f>
        <v>0</v>
      </c>
      <c r="AE764" s="5">
        <f>W764</f>
        <v>0.03</v>
      </c>
      <c r="AF764" s="5">
        <f>X764</f>
        <v>0.1</v>
      </c>
      <c r="AG764" s="5">
        <f>Y764</f>
        <v>0</v>
      </c>
      <c r="AH764" s="5">
        <f>IF(OR(G764="C",G764="S",G764="U"),1,0)</f>
        <v>0</v>
      </c>
      <c r="AI764" s="5">
        <f>IF(ISNUMBER(H764),1,0)</f>
        <v>1</v>
      </c>
      <c r="AJ764" s="5">
        <f>IF(ISNUMBER(P764),1,0)</f>
        <v>0</v>
      </c>
      <c r="AK764" s="5">
        <f>IF(AI764=1,IF(J764&gt;0,1,0),"")</f>
        <v>0</v>
      </c>
      <c r="AL764" s="5" t="str">
        <f>IF(AJ764=1,IF(OR(Q764&gt;0,R764&gt;0),1,0),"")</f>
        <v/>
      </c>
    </row>
    <row r="765" spans="1:38">
      <c r="A765">
        <v>823590</v>
      </c>
      <c r="B765" t="s">
        <v>810</v>
      </c>
      <c r="C765" t="s">
        <v>82</v>
      </c>
      <c r="D765" t="s">
        <v>24</v>
      </c>
      <c r="E765">
        <v>145</v>
      </c>
      <c r="F765">
        <v>9267462</v>
      </c>
      <c r="G765" t="s">
        <v>25</v>
      </c>
      <c r="H765">
        <v>2</v>
      </c>
      <c r="I765">
        <v>5</v>
      </c>
      <c r="J765">
        <v>1</v>
      </c>
      <c r="K765">
        <v>0.5</v>
      </c>
      <c r="L765">
        <v>0.2</v>
      </c>
      <c r="M765" t="s">
        <v>26</v>
      </c>
      <c r="N765">
        <v>0.2</v>
      </c>
      <c r="O765" t="s">
        <v>26</v>
      </c>
      <c r="P765" t="s">
        <v>26</v>
      </c>
      <c r="Q765" t="s">
        <v>26</v>
      </c>
      <c r="R765" t="s">
        <v>26</v>
      </c>
      <c r="S765" t="s">
        <v>26</v>
      </c>
      <c r="T765" t="s">
        <v>26</v>
      </c>
      <c r="U765" t="s">
        <v>26</v>
      </c>
      <c r="V765">
        <v>1</v>
      </c>
      <c r="W765">
        <f>E765/100</f>
        <v>1.45</v>
      </c>
      <c r="X765">
        <f>F765/1000000</f>
        <v>9.2674620000000001</v>
      </c>
      <c r="Y765">
        <f>IF(D765="C",1,0)</f>
        <v>0</v>
      </c>
      <c r="Z765">
        <f>IF(G765="C",1,0)</f>
        <v>0</v>
      </c>
      <c r="AA765">
        <f>IF(G765="S",1,0)</f>
        <v>1</v>
      </c>
      <c r="AB765">
        <f>IF(G765="U",1,0)</f>
        <v>0</v>
      </c>
      <c r="AC765" s="5">
        <f>IF(AND(ISNUMBER(H765),NOT(ISNUMBER(P765))),1,0)</f>
        <v>1</v>
      </c>
      <c r="AD765" s="5">
        <f>IF(AND(ISNUMBER(H765),ISNUMBER(P765)),1,0)</f>
        <v>0</v>
      </c>
      <c r="AE765" s="5">
        <f>W765</f>
        <v>1.45</v>
      </c>
      <c r="AF765" s="5">
        <f>X765</f>
        <v>9.2674620000000001</v>
      </c>
      <c r="AG765" s="5">
        <f>Y765</f>
        <v>0</v>
      </c>
      <c r="AH765" s="5">
        <f>IF(OR(G765="C",G765="S",G765="U"),1,0)</f>
        <v>1</v>
      </c>
      <c r="AI765" s="5">
        <f>IF(ISNUMBER(H765),1,0)</f>
        <v>1</v>
      </c>
      <c r="AJ765" s="5">
        <f>IF(ISNUMBER(P765),1,0)</f>
        <v>0</v>
      </c>
      <c r="AK765" s="5">
        <f>IF(AI765=1,IF(J765&gt;0,1,0),"")</f>
        <v>1</v>
      </c>
      <c r="AL765" s="5" t="str">
        <f>IF(AJ765=1,IF(OR(Q765&gt;0,R765&gt;0),1,0),"")</f>
        <v/>
      </c>
    </row>
    <row r="766" spans="1:38">
      <c r="A766">
        <v>839228</v>
      </c>
      <c r="B766" t="s">
        <v>814</v>
      </c>
      <c r="C766" t="s">
        <v>815</v>
      </c>
      <c r="D766" t="s">
        <v>24</v>
      </c>
      <c r="E766">
        <v>14</v>
      </c>
      <c r="F766">
        <v>1500000</v>
      </c>
      <c r="H766">
        <v>1</v>
      </c>
      <c r="I766">
        <v>2</v>
      </c>
      <c r="J766">
        <v>0</v>
      </c>
      <c r="K766">
        <v>0</v>
      </c>
      <c r="L766">
        <v>0</v>
      </c>
      <c r="M766">
        <v>0</v>
      </c>
      <c r="N766">
        <v>0</v>
      </c>
      <c r="O766" t="s">
        <v>26</v>
      </c>
      <c r="P766" t="s">
        <v>26</v>
      </c>
      <c r="Q766" t="s">
        <v>26</v>
      </c>
      <c r="R766" t="s">
        <v>26</v>
      </c>
      <c r="S766" t="s">
        <v>26</v>
      </c>
      <c r="T766" t="s">
        <v>26</v>
      </c>
      <c r="U766" t="s">
        <v>26</v>
      </c>
      <c r="V766">
        <v>0</v>
      </c>
      <c r="W766">
        <f>E766/100</f>
        <v>0.14000000000000001</v>
      </c>
      <c r="X766">
        <f>F766/1000000</f>
        <v>1.5</v>
      </c>
      <c r="Y766">
        <f>IF(D766="C",1,0)</f>
        <v>0</v>
      </c>
      <c r="Z766">
        <f>IF(G766="C",1,0)</f>
        <v>0</v>
      </c>
      <c r="AA766">
        <f>IF(G766="S",1,0)</f>
        <v>0</v>
      </c>
      <c r="AB766">
        <f>IF(G766="U",1,0)</f>
        <v>0</v>
      </c>
      <c r="AC766" s="5">
        <f>IF(AND(ISNUMBER(H766),NOT(ISNUMBER(P766))),1,0)</f>
        <v>1</v>
      </c>
      <c r="AD766" s="5">
        <f>IF(AND(ISNUMBER(H766),ISNUMBER(P766)),1,0)</f>
        <v>0</v>
      </c>
      <c r="AE766" s="5">
        <f>W766</f>
        <v>0.14000000000000001</v>
      </c>
      <c r="AF766" s="5">
        <f>X766</f>
        <v>1.5</v>
      </c>
      <c r="AG766" s="5">
        <f>Y766</f>
        <v>0</v>
      </c>
      <c r="AH766" s="5">
        <f>IF(OR(G766="C",G766="S",G766="U"),1,0)</f>
        <v>0</v>
      </c>
      <c r="AI766" s="5">
        <f>IF(ISNUMBER(H766),1,0)</f>
        <v>1</v>
      </c>
      <c r="AJ766" s="5">
        <f>IF(ISNUMBER(P766),1,0)</f>
        <v>0</v>
      </c>
      <c r="AK766" s="5">
        <f>IF(AI766=1,IF(J766&gt;0,1,0),"")</f>
        <v>0</v>
      </c>
      <c r="AL766" s="5" t="str">
        <f>IF(AJ766=1,IF(OR(Q766&gt;0,R766&gt;0),1,0),"")</f>
        <v/>
      </c>
    </row>
    <row r="767" spans="1:38">
      <c r="A767">
        <v>842931</v>
      </c>
      <c r="B767" t="s">
        <v>816</v>
      </c>
      <c r="C767" t="s">
        <v>23</v>
      </c>
      <c r="D767" t="s">
        <v>33</v>
      </c>
      <c r="E767">
        <v>109</v>
      </c>
      <c r="F767">
        <v>800000</v>
      </c>
      <c r="H767">
        <v>2</v>
      </c>
      <c r="I767">
        <v>0</v>
      </c>
      <c r="J767">
        <v>0</v>
      </c>
      <c r="K767">
        <v>0</v>
      </c>
      <c r="L767" t="s">
        <v>26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  <c r="S767" t="s">
        <v>26</v>
      </c>
      <c r="T767" t="s">
        <v>26</v>
      </c>
      <c r="U767" t="s">
        <v>26</v>
      </c>
      <c r="V767">
        <v>0</v>
      </c>
      <c r="W767">
        <f>E767/100</f>
        <v>1.0900000000000001</v>
      </c>
      <c r="X767">
        <f>F767/1000000</f>
        <v>0.8</v>
      </c>
      <c r="Y767">
        <f>IF(D767="C",1,0)</f>
        <v>1</v>
      </c>
      <c r="Z767">
        <f>IF(G767="C",1,0)</f>
        <v>0</v>
      </c>
      <c r="AA767">
        <f>IF(G767="S",1,0)</f>
        <v>0</v>
      </c>
      <c r="AB767">
        <f>IF(G767="U",1,0)</f>
        <v>0</v>
      </c>
      <c r="AC767" s="5">
        <f>IF(AND(ISNUMBER(H767),NOT(ISNUMBER(P767))),1,0)</f>
        <v>1</v>
      </c>
      <c r="AD767" s="5">
        <f>IF(AND(ISNUMBER(H767),ISNUMBER(P767)),1,0)</f>
        <v>0</v>
      </c>
      <c r="AE767" s="5">
        <f>W767</f>
        <v>1.0900000000000001</v>
      </c>
      <c r="AF767" s="5">
        <f>X767</f>
        <v>0.8</v>
      </c>
      <c r="AG767" s="5">
        <f>Y767</f>
        <v>1</v>
      </c>
      <c r="AH767" s="5">
        <f>IF(OR(G767="C",G767="S",G767="U"),1,0)</f>
        <v>0</v>
      </c>
      <c r="AI767" s="5">
        <f>IF(ISNUMBER(H767),1,0)</f>
        <v>1</v>
      </c>
      <c r="AJ767" s="5">
        <f>IF(ISNUMBER(P767),1,0)</f>
        <v>0</v>
      </c>
      <c r="AK767" s="5">
        <f>IF(AI767=1,IF(J767&gt;0,1,0),"")</f>
        <v>0</v>
      </c>
      <c r="AL767" s="5" t="str">
        <f>IF(AJ767=1,IF(OR(Q767&gt;0,R767&gt;0),1,0),"")</f>
        <v/>
      </c>
    </row>
    <row r="768" spans="1:38">
      <c r="A768">
        <v>847182</v>
      </c>
      <c r="B768" t="s">
        <v>817</v>
      </c>
      <c r="C768" t="s">
        <v>23</v>
      </c>
      <c r="D768" t="s">
        <v>24</v>
      </c>
      <c r="E768">
        <v>1</v>
      </c>
      <c r="F768">
        <v>101486</v>
      </c>
      <c r="H768">
        <v>1</v>
      </c>
      <c r="I768">
        <v>0</v>
      </c>
      <c r="J768">
        <v>0</v>
      </c>
      <c r="K768">
        <v>0</v>
      </c>
      <c r="L768" t="s">
        <v>26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  <c r="S768" t="s">
        <v>26</v>
      </c>
      <c r="T768" t="s">
        <v>26</v>
      </c>
      <c r="U768" t="s">
        <v>26</v>
      </c>
      <c r="V768">
        <v>0</v>
      </c>
      <c r="W768">
        <f>E768/100</f>
        <v>0.01</v>
      </c>
      <c r="X768">
        <f>F768/1000000</f>
        <v>0.10148600000000001</v>
      </c>
      <c r="Y768">
        <f>IF(D768="C",1,0)</f>
        <v>0</v>
      </c>
      <c r="Z768">
        <f>IF(G768="C",1,0)</f>
        <v>0</v>
      </c>
      <c r="AA768">
        <f>IF(G768="S",1,0)</f>
        <v>0</v>
      </c>
      <c r="AB768">
        <f>IF(G768="U",1,0)</f>
        <v>0</v>
      </c>
      <c r="AC768" s="5">
        <f>IF(AND(ISNUMBER(H768),NOT(ISNUMBER(P768))),1,0)</f>
        <v>1</v>
      </c>
      <c r="AD768" s="5">
        <f>IF(AND(ISNUMBER(H768),ISNUMBER(P768)),1,0)</f>
        <v>0</v>
      </c>
      <c r="AE768" s="5">
        <f>W768</f>
        <v>0.01</v>
      </c>
      <c r="AF768" s="5">
        <f>X768</f>
        <v>0.10148600000000001</v>
      </c>
      <c r="AG768" s="5">
        <f>Y768</f>
        <v>0</v>
      </c>
      <c r="AH768" s="5">
        <f>IF(OR(G768="C",G768="S",G768="U"),1,0)</f>
        <v>0</v>
      </c>
      <c r="AI768" s="5">
        <f>IF(ISNUMBER(H768),1,0)</f>
        <v>1</v>
      </c>
      <c r="AJ768" s="5">
        <f>IF(ISNUMBER(P768),1,0)</f>
        <v>0</v>
      </c>
      <c r="AK768" s="5">
        <f>IF(AI768=1,IF(J768&gt;0,1,0),"")</f>
        <v>0</v>
      </c>
      <c r="AL768" s="5" t="str">
        <f>IF(AJ768=1,IF(OR(Q768&gt;0,R768&gt;0),1,0),"")</f>
        <v/>
      </c>
    </row>
    <row r="769" spans="1:38">
      <c r="A769">
        <v>847919</v>
      </c>
      <c r="B769" t="s">
        <v>818</v>
      </c>
      <c r="C769" t="s">
        <v>212</v>
      </c>
      <c r="D769" t="s">
        <v>24</v>
      </c>
      <c r="E769">
        <v>2</v>
      </c>
      <c r="F769">
        <v>125666</v>
      </c>
      <c r="G769" t="s">
        <v>33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  <c r="S769" t="s">
        <v>26</v>
      </c>
      <c r="T769" t="s">
        <v>26</v>
      </c>
      <c r="U769" t="s">
        <v>26</v>
      </c>
      <c r="V769">
        <v>0</v>
      </c>
      <c r="W769">
        <f>E769/100</f>
        <v>0.02</v>
      </c>
      <c r="X769">
        <f>F769/1000000</f>
        <v>0.125666</v>
      </c>
      <c r="Y769">
        <f>IF(D769="C",1,0)</f>
        <v>0</v>
      </c>
      <c r="Z769">
        <f>IF(G769="C",1,0)</f>
        <v>1</v>
      </c>
      <c r="AA769">
        <f>IF(G769="S",1,0)</f>
        <v>0</v>
      </c>
      <c r="AB769">
        <f>IF(G769="U",1,0)</f>
        <v>0</v>
      </c>
      <c r="AC769" s="5">
        <f>IF(AND(ISNUMBER(H769),NOT(ISNUMBER(P769))),1,0)</f>
        <v>1</v>
      </c>
      <c r="AD769" s="5">
        <f>IF(AND(ISNUMBER(H769),ISNUMBER(P769)),1,0)</f>
        <v>0</v>
      </c>
      <c r="AE769" s="5">
        <f>W769</f>
        <v>0.02</v>
      </c>
      <c r="AF769" s="5">
        <f>X769</f>
        <v>0.125666</v>
      </c>
      <c r="AG769" s="5">
        <f>Y769</f>
        <v>0</v>
      </c>
      <c r="AH769" s="5">
        <f>IF(OR(G769="C",G769="S",G769="U"),1,0)</f>
        <v>1</v>
      </c>
      <c r="AI769" s="5">
        <f>IF(ISNUMBER(H769),1,0)</f>
        <v>1</v>
      </c>
      <c r="AJ769" s="5">
        <f>IF(ISNUMBER(P769),1,0)</f>
        <v>0</v>
      </c>
      <c r="AK769" s="5">
        <f>IF(AI769=1,IF(J769&gt;0,1,0),"")</f>
        <v>0</v>
      </c>
      <c r="AL769" s="5" t="str">
        <f>IF(AJ769=1,IF(OR(Q769&gt;0,R769&gt;0),1,0),"")</f>
        <v/>
      </c>
    </row>
    <row r="770" spans="1:38">
      <c r="A770">
        <v>855664</v>
      </c>
      <c r="B770" t="s">
        <v>820</v>
      </c>
      <c r="C770" t="s">
        <v>37</v>
      </c>
      <c r="D770" t="s">
        <v>24</v>
      </c>
      <c r="E770">
        <v>327</v>
      </c>
      <c r="F770">
        <v>4452135</v>
      </c>
      <c r="G770" t="s">
        <v>25</v>
      </c>
      <c r="H770">
        <v>1</v>
      </c>
      <c r="I770">
        <v>1</v>
      </c>
      <c r="J770">
        <v>1</v>
      </c>
      <c r="K770">
        <v>1</v>
      </c>
      <c r="L770">
        <v>1</v>
      </c>
      <c r="M770" t="s">
        <v>26</v>
      </c>
      <c r="N770">
        <v>1</v>
      </c>
      <c r="O770" t="s">
        <v>26</v>
      </c>
      <c r="P770" t="s">
        <v>26</v>
      </c>
      <c r="Q770" t="s">
        <v>26</v>
      </c>
      <c r="R770" t="s">
        <v>26</v>
      </c>
      <c r="S770" t="s">
        <v>26</v>
      </c>
      <c r="T770" t="s">
        <v>26</v>
      </c>
      <c r="U770" t="s">
        <v>26</v>
      </c>
      <c r="V770">
        <v>1</v>
      </c>
      <c r="W770">
        <f>E770/100</f>
        <v>3.27</v>
      </c>
      <c r="X770">
        <f>F770/1000000</f>
        <v>4.4521350000000002</v>
      </c>
      <c r="Y770">
        <f>IF(D770="C",1,0)</f>
        <v>0</v>
      </c>
      <c r="Z770">
        <f>IF(G770="C",1,0)</f>
        <v>0</v>
      </c>
      <c r="AA770">
        <f>IF(G770="S",1,0)</f>
        <v>1</v>
      </c>
      <c r="AB770">
        <f>IF(G770="U",1,0)</f>
        <v>0</v>
      </c>
      <c r="AC770" s="5">
        <f>IF(AND(ISNUMBER(H770),NOT(ISNUMBER(P770))),1,0)</f>
        <v>1</v>
      </c>
      <c r="AD770" s="5">
        <f>IF(AND(ISNUMBER(H770),ISNUMBER(P770)),1,0)</f>
        <v>0</v>
      </c>
      <c r="AE770" s="5">
        <f>W770</f>
        <v>3.27</v>
      </c>
      <c r="AF770" s="5">
        <f>X770</f>
        <v>4.4521350000000002</v>
      </c>
      <c r="AG770" s="5">
        <f>Y770</f>
        <v>0</v>
      </c>
      <c r="AH770" s="5">
        <f>IF(OR(G770="C",G770="S",G770="U"),1,0)</f>
        <v>1</v>
      </c>
      <c r="AI770" s="5">
        <f>IF(ISNUMBER(H770),1,0)</f>
        <v>1</v>
      </c>
      <c r="AJ770" s="5">
        <f>IF(ISNUMBER(P770),1,0)</f>
        <v>0</v>
      </c>
      <c r="AK770" s="5">
        <f>IF(AI770=1,IF(J770&gt;0,1,0),"")</f>
        <v>1</v>
      </c>
      <c r="AL770" s="5" t="str">
        <f>IF(AJ770=1,IF(OR(Q770&gt;0,R770&gt;0),1,0),"")</f>
        <v/>
      </c>
    </row>
    <row r="771" spans="1:38">
      <c r="A771">
        <v>861019</v>
      </c>
      <c r="B771" t="s">
        <v>822</v>
      </c>
      <c r="C771" t="s">
        <v>23</v>
      </c>
      <c r="D771" t="s">
        <v>24</v>
      </c>
      <c r="E771">
        <v>6</v>
      </c>
      <c r="F771">
        <v>48563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  <c r="S771" t="s">
        <v>26</v>
      </c>
      <c r="T771" t="s">
        <v>26</v>
      </c>
      <c r="U771" t="s">
        <v>26</v>
      </c>
      <c r="V771">
        <v>0</v>
      </c>
      <c r="W771">
        <f>E771/100</f>
        <v>0.06</v>
      </c>
      <c r="X771">
        <f>F771/1000000</f>
        <v>4.8563000000000002E-2</v>
      </c>
      <c r="Y771">
        <f>IF(D771="C",1,0)</f>
        <v>0</v>
      </c>
      <c r="Z771">
        <f>IF(G771="C",1,0)</f>
        <v>0</v>
      </c>
      <c r="AA771">
        <f>IF(G771="S",1,0)</f>
        <v>0</v>
      </c>
      <c r="AB771">
        <f>IF(G771="U",1,0)</f>
        <v>0</v>
      </c>
      <c r="AC771" s="5">
        <f>IF(AND(ISNUMBER(H771),NOT(ISNUMBER(P771))),1,0)</f>
        <v>1</v>
      </c>
      <c r="AD771" s="5">
        <f>IF(AND(ISNUMBER(H771),ISNUMBER(P771)),1,0)</f>
        <v>0</v>
      </c>
      <c r="AE771" s="5">
        <f>W771</f>
        <v>0.06</v>
      </c>
      <c r="AF771" s="5">
        <f>X771</f>
        <v>4.8563000000000002E-2</v>
      </c>
      <c r="AG771" s="5">
        <f>Y771</f>
        <v>0</v>
      </c>
      <c r="AH771" s="5">
        <f>IF(OR(G771="C",G771="S",G771="U"),1,0)</f>
        <v>0</v>
      </c>
      <c r="AI771" s="5">
        <f>IF(ISNUMBER(H771),1,0)</f>
        <v>1</v>
      </c>
      <c r="AJ771" s="5">
        <f>IF(ISNUMBER(P771),1,0)</f>
        <v>0</v>
      </c>
      <c r="AK771" s="5">
        <f>IF(AI771=1,IF(J771&gt;0,1,0),"")</f>
        <v>0</v>
      </c>
      <c r="AL771" s="5" t="str">
        <f>IF(AJ771=1,IF(OR(Q771&gt;0,R771&gt;0),1,0),"")</f>
        <v/>
      </c>
    </row>
    <row r="772" spans="1:38">
      <c r="A772">
        <v>866134</v>
      </c>
      <c r="B772" t="s">
        <v>823</v>
      </c>
      <c r="C772" t="s">
        <v>37</v>
      </c>
      <c r="D772" t="s">
        <v>24</v>
      </c>
      <c r="E772">
        <v>8</v>
      </c>
      <c r="F772">
        <v>25000</v>
      </c>
      <c r="H772">
        <v>1</v>
      </c>
      <c r="I772">
        <v>1</v>
      </c>
      <c r="J772">
        <v>0</v>
      </c>
      <c r="K772">
        <v>0</v>
      </c>
      <c r="L772">
        <v>0</v>
      </c>
      <c r="M772" t="s">
        <v>26</v>
      </c>
      <c r="N772">
        <v>0</v>
      </c>
      <c r="O772" t="s">
        <v>26</v>
      </c>
      <c r="P772" t="s">
        <v>26</v>
      </c>
      <c r="Q772" t="s">
        <v>26</v>
      </c>
      <c r="R772" t="s">
        <v>26</v>
      </c>
      <c r="S772" t="s">
        <v>26</v>
      </c>
      <c r="T772" t="s">
        <v>26</v>
      </c>
      <c r="U772" t="s">
        <v>26</v>
      </c>
      <c r="V772">
        <v>0</v>
      </c>
      <c r="W772">
        <f>E772/100</f>
        <v>0.08</v>
      </c>
      <c r="X772">
        <f>F772/1000000</f>
        <v>2.5000000000000001E-2</v>
      </c>
      <c r="Y772">
        <f>IF(D772="C",1,0)</f>
        <v>0</v>
      </c>
      <c r="Z772">
        <f>IF(G772="C",1,0)</f>
        <v>0</v>
      </c>
      <c r="AA772">
        <f>IF(G772="S",1,0)</f>
        <v>0</v>
      </c>
      <c r="AB772">
        <f>IF(G772="U",1,0)</f>
        <v>0</v>
      </c>
      <c r="AC772" s="5">
        <f>IF(AND(ISNUMBER(H772),NOT(ISNUMBER(P772))),1,0)</f>
        <v>1</v>
      </c>
      <c r="AD772" s="5">
        <f>IF(AND(ISNUMBER(H772),ISNUMBER(P772)),1,0)</f>
        <v>0</v>
      </c>
      <c r="AE772" s="5">
        <f>W772</f>
        <v>0.08</v>
      </c>
      <c r="AF772" s="5">
        <f>X772</f>
        <v>2.5000000000000001E-2</v>
      </c>
      <c r="AG772" s="5">
        <f>Y772</f>
        <v>0</v>
      </c>
      <c r="AH772" s="5">
        <f>IF(OR(G772="C",G772="S",G772="U"),1,0)</f>
        <v>0</v>
      </c>
      <c r="AI772" s="5">
        <f>IF(ISNUMBER(H772),1,0)</f>
        <v>1</v>
      </c>
      <c r="AJ772" s="5">
        <f>IF(ISNUMBER(P772),1,0)</f>
        <v>0</v>
      </c>
      <c r="AK772" s="5">
        <f>IF(AI772=1,IF(J772&gt;0,1,0),"")</f>
        <v>0</v>
      </c>
      <c r="AL772" s="5" t="str">
        <f>IF(AJ772=1,IF(OR(Q772&gt;0,R772&gt;0),1,0),"")</f>
        <v/>
      </c>
    </row>
    <row r="773" spans="1:38">
      <c r="A773">
        <v>873352</v>
      </c>
      <c r="B773" t="s">
        <v>826</v>
      </c>
      <c r="C773" t="s">
        <v>23</v>
      </c>
      <c r="D773" t="s">
        <v>24</v>
      </c>
      <c r="E773">
        <v>8</v>
      </c>
      <c r="F773">
        <v>81324</v>
      </c>
      <c r="H773">
        <v>1</v>
      </c>
      <c r="I773">
        <v>0</v>
      </c>
      <c r="J773">
        <v>0</v>
      </c>
      <c r="K773">
        <v>0</v>
      </c>
      <c r="L773" t="s">
        <v>26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  <c r="S773" t="s">
        <v>26</v>
      </c>
      <c r="T773" t="s">
        <v>26</v>
      </c>
      <c r="U773" t="s">
        <v>26</v>
      </c>
      <c r="V773">
        <v>0</v>
      </c>
      <c r="W773">
        <f>E773/100</f>
        <v>0.08</v>
      </c>
      <c r="X773">
        <f>F773/1000000</f>
        <v>8.1323999999999994E-2</v>
      </c>
      <c r="Y773">
        <f>IF(D773="C",1,0)</f>
        <v>0</v>
      </c>
      <c r="Z773">
        <f>IF(G773="C",1,0)</f>
        <v>0</v>
      </c>
      <c r="AA773">
        <f>IF(G773="S",1,0)</f>
        <v>0</v>
      </c>
      <c r="AB773">
        <f>IF(G773="U",1,0)</f>
        <v>0</v>
      </c>
      <c r="AC773" s="5">
        <f>IF(AND(ISNUMBER(H773),NOT(ISNUMBER(P773))),1,0)</f>
        <v>1</v>
      </c>
      <c r="AD773" s="5">
        <f>IF(AND(ISNUMBER(H773),ISNUMBER(P773)),1,0)</f>
        <v>0</v>
      </c>
      <c r="AE773" s="5">
        <f>W773</f>
        <v>0.08</v>
      </c>
      <c r="AF773" s="5">
        <f>X773</f>
        <v>8.1323999999999994E-2</v>
      </c>
      <c r="AG773" s="5">
        <f>Y773</f>
        <v>0</v>
      </c>
      <c r="AH773" s="5">
        <f>IF(OR(G773="C",G773="S",G773="U"),1,0)</f>
        <v>0</v>
      </c>
      <c r="AI773" s="5">
        <f>IF(ISNUMBER(H773),1,0)</f>
        <v>1</v>
      </c>
      <c r="AJ773" s="5">
        <f>IF(ISNUMBER(P773),1,0)</f>
        <v>0</v>
      </c>
      <c r="AK773" s="5">
        <f>IF(AI773=1,IF(J773&gt;0,1,0),"")</f>
        <v>0</v>
      </c>
      <c r="AL773" s="5" t="str">
        <f>IF(AJ773=1,IF(OR(Q773&gt;0,R773&gt;0),1,0),"")</f>
        <v/>
      </c>
    </row>
    <row r="774" spans="1:38">
      <c r="A774">
        <v>876076</v>
      </c>
      <c r="B774" t="s">
        <v>827</v>
      </c>
      <c r="C774" t="s">
        <v>330</v>
      </c>
      <c r="D774" t="s">
        <v>24</v>
      </c>
      <c r="E774">
        <v>388</v>
      </c>
      <c r="F774">
        <v>7233160</v>
      </c>
      <c r="H774">
        <v>1</v>
      </c>
      <c r="I774">
        <v>1</v>
      </c>
      <c r="J774">
        <v>1</v>
      </c>
      <c r="K774">
        <v>1</v>
      </c>
      <c r="L774">
        <v>1</v>
      </c>
      <c r="M774" t="s">
        <v>26</v>
      </c>
      <c r="N774">
        <v>1</v>
      </c>
      <c r="O774" t="s">
        <v>26</v>
      </c>
      <c r="P774" t="s">
        <v>26</v>
      </c>
      <c r="Q774" t="s">
        <v>26</v>
      </c>
      <c r="R774" t="s">
        <v>26</v>
      </c>
      <c r="S774" t="s">
        <v>26</v>
      </c>
      <c r="T774" t="s">
        <v>26</v>
      </c>
      <c r="U774" t="s">
        <v>26</v>
      </c>
      <c r="V774">
        <v>1</v>
      </c>
      <c r="W774">
        <f>E774/100</f>
        <v>3.88</v>
      </c>
      <c r="X774">
        <f>F774/1000000</f>
        <v>7.2331599999999998</v>
      </c>
      <c r="Y774">
        <f>IF(D774="C",1,0)</f>
        <v>0</v>
      </c>
      <c r="Z774">
        <f>IF(G774="C",1,0)</f>
        <v>0</v>
      </c>
      <c r="AA774">
        <f>IF(G774="S",1,0)</f>
        <v>0</v>
      </c>
      <c r="AB774">
        <f>IF(G774="U",1,0)</f>
        <v>0</v>
      </c>
      <c r="AC774" s="5">
        <f>IF(AND(ISNUMBER(H774),NOT(ISNUMBER(P774))),1,0)</f>
        <v>1</v>
      </c>
      <c r="AD774" s="5">
        <f>IF(AND(ISNUMBER(H774),ISNUMBER(P774)),1,0)</f>
        <v>0</v>
      </c>
      <c r="AE774" s="5">
        <f>W774</f>
        <v>3.88</v>
      </c>
      <c r="AF774" s="5">
        <f>X774</f>
        <v>7.2331599999999998</v>
      </c>
      <c r="AG774" s="5">
        <f>Y774</f>
        <v>0</v>
      </c>
      <c r="AH774" s="5">
        <f>IF(OR(G774="C",G774="S",G774="U"),1,0)</f>
        <v>0</v>
      </c>
      <c r="AI774" s="5">
        <f>IF(ISNUMBER(H774),1,0)</f>
        <v>1</v>
      </c>
      <c r="AJ774" s="5">
        <f>IF(ISNUMBER(P774),1,0)</f>
        <v>0</v>
      </c>
      <c r="AK774" s="5">
        <f>IF(AI774=1,IF(J774&gt;0,1,0),"")</f>
        <v>1</v>
      </c>
      <c r="AL774" s="5" t="str">
        <f>IF(AJ774=1,IF(OR(Q774&gt;0,R774&gt;0),1,0),"")</f>
        <v/>
      </c>
    </row>
    <row r="775" spans="1:38">
      <c r="A775">
        <v>892682</v>
      </c>
      <c r="B775" t="s">
        <v>831</v>
      </c>
      <c r="C775" t="s">
        <v>84</v>
      </c>
      <c r="D775" t="s">
        <v>24</v>
      </c>
      <c r="E775">
        <v>6</v>
      </c>
      <c r="F775">
        <v>10000</v>
      </c>
      <c r="H775">
        <v>1</v>
      </c>
      <c r="I775">
        <v>3</v>
      </c>
      <c r="J775">
        <v>0</v>
      </c>
      <c r="K775">
        <v>0</v>
      </c>
      <c r="L775">
        <v>0</v>
      </c>
      <c r="M775">
        <v>0</v>
      </c>
      <c r="N775">
        <v>0</v>
      </c>
      <c r="O775" t="s">
        <v>26</v>
      </c>
      <c r="P775" t="s">
        <v>26</v>
      </c>
      <c r="Q775" t="s">
        <v>26</v>
      </c>
      <c r="R775" t="s">
        <v>26</v>
      </c>
      <c r="S775" t="s">
        <v>26</v>
      </c>
      <c r="T775" t="s">
        <v>26</v>
      </c>
      <c r="U775" t="s">
        <v>26</v>
      </c>
      <c r="V775">
        <v>0</v>
      </c>
      <c r="W775">
        <f>E775/100</f>
        <v>0.06</v>
      </c>
      <c r="X775">
        <f>F775/1000000</f>
        <v>0.01</v>
      </c>
      <c r="Y775">
        <f>IF(D775="C",1,0)</f>
        <v>0</v>
      </c>
      <c r="Z775">
        <f>IF(G775="C",1,0)</f>
        <v>0</v>
      </c>
      <c r="AA775">
        <f>IF(G775="S",1,0)</f>
        <v>0</v>
      </c>
      <c r="AB775">
        <f>IF(G775="U",1,0)</f>
        <v>0</v>
      </c>
      <c r="AC775" s="5">
        <f>IF(AND(ISNUMBER(H775),NOT(ISNUMBER(P775))),1,0)</f>
        <v>1</v>
      </c>
      <c r="AD775" s="5">
        <f>IF(AND(ISNUMBER(H775),ISNUMBER(P775)),1,0)</f>
        <v>0</v>
      </c>
      <c r="AE775" s="5">
        <f>W775</f>
        <v>0.06</v>
      </c>
      <c r="AF775" s="5">
        <f>X775</f>
        <v>0.01</v>
      </c>
      <c r="AG775" s="5">
        <f>Y775</f>
        <v>0</v>
      </c>
      <c r="AH775" s="5">
        <f>IF(OR(G775="C",G775="S",G775="U"),1,0)</f>
        <v>0</v>
      </c>
      <c r="AI775" s="5">
        <f>IF(ISNUMBER(H775),1,0)</f>
        <v>1</v>
      </c>
      <c r="AJ775" s="5">
        <f>IF(ISNUMBER(P775),1,0)</f>
        <v>0</v>
      </c>
      <c r="AK775" s="5">
        <f>IF(AI775=1,IF(J775&gt;0,1,0),"")</f>
        <v>0</v>
      </c>
      <c r="AL775" s="5" t="str">
        <f>IF(AJ775=1,IF(OR(Q775&gt;0,R775&gt;0),1,0),"")</f>
        <v/>
      </c>
    </row>
    <row r="776" spans="1:38">
      <c r="A776">
        <v>896726</v>
      </c>
      <c r="B776" t="s">
        <v>833</v>
      </c>
      <c r="C776" t="s">
        <v>37</v>
      </c>
      <c r="D776" t="s">
        <v>24</v>
      </c>
      <c r="E776">
        <v>10</v>
      </c>
      <c r="F776">
        <v>566925</v>
      </c>
      <c r="H776">
        <v>1</v>
      </c>
      <c r="I776">
        <v>0</v>
      </c>
      <c r="J776">
        <v>0</v>
      </c>
      <c r="K776">
        <v>0</v>
      </c>
      <c r="L776" t="s">
        <v>26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  <c r="S776" t="s">
        <v>26</v>
      </c>
      <c r="T776" t="s">
        <v>26</v>
      </c>
      <c r="U776" t="s">
        <v>26</v>
      </c>
      <c r="V776">
        <v>0</v>
      </c>
      <c r="W776">
        <f>E776/100</f>
        <v>0.1</v>
      </c>
      <c r="X776">
        <f>F776/1000000</f>
        <v>0.56692500000000001</v>
      </c>
      <c r="Y776">
        <f>IF(D776="C",1,0)</f>
        <v>0</v>
      </c>
      <c r="Z776">
        <f>IF(G776="C",1,0)</f>
        <v>0</v>
      </c>
      <c r="AA776">
        <f>IF(G776="S",1,0)</f>
        <v>0</v>
      </c>
      <c r="AB776">
        <f>IF(G776="U",1,0)</f>
        <v>0</v>
      </c>
      <c r="AC776" s="5">
        <f>IF(AND(ISNUMBER(H776),NOT(ISNUMBER(P776))),1,0)</f>
        <v>1</v>
      </c>
      <c r="AD776" s="5">
        <f>IF(AND(ISNUMBER(H776),ISNUMBER(P776)),1,0)</f>
        <v>0</v>
      </c>
      <c r="AE776" s="5">
        <f>W776</f>
        <v>0.1</v>
      </c>
      <c r="AF776" s="5">
        <f>X776</f>
        <v>0.56692500000000001</v>
      </c>
      <c r="AG776" s="5">
        <f>Y776</f>
        <v>0</v>
      </c>
      <c r="AH776" s="5">
        <f>IF(OR(G776="C",G776="S",G776="U"),1,0)</f>
        <v>0</v>
      </c>
      <c r="AI776" s="5">
        <f>IF(ISNUMBER(H776),1,0)</f>
        <v>1</v>
      </c>
      <c r="AJ776" s="5">
        <f>IF(ISNUMBER(P776),1,0)</f>
        <v>0</v>
      </c>
      <c r="AK776" s="5">
        <f>IF(AI776=1,IF(J776&gt;0,1,0),"")</f>
        <v>0</v>
      </c>
      <c r="AL776" s="5" t="str">
        <f>IF(AJ776=1,IF(OR(Q776&gt;0,R776&gt;0),1,0),"")</f>
        <v/>
      </c>
    </row>
    <row r="777" spans="1:38">
      <c r="A777">
        <v>901821</v>
      </c>
      <c r="B777" t="s">
        <v>834</v>
      </c>
      <c r="C777" t="s">
        <v>23</v>
      </c>
      <c r="D777" t="s">
        <v>33</v>
      </c>
      <c r="E777">
        <v>285</v>
      </c>
      <c r="F777">
        <v>3300000</v>
      </c>
      <c r="H777">
        <v>3</v>
      </c>
      <c r="I777">
        <v>0</v>
      </c>
      <c r="J777">
        <v>0</v>
      </c>
      <c r="K777">
        <v>0</v>
      </c>
      <c r="L777" t="s">
        <v>26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  <c r="S777" t="s">
        <v>26</v>
      </c>
      <c r="T777" t="s">
        <v>26</v>
      </c>
      <c r="U777" t="s">
        <v>26</v>
      </c>
      <c r="V777">
        <v>0</v>
      </c>
      <c r="W777">
        <f>E777/100</f>
        <v>2.85</v>
      </c>
      <c r="X777">
        <f>F777/1000000</f>
        <v>3.3</v>
      </c>
      <c r="Y777">
        <f>IF(D777="C",1,0)</f>
        <v>1</v>
      </c>
      <c r="Z777">
        <f>IF(G777="C",1,0)</f>
        <v>0</v>
      </c>
      <c r="AA777">
        <f>IF(G777="S",1,0)</f>
        <v>0</v>
      </c>
      <c r="AB777">
        <f>IF(G777="U",1,0)</f>
        <v>0</v>
      </c>
      <c r="AC777" s="5">
        <f>IF(AND(ISNUMBER(H777),NOT(ISNUMBER(P777))),1,0)</f>
        <v>1</v>
      </c>
      <c r="AD777" s="5">
        <f>IF(AND(ISNUMBER(H777),ISNUMBER(P777)),1,0)</f>
        <v>0</v>
      </c>
      <c r="AE777" s="5">
        <f>W777</f>
        <v>2.85</v>
      </c>
      <c r="AF777" s="5">
        <f>X777</f>
        <v>3.3</v>
      </c>
      <c r="AG777" s="5">
        <f>Y777</f>
        <v>1</v>
      </c>
      <c r="AH777" s="5">
        <f>IF(OR(G777="C",G777="S",G777="U"),1,0)</f>
        <v>0</v>
      </c>
      <c r="AI777" s="5">
        <f>IF(ISNUMBER(H777),1,0)</f>
        <v>1</v>
      </c>
      <c r="AJ777" s="5">
        <f>IF(ISNUMBER(P777),1,0)</f>
        <v>0</v>
      </c>
      <c r="AK777" s="5">
        <f>IF(AI777=1,IF(J777&gt;0,1,0),"")</f>
        <v>0</v>
      </c>
      <c r="AL777" s="5" t="str">
        <f>IF(AJ777=1,IF(OR(Q777&gt;0,R777&gt;0),1,0),"")</f>
        <v/>
      </c>
    </row>
    <row r="778" spans="1:38">
      <c r="A778">
        <v>916720</v>
      </c>
      <c r="B778" t="s">
        <v>837</v>
      </c>
      <c r="C778" t="s">
        <v>23</v>
      </c>
      <c r="D778" t="s">
        <v>24</v>
      </c>
      <c r="E778">
        <v>413</v>
      </c>
      <c r="F778">
        <v>5822240</v>
      </c>
      <c r="H778">
        <v>1</v>
      </c>
      <c r="I778">
        <v>5</v>
      </c>
      <c r="J778">
        <v>1</v>
      </c>
      <c r="K778">
        <v>1</v>
      </c>
      <c r="L778">
        <v>0.2</v>
      </c>
      <c r="M778" t="s">
        <v>26</v>
      </c>
      <c r="N778">
        <v>0.2</v>
      </c>
      <c r="O778" t="s">
        <v>26</v>
      </c>
      <c r="P778" t="s">
        <v>26</v>
      </c>
      <c r="Q778" t="s">
        <v>26</v>
      </c>
      <c r="R778" t="s">
        <v>26</v>
      </c>
      <c r="S778" t="s">
        <v>26</v>
      </c>
      <c r="T778" t="s">
        <v>26</v>
      </c>
      <c r="U778" t="s">
        <v>26</v>
      </c>
      <c r="V778">
        <v>1</v>
      </c>
      <c r="W778">
        <f>E778/100</f>
        <v>4.13</v>
      </c>
      <c r="X778">
        <f>F778/1000000</f>
        <v>5.8222399999999999</v>
      </c>
      <c r="Y778">
        <f>IF(D778="C",1,0)</f>
        <v>0</v>
      </c>
      <c r="Z778">
        <f>IF(G778="C",1,0)</f>
        <v>0</v>
      </c>
      <c r="AA778">
        <f>IF(G778="S",1,0)</f>
        <v>0</v>
      </c>
      <c r="AB778">
        <f>IF(G778="U",1,0)</f>
        <v>0</v>
      </c>
      <c r="AC778" s="5">
        <f>IF(AND(ISNUMBER(H778),NOT(ISNUMBER(P778))),1,0)</f>
        <v>1</v>
      </c>
      <c r="AD778" s="5">
        <f>IF(AND(ISNUMBER(H778),ISNUMBER(P778)),1,0)</f>
        <v>0</v>
      </c>
      <c r="AE778" s="5">
        <f>W778</f>
        <v>4.13</v>
      </c>
      <c r="AF778" s="5">
        <f>X778</f>
        <v>5.8222399999999999</v>
      </c>
      <c r="AG778" s="5">
        <f>Y778</f>
        <v>0</v>
      </c>
      <c r="AH778" s="5">
        <f>IF(OR(G778="C",G778="S",G778="U"),1,0)</f>
        <v>0</v>
      </c>
      <c r="AI778" s="5">
        <f>IF(ISNUMBER(H778),1,0)</f>
        <v>1</v>
      </c>
      <c r="AJ778" s="5">
        <f>IF(ISNUMBER(P778),1,0)</f>
        <v>0</v>
      </c>
      <c r="AK778" s="5">
        <f>IF(AI778=1,IF(J778&gt;0,1,0),"")</f>
        <v>1</v>
      </c>
      <c r="AL778" s="5" t="str">
        <f>IF(AJ778=1,IF(OR(Q778&gt;0,R778&gt;0),1,0),"")</f>
        <v/>
      </c>
    </row>
    <row r="779" spans="1:38">
      <c r="A779">
        <v>920564</v>
      </c>
      <c r="B779" t="s">
        <v>838</v>
      </c>
      <c r="C779" t="s">
        <v>23</v>
      </c>
      <c r="D779" t="s">
        <v>24</v>
      </c>
      <c r="E779">
        <v>51</v>
      </c>
      <c r="F779">
        <v>6376211</v>
      </c>
      <c r="H779">
        <v>1</v>
      </c>
      <c r="I779">
        <v>1</v>
      </c>
      <c r="J779">
        <v>0</v>
      </c>
      <c r="K779">
        <v>0</v>
      </c>
      <c r="L779">
        <v>0</v>
      </c>
      <c r="M779" t="s">
        <v>26</v>
      </c>
      <c r="N779">
        <v>0</v>
      </c>
      <c r="O779" t="s">
        <v>26</v>
      </c>
      <c r="P779" t="s">
        <v>26</v>
      </c>
      <c r="Q779" t="s">
        <v>26</v>
      </c>
      <c r="R779" t="s">
        <v>26</v>
      </c>
      <c r="S779" t="s">
        <v>26</v>
      </c>
      <c r="T779" t="s">
        <v>26</v>
      </c>
      <c r="U779" t="s">
        <v>26</v>
      </c>
      <c r="V779">
        <v>0</v>
      </c>
      <c r="W779">
        <f>E779/100</f>
        <v>0.51</v>
      </c>
      <c r="X779">
        <f>F779/1000000</f>
        <v>6.3762109999999996</v>
      </c>
      <c r="Y779">
        <f>IF(D779="C",1,0)</f>
        <v>0</v>
      </c>
      <c r="Z779">
        <f>IF(G779="C",1,0)</f>
        <v>0</v>
      </c>
      <c r="AA779">
        <f>IF(G779="S",1,0)</f>
        <v>0</v>
      </c>
      <c r="AB779">
        <f>IF(G779="U",1,0)</f>
        <v>0</v>
      </c>
      <c r="AC779" s="5">
        <f>IF(AND(ISNUMBER(H779),NOT(ISNUMBER(P779))),1,0)</f>
        <v>1</v>
      </c>
      <c r="AD779" s="5">
        <f>IF(AND(ISNUMBER(H779),ISNUMBER(P779)),1,0)</f>
        <v>0</v>
      </c>
      <c r="AE779" s="5">
        <f>W779</f>
        <v>0.51</v>
      </c>
      <c r="AF779" s="5">
        <f>X779</f>
        <v>6.3762109999999996</v>
      </c>
      <c r="AG779" s="5">
        <f>Y779</f>
        <v>0</v>
      </c>
      <c r="AH779" s="5">
        <f>IF(OR(G779="C",G779="S",G779="U"),1,0)</f>
        <v>0</v>
      </c>
      <c r="AI779" s="5">
        <f>IF(ISNUMBER(H779),1,0)</f>
        <v>1</v>
      </c>
      <c r="AJ779" s="5">
        <f>IF(ISNUMBER(P779),1,0)</f>
        <v>0</v>
      </c>
      <c r="AK779" s="5">
        <f>IF(AI779=1,IF(J779&gt;0,1,0),"")</f>
        <v>0</v>
      </c>
      <c r="AL779" s="5" t="str">
        <f>IF(AJ779=1,IF(OR(Q779&gt;0,R779&gt;0),1,0),"")</f>
        <v/>
      </c>
    </row>
    <row r="780" spans="1:38">
      <c r="A780">
        <v>944385</v>
      </c>
      <c r="B780" t="s">
        <v>841</v>
      </c>
      <c r="C780" t="s">
        <v>23</v>
      </c>
      <c r="D780" t="s">
        <v>24</v>
      </c>
      <c r="E780">
        <v>2</v>
      </c>
      <c r="F780">
        <v>12000</v>
      </c>
      <c r="H780">
        <v>1</v>
      </c>
      <c r="I780">
        <v>9</v>
      </c>
      <c r="J780">
        <v>1</v>
      </c>
      <c r="K780">
        <v>1</v>
      </c>
      <c r="L780">
        <v>0.1111</v>
      </c>
      <c r="M780">
        <v>1</v>
      </c>
      <c r="N780">
        <v>0</v>
      </c>
      <c r="O780" t="s">
        <v>26</v>
      </c>
      <c r="P780" t="s">
        <v>26</v>
      </c>
      <c r="Q780" t="s">
        <v>26</v>
      </c>
      <c r="R780" t="s">
        <v>26</v>
      </c>
      <c r="S780" t="s">
        <v>26</v>
      </c>
      <c r="T780" t="s">
        <v>26</v>
      </c>
      <c r="U780" t="s">
        <v>26</v>
      </c>
      <c r="V780">
        <v>1</v>
      </c>
      <c r="W780">
        <f>E780/100</f>
        <v>0.02</v>
      </c>
      <c r="X780">
        <f>F780/1000000</f>
        <v>1.2E-2</v>
      </c>
      <c r="Y780">
        <f>IF(D780="C",1,0)</f>
        <v>0</v>
      </c>
      <c r="Z780">
        <f>IF(G780="C",1,0)</f>
        <v>0</v>
      </c>
      <c r="AA780">
        <f>IF(G780="S",1,0)</f>
        <v>0</v>
      </c>
      <c r="AB780">
        <f>IF(G780="U",1,0)</f>
        <v>0</v>
      </c>
      <c r="AC780" s="5">
        <f>IF(AND(ISNUMBER(H780),NOT(ISNUMBER(P780))),1,0)</f>
        <v>1</v>
      </c>
      <c r="AD780" s="5">
        <f>IF(AND(ISNUMBER(H780),ISNUMBER(P780)),1,0)</f>
        <v>0</v>
      </c>
      <c r="AE780" s="5">
        <f>W780</f>
        <v>0.02</v>
      </c>
      <c r="AF780" s="5">
        <f>X780</f>
        <v>1.2E-2</v>
      </c>
      <c r="AG780" s="5">
        <f>Y780</f>
        <v>0</v>
      </c>
      <c r="AH780" s="5">
        <f>IF(OR(G780="C",G780="S",G780="U"),1,0)</f>
        <v>0</v>
      </c>
      <c r="AI780" s="5">
        <f>IF(ISNUMBER(H780),1,0)</f>
        <v>1</v>
      </c>
      <c r="AJ780" s="5">
        <f>IF(ISNUMBER(P780),1,0)</f>
        <v>0</v>
      </c>
      <c r="AK780" s="5">
        <f>IF(AI780=1,IF(J780&gt;0,1,0),"")</f>
        <v>1</v>
      </c>
      <c r="AL780" s="5" t="str">
        <f>IF(AJ780=1,IF(OR(Q780&gt;0,R780&gt;0),1,0),"")</f>
        <v/>
      </c>
    </row>
    <row r="781" spans="1:38">
      <c r="A781">
        <v>955366</v>
      </c>
      <c r="B781" t="s">
        <v>842</v>
      </c>
      <c r="C781" t="s">
        <v>23</v>
      </c>
      <c r="D781" t="s">
        <v>24</v>
      </c>
      <c r="E781">
        <v>27</v>
      </c>
      <c r="F781">
        <v>1760000</v>
      </c>
      <c r="H781">
        <v>1</v>
      </c>
      <c r="I781">
        <v>0</v>
      </c>
      <c r="J781">
        <v>0</v>
      </c>
      <c r="K781">
        <v>0</v>
      </c>
      <c r="L781" t="s">
        <v>26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  <c r="S781" t="s">
        <v>26</v>
      </c>
      <c r="T781" t="s">
        <v>26</v>
      </c>
      <c r="U781" t="s">
        <v>26</v>
      </c>
      <c r="V781">
        <v>0</v>
      </c>
      <c r="W781">
        <f>E781/100</f>
        <v>0.27</v>
      </c>
      <c r="X781">
        <f>F781/1000000</f>
        <v>1.76</v>
      </c>
      <c r="Y781">
        <f>IF(D781="C",1,0)</f>
        <v>0</v>
      </c>
      <c r="Z781">
        <f>IF(G781="C",1,0)</f>
        <v>0</v>
      </c>
      <c r="AA781">
        <f>IF(G781="S",1,0)</f>
        <v>0</v>
      </c>
      <c r="AB781">
        <f>IF(G781="U",1,0)</f>
        <v>0</v>
      </c>
      <c r="AC781" s="5">
        <f>IF(AND(ISNUMBER(H781),NOT(ISNUMBER(P781))),1,0)</f>
        <v>1</v>
      </c>
      <c r="AD781" s="5">
        <f>IF(AND(ISNUMBER(H781),ISNUMBER(P781)),1,0)</f>
        <v>0</v>
      </c>
      <c r="AE781" s="5">
        <f>W781</f>
        <v>0.27</v>
      </c>
      <c r="AF781" s="5">
        <f>X781</f>
        <v>1.76</v>
      </c>
      <c r="AG781" s="5">
        <f>Y781</f>
        <v>0</v>
      </c>
      <c r="AH781" s="5">
        <f>IF(OR(G781="C",G781="S",G781="U"),1,0)</f>
        <v>0</v>
      </c>
      <c r="AI781" s="5">
        <f>IF(ISNUMBER(H781),1,0)</f>
        <v>1</v>
      </c>
      <c r="AJ781" s="5">
        <f>IF(ISNUMBER(P781),1,0)</f>
        <v>0</v>
      </c>
      <c r="AK781" s="5">
        <f>IF(AI781=1,IF(J781&gt;0,1,0),"")</f>
        <v>0</v>
      </c>
      <c r="AL781" s="5" t="str">
        <f>IF(AJ781=1,IF(OR(Q781&gt;0,R781&gt;0),1,0),"")</f>
        <v/>
      </c>
    </row>
    <row r="782" spans="1:38">
      <c r="A782">
        <v>967993</v>
      </c>
      <c r="B782" t="s">
        <v>844</v>
      </c>
      <c r="C782" t="s">
        <v>23</v>
      </c>
      <c r="D782" t="s">
        <v>24</v>
      </c>
      <c r="E782">
        <v>20</v>
      </c>
      <c r="F782">
        <v>590000</v>
      </c>
      <c r="H782">
        <v>1</v>
      </c>
      <c r="I782">
        <v>3</v>
      </c>
      <c r="J782">
        <v>0</v>
      </c>
      <c r="K782">
        <v>0</v>
      </c>
      <c r="L782">
        <v>0</v>
      </c>
      <c r="M782">
        <v>0</v>
      </c>
      <c r="N782">
        <v>0</v>
      </c>
      <c r="O782" t="s">
        <v>26</v>
      </c>
      <c r="P782" t="s">
        <v>26</v>
      </c>
      <c r="Q782" t="s">
        <v>26</v>
      </c>
      <c r="R782" t="s">
        <v>26</v>
      </c>
      <c r="S782" t="s">
        <v>26</v>
      </c>
      <c r="T782" t="s">
        <v>26</v>
      </c>
      <c r="U782" t="s">
        <v>26</v>
      </c>
      <c r="V782">
        <v>0</v>
      </c>
      <c r="W782">
        <f>E782/100</f>
        <v>0.2</v>
      </c>
      <c r="X782">
        <f>F782/1000000</f>
        <v>0.59</v>
      </c>
      <c r="Y782">
        <f>IF(D782="C",1,0)</f>
        <v>0</v>
      </c>
      <c r="Z782">
        <f>IF(G782="C",1,0)</f>
        <v>0</v>
      </c>
      <c r="AA782">
        <f>IF(G782="S",1,0)</f>
        <v>0</v>
      </c>
      <c r="AB782">
        <f>IF(G782="U",1,0)</f>
        <v>0</v>
      </c>
      <c r="AC782" s="5">
        <f>IF(AND(ISNUMBER(H782),NOT(ISNUMBER(P782))),1,0)</f>
        <v>1</v>
      </c>
      <c r="AD782" s="5">
        <f>IF(AND(ISNUMBER(H782),ISNUMBER(P782)),1,0)</f>
        <v>0</v>
      </c>
      <c r="AE782" s="5">
        <f>W782</f>
        <v>0.2</v>
      </c>
      <c r="AF782" s="5">
        <f>X782</f>
        <v>0.59</v>
      </c>
      <c r="AG782" s="5">
        <f>Y782</f>
        <v>0</v>
      </c>
      <c r="AH782" s="5">
        <f>IF(OR(G782="C",G782="S",G782="U"),1,0)</f>
        <v>0</v>
      </c>
      <c r="AI782" s="5">
        <f>IF(ISNUMBER(H782),1,0)</f>
        <v>1</v>
      </c>
      <c r="AJ782" s="5">
        <f>IF(ISNUMBER(P782),1,0)</f>
        <v>0</v>
      </c>
      <c r="AK782" s="5">
        <f>IF(AI782=1,IF(J782&gt;0,1,0),"")</f>
        <v>0</v>
      </c>
      <c r="AL782" s="5" t="str">
        <f>IF(AJ782=1,IF(OR(Q782&gt;0,R782&gt;0),1,0),"")</f>
        <v/>
      </c>
    </row>
    <row r="783" spans="1:38">
      <c r="A783">
        <v>987757</v>
      </c>
      <c r="B783" t="s">
        <v>846</v>
      </c>
      <c r="C783" t="s">
        <v>190</v>
      </c>
      <c r="D783" t="s">
        <v>24</v>
      </c>
      <c r="E783">
        <v>59</v>
      </c>
      <c r="F783">
        <v>4058637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  <c r="S783" t="s">
        <v>26</v>
      </c>
      <c r="T783" t="s">
        <v>26</v>
      </c>
      <c r="U783" t="s">
        <v>26</v>
      </c>
      <c r="V783">
        <v>0</v>
      </c>
      <c r="W783">
        <f>E783/100</f>
        <v>0.59</v>
      </c>
      <c r="X783">
        <f>F783/1000000</f>
        <v>4.0586370000000001</v>
      </c>
      <c r="Y783">
        <f>IF(D783="C",1,0)</f>
        <v>0</v>
      </c>
      <c r="Z783">
        <f>IF(G783="C",1,0)</f>
        <v>0</v>
      </c>
      <c r="AA783">
        <f>IF(G783="S",1,0)</f>
        <v>0</v>
      </c>
      <c r="AB783">
        <f>IF(G783="U",1,0)</f>
        <v>0</v>
      </c>
      <c r="AC783" s="5">
        <f>IF(AND(ISNUMBER(H783),NOT(ISNUMBER(P783))),1,0)</f>
        <v>1</v>
      </c>
      <c r="AD783" s="5">
        <f>IF(AND(ISNUMBER(H783),ISNUMBER(P783)),1,0)</f>
        <v>0</v>
      </c>
      <c r="AE783" s="5">
        <f>W783</f>
        <v>0.59</v>
      </c>
      <c r="AF783" s="5">
        <f>X783</f>
        <v>4.0586370000000001</v>
      </c>
      <c r="AG783" s="5">
        <f>Y783</f>
        <v>0</v>
      </c>
      <c r="AH783" s="5">
        <f>IF(OR(G783="C",G783="S",G783="U"),1,0)</f>
        <v>0</v>
      </c>
      <c r="AI783" s="5">
        <f>IF(ISNUMBER(H783),1,0)</f>
        <v>1</v>
      </c>
      <c r="AJ783" s="5">
        <f>IF(ISNUMBER(P783),1,0)</f>
        <v>0</v>
      </c>
      <c r="AK783" s="5">
        <f>IF(AI783=1,IF(J783&gt;0,1,0),"")</f>
        <v>0</v>
      </c>
      <c r="AL783" s="5" t="str">
        <f>IF(AJ783=1,IF(OR(Q783&gt;0,R783&gt;0),1,0),"")</f>
        <v/>
      </c>
    </row>
    <row r="784" spans="1:38">
      <c r="A784">
        <v>1003727</v>
      </c>
      <c r="B784" t="s">
        <v>848</v>
      </c>
      <c r="C784" t="s">
        <v>23</v>
      </c>
      <c r="D784" t="s">
        <v>24</v>
      </c>
      <c r="E784">
        <v>8</v>
      </c>
      <c r="F784">
        <v>110000</v>
      </c>
      <c r="H784">
        <v>1</v>
      </c>
      <c r="I784">
        <v>0</v>
      </c>
      <c r="J784">
        <v>0</v>
      </c>
      <c r="K784">
        <v>0</v>
      </c>
      <c r="L784" t="s">
        <v>26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  <c r="S784" t="s">
        <v>26</v>
      </c>
      <c r="T784" t="s">
        <v>26</v>
      </c>
      <c r="U784" t="s">
        <v>26</v>
      </c>
      <c r="V784">
        <v>0</v>
      </c>
      <c r="W784">
        <f>E784/100</f>
        <v>0.08</v>
      </c>
      <c r="X784">
        <f>F784/1000000</f>
        <v>0.11</v>
      </c>
      <c r="Y784">
        <f>IF(D784="C",1,0)</f>
        <v>0</v>
      </c>
      <c r="Z784">
        <f>IF(G784="C",1,0)</f>
        <v>0</v>
      </c>
      <c r="AA784">
        <f>IF(G784="S",1,0)</f>
        <v>0</v>
      </c>
      <c r="AB784">
        <f>IF(G784="U",1,0)</f>
        <v>0</v>
      </c>
      <c r="AC784" s="5">
        <f>IF(AND(ISNUMBER(H784),NOT(ISNUMBER(P784))),1,0)</f>
        <v>1</v>
      </c>
      <c r="AD784" s="5">
        <f>IF(AND(ISNUMBER(H784),ISNUMBER(P784)),1,0)</f>
        <v>0</v>
      </c>
      <c r="AE784" s="5">
        <f>W784</f>
        <v>0.08</v>
      </c>
      <c r="AF784" s="5">
        <f>X784</f>
        <v>0.11</v>
      </c>
      <c r="AG784" s="5">
        <f>Y784</f>
        <v>0</v>
      </c>
      <c r="AH784" s="5">
        <f>IF(OR(G784="C",G784="S",G784="U"),1,0)</f>
        <v>0</v>
      </c>
      <c r="AI784" s="5">
        <f>IF(ISNUMBER(H784),1,0)</f>
        <v>1</v>
      </c>
      <c r="AJ784" s="5">
        <f>IF(ISNUMBER(P784),1,0)</f>
        <v>0</v>
      </c>
      <c r="AK784" s="5">
        <f>IF(AI784=1,IF(J784&gt;0,1,0),"")</f>
        <v>0</v>
      </c>
      <c r="AL784" s="5" t="str">
        <f>IF(AJ784=1,IF(OR(Q784&gt;0,R784&gt;0),1,0),"")</f>
        <v/>
      </c>
    </row>
    <row r="785" spans="1:38">
      <c r="A785">
        <v>1010485</v>
      </c>
      <c r="B785" t="s">
        <v>849</v>
      </c>
      <c r="C785" t="s">
        <v>82</v>
      </c>
      <c r="D785" t="s">
        <v>24</v>
      </c>
      <c r="E785">
        <v>46</v>
      </c>
      <c r="F785">
        <v>1087101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  <c r="S785" t="s">
        <v>26</v>
      </c>
      <c r="T785" t="s">
        <v>26</v>
      </c>
      <c r="U785" t="s">
        <v>26</v>
      </c>
      <c r="V785">
        <v>0</v>
      </c>
      <c r="W785">
        <f>E785/100</f>
        <v>0.46</v>
      </c>
      <c r="X785">
        <f>F785/1000000</f>
        <v>1.0871010000000001</v>
      </c>
      <c r="Y785">
        <f>IF(D785="C",1,0)</f>
        <v>0</v>
      </c>
      <c r="Z785">
        <f>IF(G785="C",1,0)</f>
        <v>0</v>
      </c>
      <c r="AA785">
        <f>IF(G785="S",1,0)</f>
        <v>0</v>
      </c>
      <c r="AB785">
        <f>IF(G785="U",1,0)</f>
        <v>0</v>
      </c>
      <c r="AC785" s="5">
        <f>IF(AND(ISNUMBER(H785),NOT(ISNUMBER(P785))),1,0)</f>
        <v>1</v>
      </c>
      <c r="AD785" s="5">
        <f>IF(AND(ISNUMBER(H785),ISNUMBER(P785)),1,0)</f>
        <v>0</v>
      </c>
      <c r="AE785" s="5">
        <f>W785</f>
        <v>0.46</v>
      </c>
      <c r="AF785" s="5">
        <f>X785</f>
        <v>1.0871010000000001</v>
      </c>
      <c r="AG785" s="5">
        <f>Y785</f>
        <v>0</v>
      </c>
      <c r="AH785" s="5">
        <f>IF(OR(G785="C",G785="S",G785="U"),1,0)</f>
        <v>0</v>
      </c>
      <c r="AI785" s="5">
        <f>IF(ISNUMBER(H785),1,0)</f>
        <v>1</v>
      </c>
      <c r="AJ785" s="5">
        <f>IF(ISNUMBER(P785),1,0)</f>
        <v>0</v>
      </c>
      <c r="AK785" s="5">
        <f>IF(AI785=1,IF(J785&gt;0,1,0),"")</f>
        <v>0</v>
      </c>
      <c r="AL785" s="5" t="str">
        <f>IF(AJ785=1,IF(OR(Q785&gt;0,R785&gt;0),1,0),"")</f>
        <v/>
      </c>
    </row>
    <row r="786" spans="1:38">
      <c r="A786">
        <v>1019809</v>
      </c>
      <c r="B786" t="s">
        <v>850</v>
      </c>
      <c r="C786" t="s">
        <v>105</v>
      </c>
      <c r="D786" t="s">
        <v>24</v>
      </c>
      <c r="E786">
        <v>282</v>
      </c>
      <c r="F786">
        <v>6245378</v>
      </c>
      <c r="G786" t="s">
        <v>25</v>
      </c>
      <c r="H786">
        <v>1</v>
      </c>
      <c r="I786">
        <v>0</v>
      </c>
      <c r="J786">
        <v>0</v>
      </c>
      <c r="K786">
        <v>0</v>
      </c>
      <c r="L786" t="s">
        <v>26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  <c r="S786" t="s">
        <v>26</v>
      </c>
      <c r="T786" t="s">
        <v>26</v>
      </c>
      <c r="U786" t="s">
        <v>26</v>
      </c>
      <c r="V786">
        <v>0</v>
      </c>
      <c r="W786">
        <f>E786/100</f>
        <v>2.82</v>
      </c>
      <c r="X786">
        <f>F786/1000000</f>
        <v>6.2453779999999997</v>
      </c>
      <c r="Y786">
        <f>IF(D786="C",1,0)</f>
        <v>0</v>
      </c>
      <c r="Z786">
        <f>IF(G786="C",1,0)</f>
        <v>0</v>
      </c>
      <c r="AA786">
        <f>IF(G786="S",1,0)</f>
        <v>1</v>
      </c>
      <c r="AB786">
        <f>IF(G786="U",1,0)</f>
        <v>0</v>
      </c>
      <c r="AC786" s="5">
        <f>IF(AND(ISNUMBER(H786),NOT(ISNUMBER(P786))),1,0)</f>
        <v>1</v>
      </c>
      <c r="AD786" s="5">
        <f>IF(AND(ISNUMBER(H786),ISNUMBER(P786)),1,0)</f>
        <v>0</v>
      </c>
      <c r="AE786" s="5">
        <f>W786</f>
        <v>2.82</v>
      </c>
      <c r="AF786" s="5">
        <f>X786</f>
        <v>6.2453779999999997</v>
      </c>
      <c r="AG786" s="5">
        <f>Y786</f>
        <v>0</v>
      </c>
      <c r="AH786" s="5">
        <f>IF(OR(G786="C",G786="S",G786="U"),1,0)</f>
        <v>1</v>
      </c>
      <c r="AI786" s="5">
        <f>IF(ISNUMBER(H786),1,0)</f>
        <v>1</v>
      </c>
      <c r="AJ786" s="5">
        <f>IF(ISNUMBER(P786),1,0)</f>
        <v>0</v>
      </c>
      <c r="AK786" s="5">
        <f>IF(AI786=1,IF(J786&gt;0,1,0),"")</f>
        <v>0</v>
      </c>
      <c r="AL786" s="5" t="str">
        <f>IF(AJ786=1,IF(OR(Q786&gt;0,R786&gt;0),1,0),"")</f>
        <v/>
      </c>
    </row>
    <row r="787" spans="1:38">
      <c r="A787">
        <v>1064175</v>
      </c>
      <c r="B787" t="s">
        <v>851</v>
      </c>
      <c r="C787" t="s">
        <v>815</v>
      </c>
      <c r="D787" t="s">
        <v>24</v>
      </c>
      <c r="E787">
        <v>45</v>
      </c>
      <c r="F787">
        <v>3500000</v>
      </c>
      <c r="G787" t="s">
        <v>25</v>
      </c>
      <c r="H787">
        <v>1</v>
      </c>
      <c r="I787">
        <v>1</v>
      </c>
      <c r="J787">
        <v>0</v>
      </c>
      <c r="K787">
        <v>0</v>
      </c>
      <c r="L787">
        <v>0</v>
      </c>
      <c r="M787" t="s">
        <v>26</v>
      </c>
      <c r="N787">
        <v>0</v>
      </c>
      <c r="O787" t="s">
        <v>26</v>
      </c>
      <c r="P787" t="s">
        <v>26</v>
      </c>
      <c r="Q787" t="s">
        <v>26</v>
      </c>
      <c r="R787" t="s">
        <v>26</v>
      </c>
      <c r="S787" t="s">
        <v>26</v>
      </c>
      <c r="T787" t="s">
        <v>26</v>
      </c>
      <c r="U787" t="s">
        <v>26</v>
      </c>
      <c r="V787">
        <v>0</v>
      </c>
      <c r="W787">
        <f>E787/100</f>
        <v>0.45</v>
      </c>
      <c r="X787">
        <f>F787/1000000</f>
        <v>3.5</v>
      </c>
      <c r="Y787">
        <f>IF(D787="C",1,0)</f>
        <v>0</v>
      </c>
      <c r="Z787">
        <f>IF(G787="C",1,0)</f>
        <v>0</v>
      </c>
      <c r="AA787">
        <f>IF(G787="S",1,0)</f>
        <v>1</v>
      </c>
      <c r="AB787">
        <f>IF(G787="U",1,0)</f>
        <v>0</v>
      </c>
      <c r="AC787" s="5">
        <f>IF(AND(ISNUMBER(H787),NOT(ISNUMBER(P787))),1,0)</f>
        <v>1</v>
      </c>
      <c r="AD787" s="5">
        <f>IF(AND(ISNUMBER(H787),ISNUMBER(P787)),1,0)</f>
        <v>0</v>
      </c>
      <c r="AE787" s="5">
        <f>W787</f>
        <v>0.45</v>
      </c>
      <c r="AF787" s="5">
        <f>X787</f>
        <v>3.5</v>
      </c>
      <c r="AG787" s="5">
        <f>Y787</f>
        <v>0</v>
      </c>
      <c r="AH787" s="5">
        <f>IF(OR(G787="C",G787="S",G787="U"),1,0)</f>
        <v>1</v>
      </c>
      <c r="AI787" s="5">
        <f>IF(ISNUMBER(H787),1,0)</f>
        <v>1</v>
      </c>
      <c r="AJ787" s="5">
        <f>IF(ISNUMBER(P787),1,0)</f>
        <v>0</v>
      </c>
      <c r="AK787" s="5">
        <f>IF(AI787=1,IF(J787&gt;0,1,0),"")</f>
        <v>0</v>
      </c>
      <c r="AL787" s="5" t="str">
        <f>IF(AJ787=1,IF(OR(Q787&gt;0,R787&gt;0),1,0),"")</f>
        <v/>
      </c>
    </row>
    <row r="788" spans="1:38">
      <c r="A788">
        <v>1093944</v>
      </c>
      <c r="B788" t="s">
        <v>852</v>
      </c>
      <c r="C788" t="s">
        <v>23</v>
      </c>
      <c r="D788" t="s">
        <v>24</v>
      </c>
      <c r="E788">
        <v>10</v>
      </c>
      <c r="F788">
        <v>1716000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  <c r="S788" t="s">
        <v>26</v>
      </c>
      <c r="T788" t="s">
        <v>26</v>
      </c>
      <c r="U788" t="s">
        <v>26</v>
      </c>
      <c r="V788">
        <v>0</v>
      </c>
      <c r="W788">
        <f>E788/100</f>
        <v>0.1</v>
      </c>
      <c r="X788">
        <f>F788/1000000</f>
        <v>1.716</v>
      </c>
      <c r="Y788">
        <f>IF(D788="C",1,0)</f>
        <v>0</v>
      </c>
      <c r="Z788">
        <f>IF(G788="C",1,0)</f>
        <v>0</v>
      </c>
      <c r="AA788">
        <f>IF(G788="S",1,0)</f>
        <v>0</v>
      </c>
      <c r="AB788">
        <f>IF(G788="U",1,0)</f>
        <v>0</v>
      </c>
      <c r="AC788" s="5">
        <f>IF(AND(ISNUMBER(H788),NOT(ISNUMBER(P788))),1,0)</f>
        <v>1</v>
      </c>
      <c r="AD788" s="5">
        <f>IF(AND(ISNUMBER(H788),ISNUMBER(P788)),1,0)</f>
        <v>0</v>
      </c>
      <c r="AE788" s="5">
        <f>W788</f>
        <v>0.1</v>
      </c>
      <c r="AF788" s="5">
        <f>X788</f>
        <v>1.716</v>
      </c>
      <c r="AG788" s="5">
        <f>Y788</f>
        <v>0</v>
      </c>
      <c r="AH788" s="5">
        <f>IF(OR(G788="C",G788="S",G788="U"),1,0)</f>
        <v>0</v>
      </c>
      <c r="AI788" s="5">
        <f>IF(ISNUMBER(H788),1,0)</f>
        <v>1</v>
      </c>
      <c r="AJ788" s="5">
        <f>IF(ISNUMBER(P788),1,0)</f>
        <v>0</v>
      </c>
      <c r="AK788" s="5">
        <f>IF(AI788=1,IF(J788&gt;0,1,0),"")</f>
        <v>0</v>
      </c>
      <c r="AL788" s="5" t="str">
        <f>IF(AJ788=1,IF(OR(Q788&gt;0,R788&gt;0),1,0),"")</f>
        <v/>
      </c>
    </row>
    <row r="789" spans="1:38">
      <c r="A789">
        <v>1095362</v>
      </c>
      <c r="B789" t="s">
        <v>853</v>
      </c>
      <c r="C789" t="s">
        <v>23</v>
      </c>
      <c r="D789" t="s">
        <v>24</v>
      </c>
      <c r="E789">
        <v>1</v>
      </c>
      <c r="F789">
        <v>4200</v>
      </c>
      <c r="H789">
        <v>1</v>
      </c>
      <c r="I789">
        <v>8</v>
      </c>
      <c r="J789">
        <v>3</v>
      </c>
      <c r="K789">
        <v>1</v>
      </c>
      <c r="L789">
        <v>0.375</v>
      </c>
      <c r="M789" t="s">
        <v>26</v>
      </c>
      <c r="N789">
        <v>0.375</v>
      </c>
      <c r="O789" t="s">
        <v>26</v>
      </c>
      <c r="P789" t="s">
        <v>26</v>
      </c>
      <c r="Q789" t="s">
        <v>26</v>
      </c>
      <c r="R789" t="s">
        <v>26</v>
      </c>
      <c r="S789" t="s">
        <v>26</v>
      </c>
      <c r="T789" t="s">
        <v>26</v>
      </c>
      <c r="U789" t="s">
        <v>26</v>
      </c>
      <c r="V789">
        <v>1</v>
      </c>
      <c r="W789">
        <f>E789/100</f>
        <v>0.01</v>
      </c>
      <c r="X789">
        <f>F789/1000000</f>
        <v>4.1999999999999997E-3</v>
      </c>
      <c r="Y789">
        <f>IF(D789="C",1,0)</f>
        <v>0</v>
      </c>
      <c r="Z789">
        <f>IF(G789="C",1,0)</f>
        <v>0</v>
      </c>
      <c r="AA789">
        <f>IF(G789="S",1,0)</f>
        <v>0</v>
      </c>
      <c r="AB789">
        <f>IF(G789="U",1,0)</f>
        <v>0</v>
      </c>
      <c r="AC789" s="5">
        <f>IF(AND(ISNUMBER(H789),NOT(ISNUMBER(P789))),1,0)</f>
        <v>1</v>
      </c>
      <c r="AD789" s="5">
        <f>IF(AND(ISNUMBER(H789),ISNUMBER(P789)),1,0)</f>
        <v>0</v>
      </c>
      <c r="AE789" s="5">
        <f>W789</f>
        <v>0.01</v>
      </c>
      <c r="AF789" s="5">
        <f>X789</f>
        <v>4.1999999999999997E-3</v>
      </c>
      <c r="AG789" s="5">
        <f>Y789</f>
        <v>0</v>
      </c>
      <c r="AH789" s="5">
        <f>IF(OR(G789="C",G789="S",G789="U"),1,0)</f>
        <v>0</v>
      </c>
      <c r="AI789" s="5">
        <f>IF(ISNUMBER(H789),1,0)</f>
        <v>1</v>
      </c>
      <c r="AJ789" s="5">
        <f>IF(ISNUMBER(P789),1,0)</f>
        <v>0</v>
      </c>
      <c r="AK789" s="5">
        <f>IF(AI789=1,IF(J789&gt;0,1,0),"")</f>
        <v>1</v>
      </c>
      <c r="AL789" s="5" t="str">
        <f>IF(AJ789=1,IF(OR(Q789&gt;0,R789&gt;0),1,0),"")</f>
        <v/>
      </c>
    </row>
    <row r="790" spans="1:38">
      <c r="A790">
        <v>1098657</v>
      </c>
      <c r="B790" t="s">
        <v>854</v>
      </c>
      <c r="C790" t="s">
        <v>190</v>
      </c>
      <c r="D790" t="s">
        <v>24</v>
      </c>
      <c r="E790">
        <v>72</v>
      </c>
      <c r="F790">
        <v>1250000</v>
      </c>
      <c r="H790">
        <v>1</v>
      </c>
      <c r="I790">
        <v>1</v>
      </c>
      <c r="J790">
        <v>0</v>
      </c>
      <c r="K790">
        <v>0</v>
      </c>
      <c r="L790">
        <v>0</v>
      </c>
      <c r="M790" t="s">
        <v>26</v>
      </c>
      <c r="N790">
        <v>0</v>
      </c>
      <c r="O790" t="s">
        <v>26</v>
      </c>
      <c r="P790" t="s">
        <v>26</v>
      </c>
      <c r="Q790" t="s">
        <v>26</v>
      </c>
      <c r="R790" t="s">
        <v>26</v>
      </c>
      <c r="S790" t="s">
        <v>26</v>
      </c>
      <c r="T790" t="s">
        <v>26</v>
      </c>
      <c r="U790" t="s">
        <v>26</v>
      </c>
      <c r="V790">
        <v>0</v>
      </c>
      <c r="W790">
        <f>E790/100</f>
        <v>0.72</v>
      </c>
      <c r="X790">
        <f>F790/1000000</f>
        <v>1.25</v>
      </c>
      <c r="Y790">
        <f>IF(D790="C",1,0)</f>
        <v>0</v>
      </c>
      <c r="Z790">
        <f>IF(G790="C",1,0)</f>
        <v>0</v>
      </c>
      <c r="AA790">
        <f>IF(G790="S",1,0)</f>
        <v>0</v>
      </c>
      <c r="AB790">
        <f>IF(G790="U",1,0)</f>
        <v>0</v>
      </c>
      <c r="AC790" s="5">
        <f>IF(AND(ISNUMBER(H790),NOT(ISNUMBER(P790))),1,0)</f>
        <v>1</v>
      </c>
      <c r="AD790" s="5">
        <f>IF(AND(ISNUMBER(H790),ISNUMBER(P790)),1,0)</f>
        <v>0</v>
      </c>
      <c r="AE790" s="5">
        <f>W790</f>
        <v>0.72</v>
      </c>
      <c r="AF790" s="5">
        <f>X790</f>
        <v>1.25</v>
      </c>
      <c r="AG790" s="5">
        <f>Y790</f>
        <v>0</v>
      </c>
      <c r="AH790" s="5">
        <f>IF(OR(G790="C",G790="S",G790="U"),1,0)</f>
        <v>0</v>
      </c>
      <c r="AI790" s="5">
        <f>IF(ISNUMBER(H790),1,0)</f>
        <v>1</v>
      </c>
      <c r="AJ790" s="5">
        <f>IF(ISNUMBER(P790),1,0)</f>
        <v>0</v>
      </c>
      <c r="AK790" s="5">
        <f>IF(AI790=1,IF(J790&gt;0,1,0),"")</f>
        <v>0</v>
      </c>
      <c r="AL790" s="5" t="str">
        <f>IF(AJ790=1,IF(OR(Q790&gt;0,R790&gt;0),1,0),"")</f>
        <v/>
      </c>
    </row>
    <row r="791" spans="1:38">
      <c r="A791">
        <v>1108632</v>
      </c>
      <c r="B791" t="s">
        <v>855</v>
      </c>
      <c r="C791" t="s">
        <v>37</v>
      </c>
      <c r="D791" t="s">
        <v>24</v>
      </c>
      <c r="E791">
        <v>18</v>
      </c>
      <c r="F791">
        <v>800000</v>
      </c>
      <c r="H791">
        <v>1</v>
      </c>
      <c r="I791">
        <v>0</v>
      </c>
      <c r="J791">
        <v>0</v>
      </c>
      <c r="K791">
        <v>0</v>
      </c>
      <c r="L791" t="s">
        <v>26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  <c r="S791" t="s">
        <v>26</v>
      </c>
      <c r="T791" t="s">
        <v>26</v>
      </c>
      <c r="U791" t="s">
        <v>26</v>
      </c>
      <c r="V791">
        <v>0</v>
      </c>
      <c r="W791">
        <f>E791/100</f>
        <v>0.18</v>
      </c>
      <c r="X791">
        <f>F791/1000000</f>
        <v>0.8</v>
      </c>
      <c r="Y791">
        <f>IF(D791="C",1,0)</f>
        <v>0</v>
      </c>
      <c r="Z791">
        <f>IF(G791="C",1,0)</f>
        <v>0</v>
      </c>
      <c r="AA791">
        <f>IF(G791="S",1,0)</f>
        <v>0</v>
      </c>
      <c r="AB791">
        <f>IF(G791="U",1,0)</f>
        <v>0</v>
      </c>
      <c r="AC791" s="5">
        <f>IF(AND(ISNUMBER(H791),NOT(ISNUMBER(P791))),1,0)</f>
        <v>1</v>
      </c>
      <c r="AD791" s="5">
        <f>IF(AND(ISNUMBER(H791),ISNUMBER(P791)),1,0)</f>
        <v>0</v>
      </c>
      <c r="AE791" s="5">
        <f>W791</f>
        <v>0.18</v>
      </c>
      <c r="AF791" s="5">
        <f>X791</f>
        <v>0.8</v>
      </c>
      <c r="AG791" s="5">
        <f>Y791</f>
        <v>0</v>
      </c>
      <c r="AH791" s="5">
        <f>IF(OR(G791="C",G791="S",G791="U"),1,0)</f>
        <v>0</v>
      </c>
      <c r="AI791" s="5">
        <f>IF(ISNUMBER(H791),1,0)</f>
        <v>1</v>
      </c>
      <c r="AJ791" s="5">
        <f>IF(ISNUMBER(P791),1,0)</f>
        <v>0</v>
      </c>
      <c r="AK791" s="5">
        <f>IF(AI791=1,IF(J791&gt;0,1,0),"")</f>
        <v>0</v>
      </c>
      <c r="AL791" s="5" t="str">
        <f>IF(AJ791=1,IF(OR(Q791&gt;0,R791&gt;0),1,0),"")</f>
        <v/>
      </c>
    </row>
    <row r="792" spans="1:38">
      <c r="A792">
        <v>1109502</v>
      </c>
      <c r="B792" t="s">
        <v>856</v>
      </c>
      <c r="C792" t="s">
        <v>23</v>
      </c>
      <c r="D792" t="s">
        <v>24</v>
      </c>
      <c r="E792">
        <v>195</v>
      </c>
      <c r="F792">
        <v>4519277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  <c r="S792" t="s">
        <v>26</v>
      </c>
      <c r="T792" t="s">
        <v>26</v>
      </c>
      <c r="U792" t="s">
        <v>26</v>
      </c>
      <c r="V792">
        <v>0</v>
      </c>
      <c r="W792">
        <f>E792/100</f>
        <v>1.95</v>
      </c>
      <c r="X792">
        <f>F792/1000000</f>
        <v>4.5192769999999998</v>
      </c>
      <c r="Y792">
        <f>IF(D792="C",1,0)</f>
        <v>0</v>
      </c>
      <c r="Z792">
        <f>IF(G792="C",1,0)</f>
        <v>0</v>
      </c>
      <c r="AA792">
        <f>IF(G792="S",1,0)</f>
        <v>0</v>
      </c>
      <c r="AB792">
        <f>IF(G792="U",1,0)</f>
        <v>0</v>
      </c>
      <c r="AC792" s="5">
        <f>IF(AND(ISNUMBER(H792),NOT(ISNUMBER(P792))),1,0)</f>
        <v>1</v>
      </c>
      <c r="AD792" s="5">
        <f>IF(AND(ISNUMBER(H792),ISNUMBER(P792)),1,0)</f>
        <v>0</v>
      </c>
      <c r="AE792" s="5">
        <f>W792</f>
        <v>1.95</v>
      </c>
      <c r="AF792" s="5">
        <f>X792</f>
        <v>4.5192769999999998</v>
      </c>
      <c r="AG792" s="5">
        <f>Y792</f>
        <v>0</v>
      </c>
      <c r="AH792" s="5">
        <f>IF(OR(G792="C",G792="S",G792="U"),1,0)</f>
        <v>0</v>
      </c>
      <c r="AI792" s="5">
        <f>IF(ISNUMBER(H792),1,0)</f>
        <v>1</v>
      </c>
      <c r="AJ792" s="5">
        <f>IF(ISNUMBER(P792),1,0)</f>
        <v>0</v>
      </c>
      <c r="AK792" s="5">
        <f>IF(AI792=1,IF(J792&gt;0,1,0),"")</f>
        <v>0</v>
      </c>
      <c r="AL792" s="5" t="str">
        <f>IF(AJ792=1,IF(OR(Q792&gt;0,R792&gt;0),1,0),"")</f>
        <v/>
      </c>
    </row>
    <row r="793" spans="1:38">
      <c r="A793">
        <v>1121042</v>
      </c>
      <c r="B793" t="s">
        <v>857</v>
      </c>
      <c r="C793" t="s">
        <v>135</v>
      </c>
      <c r="D793" t="s">
        <v>24</v>
      </c>
      <c r="E793">
        <v>70</v>
      </c>
      <c r="F793">
        <v>4881108</v>
      </c>
      <c r="G793" t="s">
        <v>25</v>
      </c>
      <c r="H793">
        <v>1</v>
      </c>
      <c r="I793">
        <v>0</v>
      </c>
      <c r="J793">
        <v>0</v>
      </c>
      <c r="K793">
        <v>0</v>
      </c>
      <c r="L793" t="s">
        <v>26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  <c r="S793" t="s">
        <v>26</v>
      </c>
      <c r="T793" t="s">
        <v>26</v>
      </c>
      <c r="U793" t="s">
        <v>26</v>
      </c>
      <c r="V793">
        <v>0</v>
      </c>
      <c r="W793">
        <f>E793/100</f>
        <v>0.7</v>
      </c>
      <c r="X793">
        <f>F793/1000000</f>
        <v>4.8811080000000002</v>
      </c>
      <c r="Y793">
        <f>IF(D793="C",1,0)</f>
        <v>0</v>
      </c>
      <c r="Z793">
        <f>IF(G793="C",1,0)</f>
        <v>0</v>
      </c>
      <c r="AA793">
        <f>IF(G793="S",1,0)</f>
        <v>1</v>
      </c>
      <c r="AB793">
        <f>IF(G793="U",1,0)</f>
        <v>0</v>
      </c>
      <c r="AC793" s="5">
        <f>IF(AND(ISNUMBER(H793),NOT(ISNUMBER(P793))),1,0)</f>
        <v>1</v>
      </c>
      <c r="AD793" s="5">
        <f>IF(AND(ISNUMBER(H793),ISNUMBER(P793)),1,0)</f>
        <v>0</v>
      </c>
      <c r="AE793" s="5">
        <f>W793</f>
        <v>0.7</v>
      </c>
      <c r="AF793" s="5">
        <f>X793</f>
        <v>4.8811080000000002</v>
      </c>
      <c r="AG793" s="5">
        <f>Y793</f>
        <v>0</v>
      </c>
      <c r="AH793" s="5">
        <f>IF(OR(G793="C",G793="S",G793="U"),1,0)</f>
        <v>1</v>
      </c>
      <c r="AI793" s="5">
        <f>IF(ISNUMBER(H793),1,0)</f>
        <v>1</v>
      </c>
      <c r="AJ793" s="5">
        <f>IF(ISNUMBER(P793),1,0)</f>
        <v>0</v>
      </c>
      <c r="AK793" s="5">
        <f>IF(AI793=1,IF(J793&gt;0,1,0),"")</f>
        <v>0</v>
      </c>
      <c r="AL793" s="5" t="str">
        <f>IF(AJ793=1,IF(OR(Q793&gt;0,R793&gt;0),1,0),"")</f>
        <v/>
      </c>
    </row>
    <row r="794" spans="1:38">
      <c r="A794">
        <v>1131649</v>
      </c>
      <c r="B794" t="s">
        <v>858</v>
      </c>
      <c r="C794" t="s">
        <v>37</v>
      </c>
      <c r="D794" t="s">
        <v>33</v>
      </c>
      <c r="E794">
        <v>20</v>
      </c>
      <c r="F794">
        <v>365579</v>
      </c>
      <c r="H794">
        <v>1</v>
      </c>
      <c r="I794">
        <v>0</v>
      </c>
      <c r="J794">
        <v>0</v>
      </c>
      <c r="K794">
        <v>0</v>
      </c>
      <c r="L794" t="s">
        <v>26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  <c r="S794" t="s">
        <v>26</v>
      </c>
      <c r="T794" t="s">
        <v>26</v>
      </c>
      <c r="U794" t="s">
        <v>26</v>
      </c>
      <c r="V794">
        <v>0</v>
      </c>
      <c r="W794">
        <f>E794/100</f>
        <v>0.2</v>
      </c>
      <c r="X794">
        <f>F794/1000000</f>
        <v>0.36557899999999999</v>
      </c>
      <c r="Y794">
        <f>IF(D794="C",1,0)</f>
        <v>1</v>
      </c>
      <c r="Z794">
        <f>IF(G794="C",1,0)</f>
        <v>0</v>
      </c>
      <c r="AA794">
        <f>IF(G794="S",1,0)</f>
        <v>0</v>
      </c>
      <c r="AB794">
        <f>IF(G794="U",1,0)</f>
        <v>0</v>
      </c>
      <c r="AC794" s="5">
        <f>IF(AND(ISNUMBER(H794),NOT(ISNUMBER(P794))),1,0)</f>
        <v>1</v>
      </c>
      <c r="AD794" s="5">
        <f>IF(AND(ISNUMBER(H794),ISNUMBER(P794)),1,0)</f>
        <v>0</v>
      </c>
      <c r="AE794" s="5">
        <f>W794</f>
        <v>0.2</v>
      </c>
      <c r="AF794" s="5">
        <f>X794</f>
        <v>0.36557899999999999</v>
      </c>
      <c r="AG794" s="5">
        <f>Y794</f>
        <v>1</v>
      </c>
      <c r="AH794" s="5">
        <f>IF(OR(G794="C",G794="S",G794="U"),1,0)</f>
        <v>0</v>
      </c>
      <c r="AI794" s="5">
        <f>IF(ISNUMBER(H794),1,0)</f>
        <v>1</v>
      </c>
      <c r="AJ794" s="5">
        <f>IF(ISNUMBER(P794),1,0)</f>
        <v>0</v>
      </c>
      <c r="AK794" s="5">
        <f>IF(AI794=1,IF(J794&gt;0,1,0),"")</f>
        <v>0</v>
      </c>
      <c r="AL794" s="5" t="str">
        <f>IF(AJ794=1,IF(OR(Q794&gt;0,R794&gt;0),1,0),"")</f>
        <v/>
      </c>
    </row>
    <row r="795" spans="1:38">
      <c r="A795">
        <v>1156645</v>
      </c>
      <c r="B795" t="s">
        <v>859</v>
      </c>
      <c r="C795" t="s">
        <v>23</v>
      </c>
      <c r="D795" t="s">
        <v>24</v>
      </c>
      <c r="E795">
        <v>3</v>
      </c>
      <c r="F795">
        <v>33000</v>
      </c>
      <c r="H795">
        <v>1</v>
      </c>
      <c r="I795">
        <v>5</v>
      </c>
      <c r="J795">
        <v>0</v>
      </c>
      <c r="K795">
        <v>0</v>
      </c>
      <c r="L795">
        <v>0</v>
      </c>
      <c r="M795">
        <v>0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  <c r="S795" t="s">
        <v>26</v>
      </c>
      <c r="T795" t="s">
        <v>26</v>
      </c>
      <c r="U795" t="s">
        <v>26</v>
      </c>
      <c r="V795">
        <v>0</v>
      </c>
      <c r="W795">
        <f>E795/100</f>
        <v>0.03</v>
      </c>
      <c r="X795">
        <f>F795/1000000</f>
        <v>3.3000000000000002E-2</v>
      </c>
      <c r="Y795">
        <f>IF(D795="C",1,0)</f>
        <v>0</v>
      </c>
      <c r="Z795">
        <f>IF(G795="C",1,0)</f>
        <v>0</v>
      </c>
      <c r="AA795">
        <f>IF(G795="S",1,0)</f>
        <v>0</v>
      </c>
      <c r="AB795">
        <f>IF(G795="U",1,0)</f>
        <v>0</v>
      </c>
      <c r="AC795" s="5">
        <f>IF(AND(ISNUMBER(H795),NOT(ISNUMBER(P795))),1,0)</f>
        <v>1</v>
      </c>
      <c r="AD795" s="5">
        <f>IF(AND(ISNUMBER(H795),ISNUMBER(P795)),1,0)</f>
        <v>0</v>
      </c>
      <c r="AE795" s="5">
        <f>W795</f>
        <v>0.03</v>
      </c>
      <c r="AF795" s="5">
        <f>X795</f>
        <v>3.3000000000000002E-2</v>
      </c>
      <c r="AG795" s="5">
        <f>Y795</f>
        <v>0</v>
      </c>
      <c r="AH795" s="5">
        <f>IF(OR(G795="C",G795="S",G795="U"),1,0)</f>
        <v>0</v>
      </c>
      <c r="AI795" s="5">
        <f>IF(ISNUMBER(H795),1,0)</f>
        <v>1</v>
      </c>
      <c r="AJ795" s="5">
        <f>IF(ISNUMBER(P795),1,0)</f>
        <v>0</v>
      </c>
      <c r="AK795" s="5">
        <f>IF(AI795=1,IF(J795&gt;0,1,0),"")</f>
        <v>0</v>
      </c>
      <c r="AL795" s="5" t="str">
        <f>IF(AJ795=1,IF(OR(Q795&gt;0,R795&gt;0),1,0),"")</f>
        <v/>
      </c>
    </row>
    <row r="796" spans="1:38">
      <c r="A796">
        <v>1166072</v>
      </c>
      <c r="B796" t="s">
        <v>860</v>
      </c>
      <c r="C796" t="s">
        <v>37</v>
      </c>
      <c r="D796" t="s">
        <v>33</v>
      </c>
      <c r="E796">
        <v>13</v>
      </c>
      <c r="F796">
        <v>100000</v>
      </c>
      <c r="H796">
        <v>1</v>
      </c>
      <c r="I796">
        <v>3</v>
      </c>
      <c r="J796">
        <v>1</v>
      </c>
      <c r="K796">
        <v>1</v>
      </c>
      <c r="L796">
        <v>0.33329999999999999</v>
      </c>
      <c r="M796" t="s">
        <v>26</v>
      </c>
      <c r="N796">
        <v>0.33329999999999999</v>
      </c>
      <c r="O796" t="s">
        <v>26</v>
      </c>
      <c r="P796" t="s">
        <v>26</v>
      </c>
      <c r="Q796" t="s">
        <v>26</v>
      </c>
      <c r="R796" t="s">
        <v>26</v>
      </c>
      <c r="S796" t="s">
        <v>26</v>
      </c>
      <c r="T796" t="s">
        <v>26</v>
      </c>
      <c r="U796" t="s">
        <v>26</v>
      </c>
      <c r="V796">
        <v>1</v>
      </c>
      <c r="W796">
        <f>E796/100</f>
        <v>0.13</v>
      </c>
      <c r="X796">
        <f>F796/1000000</f>
        <v>0.1</v>
      </c>
      <c r="Y796">
        <f>IF(D796="C",1,0)</f>
        <v>1</v>
      </c>
      <c r="Z796">
        <f>IF(G796="C",1,0)</f>
        <v>0</v>
      </c>
      <c r="AA796">
        <f>IF(G796="S",1,0)</f>
        <v>0</v>
      </c>
      <c r="AB796">
        <f>IF(G796="U",1,0)</f>
        <v>0</v>
      </c>
      <c r="AC796" s="5">
        <f>IF(AND(ISNUMBER(H796),NOT(ISNUMBER(P796))),1,0)</f>
        <v>1</v>
      </c>
      <c r="AD796" s="5">
        <f>IF(AND(ISNUMBER(H796),ISNUMBER(P796)),1,0)</f>
        <v>0</v>
      </c>
      <c r="AE796" s="5">
        <f>W796</f>
        <v>0.13</v>
      </c>
      <c r="AF796" s="5">
        <f>X796</f>
        <v>0.1</v>
      </c>
      <c r="AG796" s="5">
        <f>Y796</f>
        <v>1</v>
      </c>
      <c r="AH796" s="5">
        <f>IF(OR(G796="C",G796="S",G796="U"),1,0)</f>
        <v>0</v>
      </c>
      <c r="AI796" s="5">
        <f>IF(ISNUMBER(H796),1,0)</f>
        <v>1</v>
      </c>
      <c r="AJ796" s="5">
        <f>IF(ISNUMBER(P796),1,0)</f>
        <v>0</v>
      </c>
      <c r="AK796" s="5">
        <f>IF(AI796=1,IF(J796&gt;0,1,0),"")</f>
        <v>1</v>
      </c>
      <c r="AL796" s="5" t="str">
        <f>IF(AJ796=1,IF(OR(Q796&gt;0,R796&gt;0),1,0),"")</f>
        <v/>
      </c>
    </row>
    <row r="797" spans="1:38">
      <c r="A797">
        <v>1184841</v>
      </c>
      <c r="B797" t="s">
        <v>861</v>
      </c>
      <c r="C797" t="s">
        <v>77</v>
      </c>
      <c r="D797" t="s">
        <v>24</v>
      </c>
      <c r="E797">
        <v>7</v>
      </c>
      <c r="F797">
        <v>259168</v>
      </c>
      <c r="G797" t="s">
        <v>25</v>
      </c>
      <c r="H797">
        <v>1</v>
      </c>
      <c r="I797">
        <v>2</v>
      </c>
      <c r="J797">
        <v>0</v>
      </c>
      <c r="K797">
        <v>0</v>
      </c>
      <c r="L797">
        <v>0</v>
      </c>
      <c r="M797">
        <v>0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  <c r="S797" t="s">
        <v>26</v>
      </c>
      <c r="T797" t="s">
        <v>26</v>
      </c>
      <c r="U797" t="s">
        <v>26</v>
      </c>
      <c r="V797">
        <v>0</v>
      </c>
      <c r="W797">
        <f>E797/100</f>
        <v>7.0000000000000007E-2</v>
      </c>
      <c r="X797">
        <f>F797/1000000</f>
        <v>0.25916800000000001</v>
      </c>
      <c r="Y797">
        <f>IF(D797="C",1,0)</f>
        <v>0</v>
      </c>
      <c r="Z797">
        <f>IF(G797="C",1,0)</f>
        <v>0</v>
      </c>
      <c r="AA797">
        <f>IF(G797="S",1,0)</f>
        <v>1</v>
      </c>
      <c r="AB797">
        <f>IF(G797="U",1,0)</f>
        <v>0</v>
      </c>
      <c r="AC797" s="5">
        <f>IF(AND(ISNUMBER(H797),NOT(ISNUMBER(P797))),1,0)</f>
        <v>1</v>
      </c>
      <c r="AD797" s="5">
        <f>IF(AND(ISNUMBER(H797),ISNUMBER(P797)),1,0)</f>
        <v>0</v>
      </c>
      <c r="AE797" s="5">
        <f>W797</f>
        <v>7.0000000000000007E-2</v>
      </c>
      <c r="AF797" s="5">
        <f>X797</f>
        <v>0.25916800000000001</v>
      </c>
      <c r="AG797" s="5">
        <f>Y797</f>
        <v>0</v>
      </c>
      <c r="AH797" s="5">
        <f>IF(OR(G797="C",G797="S",G797="U"),1,0)</f>
        <v>1</v>
      </c>
      <c r="AI797" s="5">
        <f>IF(ISNUMBER(H797),1,0)</f>
        <v>1</v>
      </c>
      <c r="AJ797" s="5">
        <f>IF(ISNUMBER(P797),1,0)</f>
        <v>0</v>
      </c>
      <c r="AK797" s="5">
        <f>IF(AI797=1,IF(J797&gt;0,1,0),"")</f>
        <v>0</v>
      </c>
      <c r="AL797" s="5" t="str">
        <f>IF(AJ797=1,IF(OR(Q797&gt;0,R797&gt;0),1,0),"")</f>
        <v/>
      </c>
    </row>
    <row r="798" spans="1:38">
      <c r="A798">
        <v>1185432</v>
      </c>
      <c r="B798" t="s">
        <v>862</v>
      </c>
      <c r="C798" t="s">
        <v>23</v>
      </c>
      <c r="D798" t="s">
        <v>24</v>
      </c>
      <c r="E798">
        <v>1</v>
      </c>
      <c r="F798">
        <v>95000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  <c r="S798" t="s">
        <v>26</v>
      </c>
      <c r="T798" t="s">
        <v>26</v>
      </c>
      <c r="U798" t="s">
        <v>26</v>
      </c>
      <c r="V798">
        <v>0</v>
      </c>
      <c r="W798">
        <f>E798/100</f>
        <v>0.01</v>
      </c>
      <c r="X798">
        <f>F798/1000000</f>
        <v>9.5000000000000001E-2</v>
      </c>
      <c r="Y798">
        <f>IF(D798="C",1,0)</f>
        <v>0</v>
      </c>
      <c r="Z798">
        <f>IF(G798="C",1,0)</f>
        <v>0</v>
      </c>
      <c r="AA798">
        <f>IF(G798="S",1,0)</f>
        <v>0</v>
      </c>
      <c r="AB798">
        <f>IF(G798="U",1,0)</f>
        <v>0</v>
      </c>
      <c r="AC798" s="5">
        <f>IF(AND(ISNUMBER(H798),NOT(ISNUMBER(P798))),1,0)</f>
        <v>1</v>
      </c>
      <c r="AD798" s="5">
        <f>IF(AND(ISNUMBER(H798),ISNUMBER(P798)),1,0)</f>
        <v>0</v>
      </c>
      <c r="AE798" s="5">
        <f>W798</f>
        <v>0.01</v>
      </c>
      <c r="AF798" s="5">
        <f>X798</f>
        <v>9.5000000000000001E-2</v>
      </c>
      <c r="AG798" s="5">
        <f>Y798</f>
        <v>0</v>
      </c>
      <c r="AH798" s="5">
        <f>IF(OR(G798="C",G798="S",G798="U"),1,0)</f>
        <v>0</v>
      </c>
      <c r="AI798" s="5">
        <f>IF(ISNUMBER(H798),1,0)</f>
        <v>1</v>
      </c>
      <c r="AJ798" s="5">
        <f>IF(ISNUMBER(P798),1,0)</f>
        <v>0</v>
      </c>
      <c r="AK798" s="5">
        <f>IF(AI798=1,IF(J798&gt;0,1,0),"")</f>
        <v>0</v>
      </c>
      <c r="AL798" s="5" t="str">
        <f>IF(AJ798=1,IF(OR(Q798&gt;0,R798&gt;0),1,0),"")</f>
        <v/>
      </c>
    </row>
    <row r="799" spans="1:38">
      <c r="A799">
        <v>1203968</v>
      </c>
      <c r="B799" t="s">
        <v>863</v>
      </c>
      <c r="C799" t="s">
        <v>181</v>
      </c>
      <c r="D799" t="s">
        <v>24</v>
      </c>
      <c r="E799">
        <v>5</v>
      </c>
      <c r="F799">
        <v>309669</v>
      </c>
      <c r="G799" t="s">
        <v>33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  <c r="S799" t="s">
        <v>26</v>
      </c>
      <c r="T799" t="s">
        <v>26</v>
      </c>
      <c r="U799" t="s">
        <v>26</v>
      </c>
      <c r="V799">
        <v>0</v>
      </c>
      <c r="W799">
        <f>E799/100</f>
        <v>0.05</v>
      </c>
      <c r="X799">
        <f>F799/1000000</f>
        <v>0.30966900000000003</v>
      </c>
      <c r="Y799">
        <f>IF(D799="C",1,0)</f>
        <v>0</v>
      </c>
      <c r="Z799">
        <f>IF(G799="C",1,0)</f>
        <v>1</v>
      </c>
      <c r="AA799">
        <f>IF(G799="S",1,0)</f>
        <v>0</v>
      </c>
      <c r="AB799">
        <f>IF(G799="U",1,0)</f>
        <v>0</v>
      </c>
      <c r="AC799" s="5">
        <f>IF(AND(ISNUMBER(H799),NOT(ISNUMBER(P799))),1,0)</f>
        <v>1</v>
      </c>
      <c r="AD799" s="5">
        <f>IF(AND(ISNUMBER(H799),ISNUMBER(P799)),1,0)</f>
        <v>0</v>
      </c>
      <c r="AE799" s="5">
        <f>W799</f>
        <v>0.05</v>
      </c>
      <c r="AF799" s="5">
        <f>X799</f>
        <v>0.30966900000000003</v>
      </c>
      <c r="AG799" s="5">
        <f>Y799</f>
        <v>0</v>
      </c>
      <c r="AH799" s="5">
        <f>IF(OR(G799="C",G799="S",G799="U"),1,0)</f>
        <v>1</v>
      </c>
      <c r="AI799" s="5">
        <f>IF(ISNUMBER(H799),1,0)</f>
        <v>1</v>
      </c>
      <c r="AJ799" s="5">
        <f>IF(ISNUMBER(P799),1,0)</f>
        <v>0</v>
      </c>
      <c r="AK799" s="5">
        <f>IF(AI799=1,IF(J799&gt;0,1,0),"")</f>
        <v>0</v>
      </c>
      <c r="AL799" s="5" t="str">
        <f>IF(AJ799=1,IF(OR(Q799&gt;0,R799&gt;0),1,0),"")</f>
        <v/>
      </c>
    </row>
    <row r="800" spans="1:38">
      <c r="A800">
        <v>1223932</v>
      </c>
      <c r="B800" t="s">
        <v>864</v>
      </c>
      <c r="C800" t="s">
        <v>77</v>
      </c>
      <c r="D800" t="s">
        <v>24</v>
      </c>
      <c r="E800">
        <v>13</v>
      </c>
      <c r="F800">
        <v>327942</v>
      </c>
      <c r="H800">
        <v>1</v>
      </c>
      <c r="I800">
        <v>0</v>
      </c>
      <c r="J800">
        <v>0</v>
      </c>
      <c r="K800">
        <v>0</v>
      </c>
      <c r="L800" t="s">
        <v>26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  <c r="S800" t="s">
        <v>26</v>
      </c>
      <c r="T800" t="s">
        <v>26</v>
      </c>
      <c r="U800" t="s">
        <v>26</v>
      </c>
      <c r="V800">
        <v>0</v>
      </c>
      <c r="W800">
        <f>E800/100</f>
        <v>0.13</v>
      </c>
      <c r="X800">
        <f>F800/1000000</f>
        <v>0.32794200000000001</v>
      </c>
      <c r="Y800">
        <f>IF(D800="C",1,0)</f>
        <v>0</v>
      </c>
      <c r="Z800">
        <f>IF(G800="C",1,0)</f>
        <v>0</v>
      </c>
      <c r="AA800">
        <f>IF(G800="S",1,0)</f>
        <v>0</v>
      </c>
      <c r="AB800">
        <f>IF(G800="U",1,0)</f>
        <v>0</v>
      </c>
      <c r="AC800" s="5">
        <f>IF(AND(ISNUMBER(H800),NOT(ISNUMBER(P800))),1,0)</f>
        <v>1</v>
      </c>
      <c r="AD800" s="5">
        <f>IF(AND(ISNUMBER(H800),ISNUMBER(P800)),1,0)</f>
        <v>0</v>
      </c>
      <c r="AE800" s="5">
        <f>W800</f>
        <v>0.13</v>
      </c>
      <c r="AF800" s="5">
        <f>X800</f>
        <v>0.32794200000000001</v>
      </c>
      <c r="AG800" s="5">
        <f>Y800</f>
        <v>0</v>
      </c>
      <c r="AH800" s="5">
        <f>IF(OR(G800="C",G800="S",G800="U"),1,0)</f>
        <v>0</v>
      </c>
      <c r="AI800" s="5">
        <f>IF(ISNUMBER(H800),1,0)</f>
        <v>1</v>
      </c>
      <c r="AJ800" s="5">
        <f>IF(ISNUMBER(P800),1,0)</f>
        <v>0</v>
      </c>
      <c r="AK800" s="5">
        <f>IF(AI800=1,IF(J800&gt;0,1,0),"")</f>
        <v>0</v>
      </c>
      <c r="AL800" s="5" t="str">
        <f>IF(AJ800=1,IF(OR(Q800&gt;0,R800&gt;0),1,0),"")</f>
        <v/>
      </c>
    </row>
    <row r="801" spans="1:38">
      <c r="A801">
        <v>1245654</v>
      </c>
      <c r="B801" t="s">
        <v>865</v>
      </c>
      <c r="C801" t="s">
        <v>23</v>
      </c>
      <c r="D801" t="s">
        <v>33</v>
      </c>
      <c r="E801">
        <v>152</v>
      </c>
      <c r="F801">
        <v>1368200</v>
      </c>
      <c r="H801">
        <v>2</v>
      </c>
      <c r="I801">
        <v>0</v>
      </c>
      <c r="J801">
        <v>0</v>
      </c>
      <c r="K801">
        <v>0</v>
      </c>
      <c r="L801" t="s">
        <v>26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  <c r="S801" t="s">
        <v>26</v>
      </c>
      <c r="T801" t="s">
        <v>26</v>
      </c>
      <c r="U801" t="s">
        <v>26</v>
      </c>
      <c r="V801">
        <v>0</v>
      </c>
      <c r="W801">
        <f>E801/100</f>
        <v>1.52</v>
      </c>
      <c r="X801">
        <f>F801/1000000</f>
        <v>1.3682000000000001</v>
      </c>
      <c r="Y801">
        <f>IF(D801="C",1,0)</f>
        <v>1</v>
      </c>
      <c r="Z801">
        <f>IF(G801="C",1,0)</f>
        <v>0</v>
      </c>
      <c r="AA801">
        <f>IF(G801="S",1,0)</f>
        <v>0</v>
      </c>
      <c r="AB801">
        <f>IF(G801="U",1,0)</f>
        <v>0</v>
      </c>
      <c r="AC801" s="5">
        <f>IF(AND(ISNUMBER(H801),NOT(ISNUMBER(P801))),1,0)</f>
        <v>1</v>
      </c>
      <c r="AD801" s="5">
        <f>IF(AND(ISNUMBER(H801),ISNUMBER(P801)),1,0)</f>
        <v>0</v>
      </c>
      <c r="AE801" s="5">
        <f>W801</f>
        <v>1.52</v>
      </c>
      <c r="AF801" s="5">
        <f>X801</f>
        <v>1.3682000000000001</v>
      </c>
      <c r="AG801" s="5">
        <f>Y801</f>
        <v>1</v>
      </c>
      <c r="AH801" s="5">
        <f>IF(OR(G801="C",G801="S",G801="U"),1,0)</f>
        <v>0</v>
      </c>
      <c r="AI801" s="5">
        <f>IF(ISNUMBER(H801),1,0)</f>
        <v>1</v>
      </c>
      <c r="AJ801" s="5">
        <f>IF(ISNUMBER(P801),1,0)</f>
        <v>0</v>
      </c>
      <c r="AK801" s="5">
        <f>IF(AI801=1,IF(J801&gt;0,1,0),"")</f>
        <v>0</v>
      </c>
      <c r="AL801" s="5" t="str">
        <f>IF(AJ801=1,IF(OR(Q801&gt;0,R801&gt;0),1,0),"")</f>
        <v/>
      </c>
    </row>
    <row r="802" spans="1:38">
      <c r="A802">
        <v>1254676</v>
      </c>
      <c r="B802" t="s">
        <v>866</v>
      </c>
      <c r="C802" t="s">
        <v>370</v>
      </c>
      <c r="D802" t="s">
        <v>24</v>
      </c>
      <c r="E802">
        <v>7</v>
      </c>
      <c r="F802">
        <v>3990265</v>
      </c>
      <c r="G802" t="s">
        <v>25</v>
      </c>
      <c r="H802">
        <v>1</v>
      </c>
      <c r="I802">
        <v>0</v>
      </c>
      <c r="J802">
        <v>0</v>
      </c>
      <c r="K802">
        <v>0</v>
      </c>
      <c r="L802" t="s">
        <v>26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  <c r="S802" t="s">
        <v>26</v>
      </c>
      <c r="T802" t="s">
        <v>26</v>
      </c>
      <c r="U802" t="s">
        <v>26</v>
      </c>
      <c r="V802">
        <v>0</v>
      </c>
      <c r="W802">
        <f>E802/100</f>
        <v>7.0000000000000007E-2</v>
      </c>
      <c r="X802">
        <f>F802/1000000</f>
        <v>3.990265</v>
      </c>
      <c r="Y802">
        <f>IF(D802="C",1,0)</f>
        <v>0</v>
      </c>
      <c r="Z802">
        <f>IF(G802="C",1,0)</f>
        <v>0</v>
      </c>
      <c r="AA802">
        <f>IF(G802="S",1,0)</f>
        <v>1</v>
      </c>
      <c r="AB802">
        <f>IF(G802="U",1,0)</f>
        <v>0</v>
      </c>
      <c r="AC802" s="5">
        <f>IF(AND(ISNUMBER(H802),NOT(ISNUMBER(P802))),1,0)</f>
        <v>1</v>
      </c>
      <c r="AD802" s="5">
        <f>IF(AND(ISNUMBER(H802),ISNUMBER(P802)),1,0)</f>
        <v>0</v>
      </c>
      <c r="AE802" s="5">
        <f>W802</f>
        <v>7.0000000000000007E-2</v>
      </c>
      <c r="AF802" s="5">
        <f>X802</f>
        <v>3.990265</v>
      </c>
      <c r="AG802" s="5">
        <f>Y802</f>
        <v>0</v>
      </c>
      <c r="AH802" s="5">
        <f>IF(OR(G802="C",G802="S",G802="U"),1,0)</f>
        <v>1</v>
      </c>
      <c r="AI802" s="5">
        <f>IF(ISNUMBER(H802),1,0)</f>
        <v>1</v>
      </c>
      <c r="AJ802" s="5">
        <f>IF(ISNUMBER(P802),1,0)</f>
        <v>0</v>
      </c>
      <c r="AK802" s="5">
        <f>IF(AI802=1,IF(J802&gt;0,1,0),"")</f>
        <v>0</v>
      </c>
      <c r="AL802" s="5" t="str">
        <f>IF(AJ802=1,IF(OR(Q802&gt;0,R802&gt;0),1,0),"")</f>
        <v/>
      </c>
    </row>
    <row r="803" spans="1:38">
      <c r="A803">
        <v>1264013</v>
      </c>
      <c r="B803" t="s">
        <v>867</v>
      </c>
      <c r="C803" t="s">
        <v>82</v>
      </c>
      <c r="D803" t="s">
        <v>24</v>
      </c>
      <c r="E803">
        <v>1</v>
      </c>
      <c r="F803">
        <v>93697</v>
      </c>
      <c r="G803" t="s">
        <v>33</v>
      </c>
      <c r="H803">
        <v>1</v>
      </c>
      <c r="I803">
        <v>0</v>
      </c>
      <c r="J803">
        <v>0</v>
      </c>
      <c r="K803">
        <v>0</v>
      </c>
      <c r="L803" t="s">
        <v>26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  <c r="S803" t="s">
        <v>26</v>
      </c>
      <c r="T803" t="s">
        <v>26</v>
      </c>
      <c r="U803" t="s">
        <v>26</v>
      </c>
      <c r="V803">
        <v>0</v>
      </c>
      <c r="W803">
        <f>E803/100</f>
        <v>0.01</v>
      </c>
      <c r="X803">
        <f>F803/1000000</f>
        <v>9.3697000000000003E-2</v>
      </c>
      <c r="Y803">
        <f>IF(D803="C",1,0)</f>
        <v>0</v>
      </c>
      <c r="Z803">
        <f>IF(G803="C",1,0)</f>
        <v>1</v>
      </c>
      <c r="AA803">
        <f>IF(G803="S",1,0)</f>
        <v>0</v>
      </c>
      <c r="AB803">
        <f>IF(G803="U",1,0)</f>
        <v>0</v>
      </c>
      <c r="AC803" s="5">
        <f>IF(AND(ISNUMBER(H803),NOT(ISNUMBER(P803))),1,0)</f>
        <v>1</v>
      </c>
      <c r="AD803" s="5">
        <f>IF(AND(ISNUMBER(H803),ISNUMBER(P803)),1,0)</f>
        <v>0</v>
      </c>
      <c r="AE803" s="5">
        <f>W803</f>
        <v>0.01</v>
      </c>
      <c r="AF803" s="5">
        <f>X803</f>
        <v>9.3697000000000003E-2</v>
      </c>
      <c r="AG803" s="5">
        <f>Y803</f>
        <v>0</v>
      </c>
      <c r="AH803" s="5">
        <f>IF(OR(G803="C",G803="S",G803="U"),1,0)</f>
        <v>1</v>
      </c>
      <c r="AI803" s="5">
        <f>IF(ISNUMBER(H803),1,0)</f>
        <v>1</v>
      </c>
      <c r="AJ803" s="5">
        <f>IF(ISNUMBER(P803),1,0)</f>
        <v>0</v>
      </c>
      <c r="AK803" s="5">
        <f>IF(AI803=1,IF(J803&gt;0,1,0),"")</f>
        <v>0</v>
      </c>
      <c r="AL803" s="5" t="str">
        <f>IF(AJ803=1,IF(OR(Q803&gt;0,R803&gt;0),1,0),"")</f>
        <v/>
      </c>
    </row>
    <row r="804" spans="1:38">
      <c r="A804">
        <v>1272724</v>
      </c>
      <c r="B804" t="s">
        <v>868</v>
      </c>
      <c r="C804" t="s">
        <v>212</v>
      </c>
      <c r="D804" t="s">
        <v>24</v>
      </c>
      <c r="E804">
        <v>2</v>
      </c>
      <c r="F804">
        <v>110249</v>
      </c>
      <c r="H804">
        <v>1</v>
      </c>
      <c r="I804">
        <v>3</v>
      </c>
      <c r="J804">
        <v>1</v>
      </c>
      <c r="K804">
        <v>1</v>
      </c>
      <c r="L804">
        <v>0.33329999999999999</v>
      </c>
      <c r="M804">
        <v>0</v>
      </c>
      <c r="N804">
        <v>0.5</v>
      </c>
      <c r="O804" t="s">
        <v>26</v>
      </c>
      <c r="P804" t="s">
        <v>26</v>
      </c>
      <c r="Q804" t="s">
        <v>26</v>
      </c>
      <c r="R804" t="s">
        <v>26</v>
      </c>
      <c r="S804" t="s">
        <v>26</v>
      </c>
      <c r="T804" t="s">
        <v>26</v>
      </c>
      <c r="U804" t="s">
        <v>26</v>
      </c>
      <c r="V804">
        <v>1</v>
      </c>
      <c r="W804">
        <f>E804/100</f>
        <v>0.02</v>
      </c>
      <c r="X804">
        <f>F804/1000000</f>
        <v>0.110249</v>
      </c>
      <c r="Y804">
        <f>IF(D804="C",1,0)</f>
        <v>0</v>
      </c>
      <c r="Z804">
        <f>IF(G804="C",1,0)</f>
        <v>0</v>
      </c>
      <c r="AA804">
        <f>IF(G804="S",1,0)</f>
        <v>0</v>
      </c>
      <c r="AB804">
        <f>IF(G804="U",1,0)</f>
        <v>0</v>
      </c>
      <c r="AC804" s="5">
        <f>IF(AND(ISNUMBER(H804),NOT(ISNUMBER(P804))),1,0)</f>
        <v>1</v>
      </c>
      <c r="AD804" s="5">
        <f>IF(AND(ISNUMBER(H804),ISNUMBER(P804)),1,0)</f>
        <v>0</v>
      </c>
      <c r="AE804" s="5">
        <f>W804</f>
        <v>0.02</v>
      </c>
      <c r="AF804" s="5">
        <f>X804</f>
        <v>0.110249</v>
      </c>
      <c r="AG804" s="5">
        <f>Y804</f>
        <v>0</v>
      </c>
      <c r="AH804" s="5">
        <f>IF(OR(G804="C",G804="S",G804="U"),1,0)</f>
        <v>0</v>
      </c>
      <c r="AI804" s="5">
        <f>IF(ISNUMBER(H804),1,0)</f>
        <v>1</v>
      </c>
      <c r="AJ804" s="5">
        <f>IF(ISNUMBER(P804),1,0)</f>
        <v>0</v>
      </c>
      <c r="AK804" s="5">
        <f>IF(AI804=1,IF(J804&gt;0,1,0),"")</f>
        <v>1</v>
      </c>
      <c r="AL804" s="5" t="str">
        <f>IF(AJ804=1,IF(OR(Q804&gt;0,R804&gt;0),1,0),"")</f>
        <v/>
      </c>
    </row>
    <row r="805" spans="1:38">
      <c r="A805">
        <v>1275782</v>
      </c>
      <c r="B805" t="s">
        <v>869</v>
      </c>
      <c r="C805" t="s">
        <v>159</v>
      </c>
      <c r="D805" t="s">
        <v>24</v>
      </c>
      <c r="E805">
        <v>21</v>
      </c>
      <c r="F805">
        <v>1798538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  <c r="S805" t="s">
        <v>26</v>
      </c>
      <c r="T805" t="s">
        <v>26</v>
      </c>
      <c r="U805" t="s">
        <v>26</v>
      </c>
      <c r="V805">
        <v>0</v>
      </c>
      <c r="W805">
        <f>E805/100</f>
        <v>0.21</v>
      </c>
      <c r="X805">
        <f>F805/1000000</f>
        <v>1.798538</v>
      </c>
      <c r="Y805">
        <f>IF(D805="C",1,0)</f>
        <v>0</v>
      </c>
      <c r="Z805">
        <f>IF(G805="C",1,0)</f>
        <v>0</v>
      </c>
      <c r="AA805">
        <f>IF(G805="S",1,0)</f>
        <v>0</v>
      </c>
      <c r="AB805">
        <f>IF(G805="U",1,0)</f>
        <v>0</v>
      </c>
      <c r="AC805" s="5">
        <f>IF(AND(ISNUMBER(H805),NOT(ISNUMBER(P805))),1,0)</f>
        <v>1</v>
      </c>
      <c r="AD805" s="5">
        <f>IF(AND(ISNUMBER(H805),ISNUMBER(P805)),1,0)</f>
        <v>0</v>
      </c>
      <c r="AE805" s="5">
        <f>W805</f>
        <v>0.21</v>
      </c>
      <c r="AF805" s="5">
        <f>X805</f>
        <v>1.798538</v>
      </c>
      <c r="AG805" s="5">
        <f>Y805</f>
        <v>0</v>
      </c>
      <c r="AH805" s="5">
        <f>IF(OR(G805="C",G805="S",G805="U"),1,0)</f>
        <v>0</v>
      </c>
      <c r="AI805" s="5">
        <f>IF(ISNUMBER(H805),1,0)</f>
        <v>1</v>
      </c>
      <c r="AJ805" s="5">
        <f>IF(ISNUMBER(P805),1,0)</f>
        <v>0</v>
      </c>
      <c r="AK805" s="5">
        <f>IF(AI805=1,IF(J805&gt;0,1,0),"")</f>
        <v>0</v>
      </c>
      <c r="AL805" s="5" t="str">
        <f>IF(AJ805=1,IF(OR(Q805&gt;0,R805&gt;0),1,0),"")</f>
        <v/>
      </c>
    </row>
    <row r="806" spans="1:38">
      <c r="A806">
        <v>1293502</v>
      </c>
      <c r="B806" t="s">
        <v>870</v>
      </c>
      <c r="C806" t="s">
        <v>23</v>
      </c>
      <c r="D806" t="s">
        <v>24</v>
      </c>
      <c r="E806">
        <v>18</v>
      </c>
      <c r="F806">
        <v>200000</v>
      </c>
      <c r="H806">
        <v>1</v>
      </c>
      <c r="I806">
        <v>1</v>
      </c>
      <c r="J806">
        <v>0</v>
      </c>
      <c r="K806">
        <v>0</v>
      </c>
      <c r="L806">
        <v>0</v>
      </c>
      <c r="M806" t="s">
        <v>26</v>
      </c>
      <c r="N806">
        <v>0</v>
      </c>
      <c r="O806" t="s">
        <v>26</v>
      </c>
      <c r="P806" t="s">
        <v>26</v>
      </c>
      <c r="Q806" t="s">
        <v>26</v>
      </c>
      <c r="R806" t="s">
        <v>26</v>
      </c>
      <c r="S806" t="s">
        <v>26</v>
      </c>
      <c r="T806" t="s">
        <v>26</v>
      </c>
      <c r="U806" t="s">
        <v>26</v>
      </c>
      <c r="V806">
        <v>0</v>
      </c>
      <c r="W806">
        <f>E806/100</f>
        <v>0.18</v>
      </c>
      <c r="X806">
        <f>F806/1000000</f>
        <v>0.2</v>
      </c>
      <c r="Y806">
        <f>IF(D806="C",1,0)</f>
        <v>0</v>
      </c>
      <c r="Z806">
        <f>IF(G806="C",1,0)</f>
        <v>0</v>
      </c>
      <c r="AA806">
        <f>IF(G806="S",1,0)</f>
        <v>0</v>
      </c>
      <c r="AB806">
        <f>IF(G806="U",1,0)</f>
        <v>0</v>
      </c>
      <c r="AC806" s="5">
        <f>IF(AND(ISNUMBER(H806),NOT(ISNUMBER(P806))),1,0)</f>
        <v>1</v>
      </c>
      <c r="AD806" s="5">
        <f>IF(AND(ISNUMBER(H806),ISNUMBER(P806)),1,0)</f>
        <v>0</v>
      </c>
      <c r="AE806" s="5">
        <f>W806</f>
        <v>0.18</v>
      </c>
      <c r="AF806" s="5">
        <f>X806</f>
        <v>0.2</v>
      </c>
      <c r="AG806" s="5">
        <f>Y806</f>
        <v>0</v>
      </c>
      <c r="AH806" s="5">
        <f>IF(OR(G806="C",G806="S",G806="U"),1,0)</f>
        <v>0</v>
      </c>
      <c r="AI806" s="5">
        <f>IF(ISNUMBER(H806),1,0)</f>
        <v>1</v>
      </c>
      <c r="AJ806" s="5">
        <f>IF(ISNUMBER(P806),1,0)</f>
        <v>0</v>
      </c>
      <c r="AK806" s="5">
        <f>IF(AI806=1,IF(J806&gt;0,1,0),"")</f>
        <v>0</v>
      </c>
      <c r="AL806" s="5" t="str">
        <f>IF(AJ806=1,IF(OR(Q806&gt;0,R806&gt;0),1,0),"")</f>
        <v/>
      </c>
    </row>
    <row r="807" spans="1:38">
      <c r="A807">
        <v>1297580</v>
      </c>
      <c r="B807" t="s">
        <v>871</v>
      </c>
      <c r="C807" t="s">
        <v>183</v>
      </c>
      <c r="D807" t="s">
        <v>24</v>
      </c>
      <c r="E807">
        <v>15</v>
      </c>
      <c r="F807">
        <v>1885167</v>
      </c>
      <c r="H807">
        <v>1</v>
      </c>
      <c r="I807">
        <v>7</v>
      </c>
      <c r="J807">
        <v>5</v>
      </c>
      <c r="K807">
        <v>1</v>
      </c>
      <c r="L807">
        <v>0.71430000000000005</v>
      </c>
      <c r="M807">
        <v>0.6</v>
      </c>
      <c r="N807">
        <v>1</v>
      </c>
      <c r="O807" t="s">
        <v>26</v>
      </c>
      <c r="P807" t="s">
        <v>26</v>
      </c>
      <c r="Q807" t="s">
        <v>26</v>
      </c>
      <c r="R807" t="s">
        <v>26</v>
      </c>
      <c r="S807" t="s">
        <v>26</v>
      </c>
      <c r="T807" t="s">
        <v>26</v>
      </c>
      <c r="U807" t="s">
        <v>26</v>
      </c>
      <c r="V807">
        <v>1</v>
      </c>
      <c r="W807">
        <f>E807/100</f>
        <v>0.15</v>
      </c>
      <c r="X807">
        <f>F807/1000000</f>
        <v>1.885167</v>
      </c>
      <c r="Y807">
        <f>IF(D807="C",1,0)</f>
        <v>0</v>
      </c>
      <c r="Z807">
        <f>IF(G807="C",1,0)</f>
        <v>0</v>
      </c>
      <c r="AA807">
        <f>IF(G807="S",1,0)</f>
        <v>0</v>
      </c>
      <c r="AB807">
        <f>IF(G807="U",1,0)</f>
        <v>0</v>
      </c>
      <c r="AC807" s="5">
        <f>IF(AND(ISNUMBER(H807),NOT(ISNUMBER(P807))),1,0)</f>
        <v>1</v>
      </c>
      <c r="AD807" s="5">
        <f>IF(AND(ISNUMBER(H807),ISNUMBER(P807)),1,0)</f>
        <v>0</v>
      </c>
      <c r="AE807" s="5">
        <f>W807</f>
        <v>0.15</v>
      </c>
      <c r="AF807" s="5">
        <f>X807</f>
        <v>1.885167</v>
      </c>
      <c r="AG807" s="5">
        <f>Y807</f>
        <v>0</v>
      </c>
      <c r="AH807" s="5">
        <f>IF(OR(G807="C",G807="S",G807="U"),1,0)</f>
        <v>0</v>
      </c>
      <c r="AI807" s="5">
        <f>IF(ISNUMBER(H807),1,0)</f>
        <v>1</v>
      </c>
      <c r="AJ807" s="5">
        <f>IF(ISNUMBER(P807),1,0)</f>
        <v>0</v>
      </c>
      <c r="AK807" s="5">
        <f>IF(AI807=1,IF(J807&gt;0,1,0),"")</f>
        <v>1</v>
      </c>
      <c r="AL807" s="5" t="str">
        <f>IF(AJ807=1,IF(OR(Q807&gt;0,R807&gt;0),1,0),"")</f>
        <v/>
      </c>
    </row>
    <row r="808" spans="1:38">
      <c r="A808">
        <v>1304143</v>
      </c>
      <c r="B808" t="s">
        <v>872</v>
      </c>
      <c r="C808" t="s">
        <v>37</v>
      </c>
      <c r="D808" t="s">
        <v>33</v>
      </c>
      <c r="E808">
        <v>49</v>
      </c>
      <c r="F808">
        <v>171000</v>
      </c>
      <c r="H808">
        <v>1</v>
      </c>
      <c r="I808">
        <v>1</v>
      </c>
      <c r="J808">
        <v>0</v>
      </c>
      <c r="K808">
        <v>0</v>
      </c>
      <c r="L808">
        <v>0</v>
      </c>
      <c r="M808" t="s">
        <v>26</v>
      </c>
      <c r="N808">
        <v>0</v>
      </c>
      <c r="O808" t="s">
        <v>26</v>
      </c>
      <c r="P808" t="s">
        <v>26</v>
      </c>
      <c r="Q808" t="s">
        <v>26</v>
      </c>
      <c r="R808" t="s">
        <v>26</v>
      </c>
      <c r="S808" t="s">
        <v>26</v>
      </c>
      <c r="T808" t="s">
        <v>26</v>
      </c>
      <c r="U808" t="s">
        <v>26</v>
      </c>
      <c r="V808">
        <v>0</v>
      </c>
      <c r="W808">
        <f>E808/100</f>
        <v>0.49</v>
      </c>
      <c r="X808">
        <f>F808/1000000</f>
        <v>0.17100000000000001</v>
      </c>
      <c r="Y808">
        <f>IF(D808="C",1,0)</f>
        <v>1</v>
      </c>
      <c r="Z808">
        <f>IF(G808="C",1,0)</f>
        <v>0</v>
      </c>
      <c r="AA808">
        <f>IF(G808="S",1,0)</f>
        <v>0</v>
      </c>
      <c r="AB808">
        <f>IF(G808="U",1,0)</f>
        <v>0</v>
      </c>
      <c r="AC808" s="5">
        <f>IF(AND(ISNUMBER(H808),NOT(ISNUMBER(P808))),1,0)</f>
        <v>1</v>
      </c>
      <c r="AD808" s="5">
        <f>IF(AND(ISNUMBER(H808),ISNUMBER(P808)),1,0)</f>
        <v>0</v>
      </c>
      <c r="AE808" s="5">
        <f>W808</f>
        <v>0.49</v>
      </c>
      <c r="AF808" s="5">
        <f>X808</f>
        <v>0.17100000000000001</v>
      </c>
      <c r="AG808" s="5">
        <f>Y808</f>
        <v>1</v>
      </c>
      <c r="AH808" s="5">
        <f>IF(OR(G808="C",G808="S",G808="U"),1,0)</f>
        <v>0</v>
      </c>
      <c r="AI808" s="5">
        <f>IF(ISNUMBER(H808),1,0)</f>
        <v>1</v>
      </c>
      <c r="AJ808" s="5">
        <f>IF(ISNUMBER(P808),1,0)</f>
        <v>0</v>
      </c>
      <c r="AK808" s="5">
        <f>IF(AI808=1,IF(J808&gt;0,1,0),"")</f>
        <v>0</v>
      </c>
      <c r="AL808" s="5" t="str">
        <f>IF(AJ808=1,IF(OR(Q808&gt;0,R808&gt;0),1,0),"")</f>
        <v/>
      </c>
    </row>
    <row r="809" spans="1:38">
      <c r="A809">
        <v>1334307</v>
      </c>
      <c r="B809" t="s">
        <v>873</v>
      </c>
      <c r="C809" t="s">
        <v>23</v>
      </c>
      <c r="D809" t="s">
        <v>24</v>
      </c>
      <c r="E809">
        <v>1</v>
      </c>
      <c r="F809">
        <v>1256</v>
      </c>
      <c r="G809" t="s">
        <v>25</v>
      </c>
      <c r="H809">
        <v>1</v>
      </c>
      <c r="I809">
        <v>0</v>
      </c>
      <c r="J809">
        <v>0</v>
      </c>
      <c r="K809">
        <v>0</v>
      </c>
      <c r="L809" t="s">
        <v>26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  <c r="S809" t="s">
        <v>26</v>
      </c>
      <c r="T809" t="s">
        <v>26</v>
      </c>
      <c r="U809" t="s">
        <v>26</v>
      </c>
      <c r="V809">
        <v>0</v>
      </c>
      <c r="W809">
        <f>E809/100</f>
        <v>0.01</v>
      </c>
      <c r="X809">
        <f>F809/1000000</f>
        <v>1.256E-3</v>
      </c>
      <c r="Y809">
        <f>IF(D809="C",1,0)</f>
        <v>0</v>
      </c>
      <c r="Z809">
        <f>IF(G809="C",1,0)</f>
        <v>0</v>
      </c>
      <c r="AA809">
        <f>IF(G809="S",1,0)</f>
        <v>1</v>
      </c>
      <c r="AB809">
        <f>IF(G809="U",1,0)</f>
        <v>0</v>
      </c>
      <c r="AC809" s="5">
        <f>IF(AND(ISNUMBER(H809),NOT(ISNUMBER(P809))),1,0)</f>
        <v>1</v>
      </c>
      <c r="AD809" s="5">
        <f>IF(AND(ISNUMBER(H809),ISNUMBER(P809)),1,0)</f>
        <v>0</v>
      </c>
      <c r="AE809" s="5">
        <f>W809</f>
        <v>0.01</v>
      </c>
      <c r="AF809" s="5">
        <f>X809</f>
        <v>1.256E-3</v>
      </c>
      <c r="AG809" s="5">
        <f>Y809</f>
        <v>0</v>
      </c>
      <c r="AH809" s="5">
        <f>IF(OR(G809="C",G809="S",G809="U"),1,0)</f>
        <v>1</v>
      </c>
      <c r="AI809" s="5">
        <f>IF(ISNUMBER(H809),1,0)</f>
        <v>1</v>
      </c>
      <c r="AJ809" s="5">
        <f>IF(ISNUMBER(P809),1,0)</f>
        <v>0</v>
      </c>
      <c r="AK809" s="5">
        <f>IF(AI809=1,IF(J809&gt;0,1,0),"")</f>
        <v>0</v>
      </c>
      <c r="AL809" s="5" t="str">
        <f>IF(AJ809=1,IF(OR(Q809&gt;0,R809&gt;0),1,0),"")</f>
        <v/>
      </c>
    </row>
    <row r="810" spans="1:38">
      <c r="A810">
        <v>1337069</v>
      </c>
      <c r="B810" t="s">
        <v>874</v>
      </c>
      <c r="C810" t="s">
        <v>23</v>
      </c>
      <c r="D810" t="s">
        <v>33</v>
      </c>
      <c r="E810">
        <v>9</v>
      </c>
      <c r="F810">
        <v>252999</v>
      </c>
      <c r="H810">
        <v>1</v>
      </c>
      <c r="I810">
        <v>0</v>
      </c>
      <c r="J810">
        <v>0</v>
      </c>
      <c r="K810">
        <v>0</v>
      </c>
      <c r="L810" t="s">
        <v>26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  <c r="S810" t="s">
        <v>26</v>
      </c>
      <c r="T810" t="s">
        <v>26</v>
      </c>
      <c r="U810" t="s">
        <v>26</v>
      </c>
      <c r="V810">
        <v>0</v>
      </c>
      <c r="W810">
        <f>E810/100</f>
        <v>0.09</v>
      </c>
      <c r="X810">
        <f>F810/1000000</f>
        <v>0.25299899999999997</v>
      </c>
      <c r="Y810">
        <f>IF(D810="C",1,0)</f>
        <v>1</v>
      </c>
      <c r="Z810">
        <f>IF(G810="C",1,0)</f>
        <v>0</v>
      </c>
      <c r="AA810">
        <f>IF(G810="S",1,0)</f>
        <v>0</v>
      </c>
      <c r="AB810">
        <f>IF(G810="U",1,0)</f>
        <v>0</v>
      </c>
      <c r="AC810" s="5">
        <f>IF(AND(ISNUMBER(H810),NOT(ISNUMBER(P810))),1,0)</f>
        <v>1</v>
      </c>
      <c r="AD810" s="5">
        <f>IF(AND(ISNUMBER(H810),ISNUMBER(P810)),1,0)</f>
        <v>0</v>
      </c>
      <c r="AE810" s="5">
        <f>W810</f>
        <v>0.09</v>
      </c>
      <c r="AF810" s="5">
        <f>X810</f>
        <v>0.25299899999999997</v>
      </c>
      <c r="AG810" s="5">
        <f>Y810</f>
        <v>1</v>
      </c>
      <c r="AH810" s="5">
        <f>IF(OR(G810="C",G810="S",G810="U"),1,0)</f>
        <v>0</v>
      </c>
      <c r="AI810" s="5">
        <f>IF(ISNUMBER(H810),1,0)</f>
        <v>1</v>
      </c>
      <c r="AJ810" s="5">
        <f>IF(ISNUMBER(P810),1,0)</f>
        <v>0</v>
      </c>
      <c r="AK810" s="5">
        <f>IF(AI810=1,IF(J810&gt;0,1,0),"")</f>
        <v>0</v>
      </c>
      <c r="AL810" s="5" t="str">
        <f>IF(AJ810=1,IF(OR(Q810&gt;0,R810&gt;0),1,0),"")</f>
        <v/>
      </c>
    </row>
    <row r="811" spans="1:38">
      <c r="A811">
        <v>1347270</v>
      </c>
      <c r="B811" t="s">
        <v>875</v>
      </c>
      <c r="C811" t="s">
        <v>23</v>
      </c>
      <c r="D811" t="s">
        <v>24</v>
      </c>
      <c r="E811">
        <v>23</v>
      </c>
      <c r="F811">
        <v>395000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  <c r="S811" t="s">
        <v>26</v>
      </c>
      <c r="T811" t="s">
        <v>26</v>
      </c>
      <c r="U811" t="s">
        <v>26</v>
      </c>
      <c r="V811">
        <v>1</v>
      </c>
      <c r="W811">
        <f>E811/100</f>
        <v>0.23</v>
      </c>
      <c r="X811">
        <f>F811/1000000</f>
        <v>0.39500000000000002</v>
      </c>
      <c r="Y811">
        <f>IF(D811="C",1,0)</f>
        <v>0</v>
      </c>
      <c r="Z811">
        <f>IF(G811="C",1,0)</f>
        <v>0</v>
      </c>
      <c r="AA811">
        <f>IF(G811="S",1,0)</f>
        <v>0</v>
      </c>
      <c r="AB811">
        <f>IF(G811="U",1,0)</f>
        <v>0</v>
      </c>
      <c r="AC811" s="5">
        <f>IF(AND(ISNUMBER(H811),NOT(ISNUMBER(P811))),1,0)</f>
        <v>1</v>
      </c>
      <c r="AD811" s="5">
        <f>IF(AND(ISNUMBER(H811),ISNUMBER(P811)),1,0)</f>
        <v>0</v>
      </c>
      <c r="AE811" s="5">
        <f>W811</f>
        <v>0.23</v>
      </c>
      <c r="AF811" s="5">
        <f>X811</f>
        <v>0.39500000000000002</v>
      </c>
      <c r="AG811" s="5">
        <f>Y811</f>
        <v>0</v>
      </c>
      <c r="AH811" s="5">
        <f>IF(OR(G811="C",G811="S",G811="U"),1,0)</f>
        <v>0</v>
      </c>
      <c r="AI811" s="5">
        <f>IF(ISNUMBER(H811),1,0)</f>
        <v>1</v>
      </c>
      <c r="AJ811" s="5">
        <f>IF(ISNUMBER(P811),1,0)</f>
        <v>0</v>
      </c>
      <c r="AK811" s="5">
        <f>IF(AI811=1,IF(J811&gt;0,1,0),"")</f>
        <v>1</v>
      </c>
      <c r="AL811" s="5" t="str">
        <f>IF(AJ811=1,IF(OR(Q811&gt;0,R811&gt;0),1,0),"")</f>
        <v/>
      </c>
    </row>
    <row r="812" spans="1:38">
      <c r="A812">
        <v>1349719</v>
      </c>
      <c r="B812" t="s">
        <v>876</v>
      </c>
      <c r="C812" t="s">
        <v>23</v>
      </c>
      <c r="D812" t="s">
        <v>24</v>
      </c>
      <c r="E812">
        <v>22</v>
      </c>
      <c r="F812">
        <v>460000</v>
      </c>
      <c r="H812">
        <v>1</v>
      </c>
      <c r="I812">
        <v>3</v>
      </c>
      <c r="J812">
        <v>0</v>
      </c>
      <c r="K812">
        <v>0</v>
      </c>
      <c r="L812">
        <v>0</v>
      </c>
      <c r="M812">
        <v>0</v>
      </c>
      <c r="N812">
        <v>0</v>
      </c>
      <c r="O812" t="s">
        <v>26</v>
      </c>
      <c r="P812" t="s">
        <v>26</v>
      </c>
      <c r="Q812" t="s">
        <v>26</v>
      </c>
      <c r="R812" t="s">
        <v>26</v>
      </c>
      <c r="S812" t="s">
        <v>26</v>
      </c>
      <c r="T812" t="s">
        <v>26</v>
      </c>
      <c r="U812" t="s">
        <v>26</v>
      </c>
      <c r="V812">
        <v>0</v>
      </c>
      <c r="W812">
        <f>E812/100</f>
        <v>0.22</v>
      </c>
      <c r="X812">
        <f>F812/1000000</f>
        <v>0.46</v>
      </c>
      <c r="Y812">
        <f>IF(D812="C",1,0)</f>
        <v>0</v>
      </c>
      <c r="Z812">
        <f>IF(G812="C",1,0)</f>
        <v>0</v>
      </c>
      <c r="AA812">
        <f>IF(G812="S",1,0)</f>
        <v>0</v>
      </c>
      <c r="AB812">
        <f>IF(G812="U",1,0)</f>
        <v>0</v>
      </c>
      <c r="AC812" s="5">
        <f>IF(AND(ISNUMBER(H812),NOT(ISNUMBER(P812))),1,0)</f>
        <v>1</v>
      </c>
      <c r="AD812" s="5">
        <f>IF(AND(ISNUMBER(H812),ISNUMBER(P812)),1,0)</f>
        <v>0</v>
      </c>
      <c r="AE812" s="5">
        <f>W812</f>
        <v>0.22</v>
      </c>
      <c r="AF812" s="5">
        <f>X812</f>
        <v>0.46</v>
      </c>
      <c r="AG812" s="5">
        <f>Y812</f>
        <v>0</v>
      </c>
      <c r="AH812" s="5">
        <f>IF(OR(G812="C",G812="S",G812="U"),1,0)</f>
        <v>0</v>
      </c>
      <c r="AI812" s="5">
        <f>IF(ISNUMBER(H812),1,0)</f>
        <v>1</v>
      </c>
      <c r="AJ812" s="5">
        <f>IF(ISNUMBER(P812),1,0)</f>
        <v>0</v>
      </c>
      <c r="AK812" s="5">
        <f>IF(AI812=1,IF(J812&gt;0,1,0),"")</f>
        <v>0</v>
      </c>
      <c r="AL812" s="5" t="str">
        <f>IF(AJ812=1,IF(OR(Q812&gt;0,R812&gt;0),1,0),"")</f>
        <v/>
      </c>
    </row>
    <row r="813" spans="1:38">
      <c r="A813">
        <v>1363010</v>
      </c>
      <c r="B813" t="s">
        <v>877</v>
      </c>
      <c r="C813" t="s">
        <v>37</v>
      </c>
      <c r="D813" t="s">
        <v>24</v>
      </c>
      <c r="E813">
        <v>56</v>
      </c>
      <c r="F813">
        <v>1001130</v>
      </c>
      <c r="H813">
        <v>1</v>
      </c>
      <c r="I813">
        <v>1</v>
      </c>
      <c r="J813">
        <v>1</v>
      </c>
      <c r="K813">
        <v>1</v>
      </c>
      <c r="L813">
        <v>1</v>
      </c>
      <c r="M813" t="s">
        <v>26</v>
      </c>
      <c r="N813">
        <v>1</v>
      </c>
      <c r="O813" t="s">
        <v>26</v>
      </c>
      <c r="P813" t="s">
        <v>26</v>
      </c>
      <c r="Q813" t="s">
        <v>26</v>
      </c>
      <c r="R813" t="s">
        <v>26</v>
      </c>
      <c r="S813" t="s">
        <v>26</v>
      </c>
      <c r="T813" t="s">
        <v>26</v>
      </c>
      <c r="U813" t="s">
        <v>26</v>
      </c>
      <c r="V813">
        <v>1</v>
      </c>
      <c r="W813">
        <f>E813/100</f>
        <v>0.56000000000000005</v>
      </c>
      <c r="X813">
        <f>F813/1000000</f>
        <v>1.0011300000000001</v>
      </c>
      <c r="Y813">
        <f>IF(D813="C",1,0)</f>
        <v>0</v>
      </c>
      <c r="Z813">
        <f>IF(G813="C",1,0)</f>
        <v>0</v>
      </c>
      <c r="AA813">
        <f>IF(G813="S",1,0)</f>
        <v>0</v>
      </c>
      <c r="AB813">
        <f>IF(G813="U",1,0)</f>
        <v>0</v>
      </c>
      <c r="AC813" s="5">
        <f>IF(AND(ISNUMBER(H813),NOT(ISNUMBER(P813))),1,0)</f>
        <v>1</v>
      </c>
      <c r="AD813" s="5">
        <f>IF(AND(ISNUMBER(H813),ISNUMBER(P813)),1,0)</f>
        <v>0</v>
      </c>
      <c r="AE813" s="5">
        <f>W813</f>
        <v>0.56000000000000005</v>
      </c>
      <c r="AF813" s="5">
        <f>X813</f>
        <v>1.0011300000000001</v>
      </c>
      <c r="AG813" s="5">
        <f>Y813</f>
        <v>0</v>
      </c>
      <c r="AH813" s="5">
        <f>IF(OR(G813="C",G813="S",G813="U"),1,0)</f>
        <v>0</v>
      </c>
      <c r="AI813" s="5">
        <f>IF(ISNUMBER(H813),1,0)</f>
        <v>1</v>
      </c>
      <c r="AJ813" s="5">
        <f>IF(ISNUMBER(P813),1,0)</f>
        <v>0</v>
      </c>
      <c r="AK813" s="5">
        <f>IF(AI813=1,IF(J813&gt;0,1,0),"")</f>
        <v>1</v>
      </c>
      <c r="AL813" s="5" t="str">
        <f>IF(AJ813=1,IF(OR(Q813&gt;0,R813&gt;0),1,0),"")</f>
        <v/>
      </c>
    </row>
    <row r="814" spans="1:38">
      <c r="A814">
        <v>1383682</v>
      </c>
      <c r="B814" t="s">
        <v>878</v>
      </c>
      <c r="C814" t="s">
        <v>314</v>
      </c>
      <c r="D814" t="s">
        <v>24</v>
      </c>
      <c r="E814">
        <v>4</v>
      </c>
      <c r="F814">
        <v>371000</v>
      </c>
      <c r="H814">
        <v>1</v>
      </c>
      <c r="I814">
        <v>0</v>
      </c>
      <c r="J814">
        <v>0</v>
      </c>
      <c r="K814">
        <v>0</v>
      </c>
      <c r="L814" t="s">
        <v>26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  <c r="S814" t="s">
        <v>26</v>
      </c>
      <c r="T814" t="s">
        <v>26</v>
      </c>
      <c r="U814" t="s">
        <v>26</v>
      </c>
      <c r="V814">
        <v>0</v>
      </c>
      <c r="W814">
        <f>E814/100</f>
        <v>0.04</v>
      </c>
      <c r="X814">
        <f>F814/1000000</f>
        <v>0.371</v>
      </c>
      <c r="Y814">
        <f>IF(D814="C",1,0)</f>
        <v>0</v>
      </c>
      <c r="Z814">
        <f>IF(G814="C",1,0)</f>
        <v>0</v>
      </c>
      <c r="AA814">
        <f>IF(G814="S",1,0)</f>
        <v>0</v>
      </c>
      <c r="AB814">
        <f>IF(G814="U",1,0)</f>
        <v>0</v>
      </c>
      <c r="AC814" s="5">
        <f>IF(AND(ISNUMBER(H814),NOT(ISNUMBER(P814))),1,0)</f>
        <v>1</v>
      </c>
      <c r="AD814" s="5">
        <f>IF(AND(ISNUMBER(H814),ISNUMBER(P814)),1,0)</f>
        <v>0</v>
      </c>
      <c r="AE814" s="5">
        <f>W814</f>
        <v>0.04</v>
      </c>
      <c r="AF814" s="5">
        <f>X814</f>
        <v>0.371</v>
      </c>
      <c r="AG814" s="5">
        <f>Y814</f>
        <v>0</v>
      </c>
      <c r="AH814" s="5">
        <f>IF(OR(G814="C",G814="S",G814="U"),1,0)</f>
        <v>0</v>
      </c>
      <c r="AI814" s="5">
        <f>IF(ISNUMBER(H814),1,0)</f>
        <v>1</v>
      </c>
      <c r="AJ814" s="5">
        <f>IF(ISNUMBER(P814),1,0)</f>
        <v>0</v>
      </c>
      <c r="AK814" s="5">
        <f>IF(AI814=1,IF(J814&gt;0,1,0),"")</f>
        <v>0</v>
      </c>
      <c r="AL814" s="5" t="str">
        <f>IF(AJ814=1,IF(OR(Q814&gt;0,R814&gt;0),1,0),"")</f>
        <v/>
      </c>
    </row>
    <row r="815" spans="1:38">
      <c r="A815">
        <v>1407639</v>
      </c>
      <c r="B815" t="s">
        <v>879</v>
      </c>
      <c r="C815" t="s">
        <v>23</v>
      </c>
      <c r="D815" t="s">
        <v>24</v>
      </c>
      <c r="E815">
        <v>20</v>
      </c>
      <c r="F815">
        <v>163163</v>
      </c>
      <c r="H815">
        <v>1</v>
      </c>
      <c r="I815">
        <v>16</v>
      </c>
      <c r="J815">
        <v>2</v>
      </c>
      <c r="K815">
        <v>1</v>
      </c>
      <c r="L815">
        <v>0.125</v>
      </c>
      <c r="M815">
        <v>0</v>
      </c>
      <c r="N815">
        <v>0.15379999999999999</v>
      </c>
      <c r="O815" t="s">
        <v>26</v>
      </c>
      <c r="P815" t="s">
        <v>26</v>
      </c>
      <c r="Q815" t="s">
        <v>26</v>
      </c>
      <c r="R815" t="s">
        <v>26</v>
      </c>
      <c r="S815" t="s">
        <v>26</v>
      </c>
      <c r="T815" t="s">
        <v>26</v>
      </c>
      <c r="U815" t="s">
        <v>26</v>
      </c>
      <c r="V815">
        <v>1</v>
      </c>
      <c r="W815">
        <f>E815/100</f>
        <v>0.2</v>
      </c>
      <c r="X815">
        <f>F815/1000000</f>
        <v>0.163163</v>
      </c>
      <c r="Y815">
        <f>IF(D815="C",1,0)</f>
        <v>0</v>
      </c>
      <c r="Z815">
        <f>IF(G815="C",1,0)</f>
        <v>0</v>
      </c>
      <c r="AA815">
        <f>IF(G815="S",1,0)</f>
        <v>0</v>
      </c>
      <c r="AB815">
        <f>IF(G815="U",1,0)</f>
        <v>0</v>
      </c>
      <c r="AC815" s="5">
        <f>IF(AND(ISNUMBER(H815),NOT(ISNUMBER(P815))),1,0)</f>
        <v>1</v>
      </c>
      <c r="AD815" s="5">
        <f>IF(AND(ISNUMBER(H815),ISNUMBER(P815)),1,0)</f>
        <v>0</v>
      </c>
      <c r="AE815" s="5">
        <f>W815</f>
        <v>0.2</v>
      </c>
      <c r="AF815" s="5">
        <f>X815</f>
        <v>0.163163</v>
      </c>
      <c r="AG815" s="5">
        <f>Y815</f>
        <v>0</v>
      </c>
      <c r="AH815" s="5">
        <f>IF(OR(G815="C",G815="S",G815="U"),1,0)</f>
        <v>0</v>
      </c>
      <c r="AI815" s="5">
        <f>IF(ISNUMBER(H815),1,0)</f>
        <v>1</v>
      </c>
      <c r="AJ815" s="5">
        <f>IF(ISNUMBER(P815),1,0)</f>
        <v>0</v>
      </c>
      <c r="AK815" s="5">
        <f>IF(AI815=1,IF(J815&gt;0,1,0),"")</f>
        <v>1</v>
      </c>
      <c r="AL815" s="5" t="str">
        <f>IF(AJ815=1,IF(OR(Q815&gt;0,R815&gt;0),1,0),"")</f>
        <v/>
      </c>
    </row>
    <row r="816" spans="1:38">
      <c r="A816">
        <v>1413297</v>
      </c>
      <c r="B816" t="s">
        <v>880</v>
      </c>
      <c r="C816" t="s">
        <v>23</v>
      </c>
      <c r="D816" t="s">
        <v>24</v>
      </c>
      <c r="E816">
        <v>91</v>
      </c>
      <c r="F816">
        <v>900105</v>
      </c>
      <c r="H816">
        <v>1</v>
      </c>
      <c r="I816">
        <v>2</v>
      </c>
      <c r="J816">
        <v>0</v>
      </c>
      <c r="K816">
        <v>0</v>
      </c>
      <c r="L816">
        <v>0</v>
      </c>
      <c r="M816" t="s">
        <v>26</v>
      </c>
      <c r="N816">
        <v>0</v>
      </c>
      <c r="O816" t="s">
        <v>26</v>
      </c>
      <c r="P816" t="s">
        <v>26</v>
      </c>
      <c r="Q816" t="s">
        <v>26</v>
      </c>
      <c r="R816" t="s">
        <v>26</v>
      </c>
      <c r="S816" t="s">
        <v>26</v>
      </c>
      <c r="T816" t="s">
        <v>26</v>
      </c>
      <c r="U816" t="s">
        <v>26</v>
      </c>
      <c r="V816">
        <v>0</v>
      </c>
      <c r="W816">
        <f>E816/100</f>
        <v>0.91</v>
      </c>
      <c r="X816">
        <f>F816/1000000</f>
        <v>0.90010500000000004</v>
      </c>
      <c r="Y816">
        <f>IF(D816="C",1,0)</f>
        <v>0</v>
      </c>
      <c r="Z816">
        <f>IF(G816="C",1,0)</f>
        <v>0</v>
      </c>
      <c r="AA816">
        <f>IF(G816="S",1,0)</f>
        <v>0</v>
      </c>
      <c r="AB816">
        <f>IF(G816="U",1,0)</f>
        <v>0</v>
      </c>
      <c r="AC816" s="5">
        <f>IF(AND(ISNUMBER(H816),NOT(ISNUMBER(P816))),1,0)</f>
        <v>1</v>
      </c>
      <c r="AD816" s="5">
        <f>IF(AND(ISNUMBER(H816),ISNUMBER(P816)),1,0)</f>
        <v>0</v>
      </c>
      <c r="AE816" s="5">
        <f>W816</f>
        <v>0.91</v>
      </c>
      <c r="AF816" s="5">
        <f>X816</f>
        <v>0.90010500000000004</v>
      </c>
      <c r="AG816" s="5">
        <f>Y816</f>
        <v>0</v>
      </c>
      <c r="AH816" s="5">
        <f>IF(OR(G816="C",G816="S",G816="U"),1,0)</f>
        <v>0</v>
      </c>
      <c r="AI816" s="5">
        <f>IF(ISNUMBER(H816),1,0)</f>
        <v>1</v>
      </c>
      <c r="AJ816" s="5">
        <f>IF(ISNUMBER(P816),1,0)</f>
        <v>0</v>
      </c>
      <c r="AK816" s="5">
        <f>IF(AI816=1,IF(J816&gt;0,1,0),"")</f>
        <v>0</v>
      </c>
      <c r="AL816" s="5" t="str">
        <f>IF(AJ816=1,IF(OR(Q816&gt;0,R816&gt;0),1,0),"")</f>
        <v/>
      </c>
    </row>
    <row r="817" spans="1:38">
      <c r="A817">
        <v>1436537</v>
      </c>
      <c r="B817" t="s">
        <v>881</v>
      </c>
      <c r="C817" t="s">
        <v>42</v>
      </c>
      <c r="D817" t="s">
        <v>24</v>
      </c>
      <c r="E817">
        <v>3</v>
      </c>
      <c r="F817">
        <v>229724</v>
      </c>
      <c r="G817" t="s">
        <v>25</v>
      </c>
      <c r="H817">
        <v>1</v>
      </c>
      <c r="I817">
        <v>6</v>
      </c>
      <c r="J817">
        <v>0</v>
      </c>
      <c r="K817">
        <v>0</v>
      </c>
      <c r="L817">
        <v>0</v>
      </c>
      <c r="M817">
        <v>0</v>
      </c>
      <c r="N817">
        <v>0</v>
      </c>
      <c r="O817" t="s">
        <v>26</v>
      </c>
      <c r="P817" t="s">
        <v>26</v>
      </c>
      <c r="Q817" t="s">
        <v>26</v>
      </c>
      <c r="R817" t="s">
        <v>26</v>
      </c>
      <c r="S817" t="s">
        <v>26</v>
      </c>
      <c r="T817" t="s">
        <v>26</v>
      </c>
      <c r="U817" t="s">
        <v>26</v>
      </c>
      <c r="V817">
        <v>0</v>
      </c>
      <c r="W817">
        <f>E817/100</f>
        <v>0.03</v>
      </c>
      <c r="X817">
        <f>F817/1000000</f>
        <v>0.22972400000000001</v>
      </c>
      <c r="Y817">
        <f>IF(D817="C",1,0)</f>
        <v>0</v>
      </c>
      <c r="Z817">
        <f>IF(G817="C",1,0)</f>
        <v>0</v>
      </c>
      <c r="AA817">
        <f>IF(G817="S",1,0)</f>
        <v>1</v>
      </c>
      <c r="AB817">
        <f>IF(G817="U",1,0)</f>
        <v>0</v>
      </c>
      <c r="AC817" s="5">
        <f>IF(AND(ISNUMBER(H817),NOT(ISNUMBER(P817))),1,0)</f>
        <v>1</v>
      </c>
      <c r="AD817" s="5">
        <f>IF(AND(ISNUMBER(H817),ISNUMBER(P817)),1,0)</f>
        <v>0</v>
      </c>
      <c r="AE817" s="5">
        <f>W817</f>
        <v>0.03</v>
      </c>
      <c r="AF817" s="5">
        <f>X817</f>
        <v>0.22972400000000001</v>
      </c>
      <c r="AG817" s="5">
        <f>Y817</f>
        <v>0</v>
      </c>
      <c r="AH817" s="5">
        <f>IF(OR(G817="C",G817="S",G817="U"),1,0)</f>
        <v>1</v>
      </c>
      <c r="AI817" s="5">
        <f>IF(ISNUMBER(H817),1,0)</f>
        <v>1</v>
      </c>
      <c r="AJ817" s="5">
        <f>IF(ISNUMBER(P817),1,0)</f>
        <v>0</v>
      </c>
      <c r="AK817" s="5">
        <f>IF(AI817=1,IF(J817&gt;0,1,0),"")</f>
        <v>0</v>
      </c>
      <c r="AL817" s="5" t="str">
        <f>IF(AJ817=1,IF(OR(Q817&gt;0,R817&gt;0),1,0),"")</f>
        <v/>
      </c>
    </row>
    <row r="818" spans="1:38">
      <c r="A818">
        <v>1456045</v>
      </c>
      <c r="B818" t="s">
        <v>882</v>
      </c>
      <c r="C818" t="s">
        <v>23</v>
      </c>
      <c r="D818" t="s">
        <v>24</v>
      </c>
      <c r="E818">
        <v>44</v>
      </c>
      <c r="F818">
        <v>1370000</v>
      </c>
      <c r="H818">
        <v>1</v>
      </c>
      <c r="I818">
        <v>2</v>
      </c>
      <c r="J818">
        <v>0</v>
      </c>
      <c r="K818">
        <v>0</v>
      </c>
      <c r="L818">
        <v>0</v>
      </c>
      <c r="M818" t="s">
        <v>26</v>
      </c>
      <c r="N818">
        <v>0</v>
      </c>
      <c r="O818" t="s">
        <v>26</v>
      </c>
      <c r="P818" t="s">
        <v>26</v>
      </c>
      <c r="Q818" t="s">
        <v>26</v>
      </c>
      <c r="R818" t="s">
        <v>26</v>
      </c>
      <c r="S818" t="s">
        <v>26</v>
      </c>
      <c r="T818" t="s">
        <v>26</v>
      </c>
      <c r="U818" t="s">
        <v>26</v>
      </c>
      <c r="V818">
        <v>0</v>
      </c>
      <c r="W818">
        <f>E818/100</f>
        <v>0.44</v>
      </c>
      <c r="X818">
        <f>F818/1000000</f>
        <v>1.37</v>
      </c>
      <c r="Y818">
        <f>IF(D818="C",1,0)</f>
        <v>0</v>
      </c>
      <c r="Z818">
        <f>IF(G818="C",1,0)</f>
        <v>0</v>
      </c>
      <c r="AA818">
        <f>IF(G818="S",1,0)</f>
        <v>0</v>
      </c>
      <c r="AB818">
        <f>IF(G818="U",1,0)</f>
        <v>0</v>
      </c>
      <c r="AC818" s="5">
        <f>IF(AND(ISNUMBER(H818),NOT(ISNUMBER(P818))),1,0)</f>
        <v>1</v>
      </c>
      <c r="AD818" s="5">
        <f>IF(AND(ISNUMBER(H818),ISNUMBER(P818)),1,0)</f>
        <v>0</v>
      </c>
      <c r="AE818" s="5">
        <f>W818</f>
        <v>0.44</v>
      </c>
      <c r="AF818" s="5">
        <f>X818</f>
        <v>1.37</v>
      </c>
      <c r="AG818" s="5">
        <f>Y818</f>
        <v>0</v>
      </c>
      <c r="AH818" s="5">
        <f>IF(OR(G818="C",G818="S",G818="U"),1,0)</f>
        <v>0</v>
      </c>
      <c r="AI818" s="5">
        <f>IF(ISNUMBER(H818),1,0)</f>
        <v>1</v>
      </c>
      <c r="AJ818" s="5">
        <f>IF(ISNUMBER(P818),1,0)</f>
        <v>0</v>
      </c>
      <c r="AK818" s="5">
        <f>IF(AI818=1,IF(J818&gt;0,1,0),"")</f>
        <v>0</v>
      </c>
      <c r="AL818" s="5" t="str">
        <f>IF(AJ818=1,IF(OR(Q818&gt;0,R818&gt;0),1,0),"")</f>
        <v/>
      </c>
    </row>
    <row r="819" spans="1:38">
      <c r="A819">
        <v>1460620</v>
      </c>
      <c r="B819" t="s">
        <v>883</v>
      </c>
      <c r="C819" t="s">
        <v>84</v>
      </c>
      <c r="D819" t="s">
        <v>24</v>
      </c>
      <c r="E819">
        <v>1</v>
      </c>
      <c r="F819">
        <v>81450</v>
      </c>
      <c r="H819">
        <v>1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 t="s">
        <v>26</v>
      </c>
      <c r="P819" t="s">
        <v>26</v>
      </c>
      <c r="Q819" t="s">
        <v>26</v>
      </c>
      <c r="R819" t="s">
        <v>26</v>
      </c>
      <c r="S819" t="s">
        <v>26</v>
      </c>
      <c r="T819" t="s">
        <v>26</v>
      </c>
      <c r="U819" t="s">
        <v>26</v>
      </c>
      <c r="V819">
        <v>0</v>
      </c>
      <c r="W819">
        <f>E819/100</f>
        <v>0.01</v>
      </c>
      <c r="X819">
        <f>F819/1000000</f>
        <v>8.1449999999999995E-2</v>
      </c>
      <c r="Y819">
        <f>IF(D819="C",1,0)</f>
        <v>0</v>
      </c>
      <c r="Z819">
        <f>IF(G819="C",1,0)</f>
        <v>0</v>
      </c>
      <c r="AA819">
        <f>IF(G819="S",1,0)</f>
        <v>0</v>
      </c>
      <c r="AB819">
        <f>IF(G819="U",1,0)</f>
        <v>0</v>
      </c>
      <c r="AC819" s="5">
        <f>IF(AND(ISNUMBER(H819),NOT(ISNUMBER(P819))),1,0)</f>
        <v>1</v>
      </c>
      <c r="AD819" s="5">
        <f>IF(AND(ISNUMBER(H819),ISNUMBER(P819)),1,0)</f>
        <v>0</v>
      </c>
      <c r="AE819" s="5">
        <f>W819</f>
        <v>0.01</v>
      </c>
      <c r="AF819" s="5">
        <f>X819</f>
        <v>8.1449999999999995E-2</v>
      </c>
      <c r="AG819" s="5">
        <f>Y819</f>
        <v>0</v>
      </c>
      <c r="AH819" s="5">
        <f>IF(OR(G819="C",G819="S",G819="U"),1,0)</f>
        <v>0</v>
      </c>
      <c r="AI819" s="5">
        <f>IF(ISNUMBER(H819),1,0)</f>
        <v>1</v>
      </c>
      <c r="AJ819" s="5">
        <f>IF(ISNUMBER(P819),1,0)</f>
        <v>0</v>
      </c>
      <c r="AK819" s="5">
        <f>IF(AI819=1,IF(J819&gt;0,1,0),"")</f>
        <v>0</v>
      </c>
      <c r="AL819" s="5" t="str">
        <f>IF(AJ819=1,IF(OR(Q819&gt;0,R819&gt;0),1,0),"")</f>
        <v/>
      </c>
    </row>
    <row r="820" spans="1:38">
      <c r="A820">
        <v>1465519</v>
      </c>
      <c r="B820" t="s">
        <v>884</v>
      </c>
      <c r="C820" t="s">
        <v>23</v>
      </c>
      <c r="D820" t="s">
        <v>24</v>
      </c>
      <c r="E820">
        <v>19</v>
      </c>
      <c r="F820">
        <v>101405</v>
      </c>
      <c r="H820">
        <v>1</v>
      </c>
      <c r="I820">
        <v>0</v>
      </c>
      <c r="J820">
        <v>0</v>
      </c>
      <c r="K820">
        <v>0</v>
      </c>
      <c r="L820" t="s">
        <v>26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  <c r="S820" t="s">
        <v>26</v>
      </c>
      <c r="T820" t="s">
        <v>26</v>
      </c>
      <c r="U820" t="s">
        <v>26</v>
      </c>
      <c r="V820">
        <v>0</v>
      </c>
      <c r="W820">
        <f>E820/100</f>
        <v>0.19</v>
      </c>
      <c r="X820">
        <f>F820/1000000</f>
        <v>0.101405</v>
      </c>
      <c r="Y820">
        <f>IF(D820="C",1,0)</f>
        <v>0</v>
      </c>
      <c r="Z820">
        <f>IF(G820="C",1,0)</f>
        <v>0</v>
      </c>
      <c r="AA820">
        <f>IF(G820="S",1,0)</f>
        <v>0</v>
      </c>
      <c r="AB820">
        <f>IF(G820="U",1,0)</f>
        <v>0</v>
      </c>
      <c r="AC820" s="5">
        <f>IF(AND(ISNUMBER(H820),NOT(ISNUMBER(P820))),1,0)</f>
        <v>1</v>
      </c>
      <c r="AD820" s="5">
        <f>IF(AND(ISNUMBER(H820),ISNUMBER(P820)),1,0)</f>
        <v>0</v>
      </c>
      <c r="AE820" s="5">
        <f>W820</f>
        <v>0.19</v>
      </c>
      <c r="AF820" s="5">
        <f>X820</f>
        <v>0.101405</v>
      </c>
      <c r="AG820" s="5">
        <f>Y820</f>
        <v>0</v>
      </c>
      <c r="AH820" s="5">
        <f>IF(OR(G820="C",G820="S",G820="U"),1,0)</f>
        <v>0</v>
      </c>
      <c r="AI820" s="5">
        <f>IF(ISNUMBER(H820),1,0)</f>
        <v>1</v>
      </c>
      <c r="AJ820" s="5">
        <f>IF(ISNUMBER(P820),1,0)</f>
        <v>0</v>
      </c>
      <c r="AK820" s="5">
        <f>IF(AI820=1,IF(J820&gt;0,1,0),"")</f>
        <v>0</v>
      </c>
      <c r="AL820" s="5" t="str">
        <f>IF(AJ820=1,IF(OR(Q820&gt;0,R820&gt;0),1,0),"")</f>
        <v/>
      </c>
    </row>
    <row r="821" spans="1:38">
      <c r="A821">
        <v>1475171</v>
      </c>
      <c r="B821" t="s">
        <v>885</v>
      </c>
      <c r="C821" t="s">
        <v>23</v>
      </c>
      <c r="D821" t="s">
        <v>24</v>
      </c>
      <c r="E821">
        <v>8</v>
      </c>
      <c r="F821">
        <v>126349</v>
      </c>
      <c r="H821">
        <v>1</v>
      </c>
      <c r="I821">
        <v>0</v>
      </c>
      <c r="J821">
        <v>0</v>
      </c>
      <c r="K821">
        <v>0</v>
      </c>
      <c r="L821" t="s">
        <v>26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  <c r="S821" t="s">
        <v>26</v>
      </c>
      <c r="T821" t="s">
        <v>26</v>
      </c>
      <c r="U821" t="s">
        <v>26</v>
      </c>
      <c r="V821">
        <v>0</v>
      </c>
      <c r="W821">
        <f>E821/100</f>
        <v>0.08</v>
      </c>
      <c r="X821">
        <f>F821/1000000</f>
        <v>0.12634899999999999</v>
      </c>
      <c r="Y821">
        <f>IF(D821="C",1,0)</f>
        <v>0</v>
      </c>
      <c r="Z821">
        <f>IF(G821="C",1,0)</f>
        <v>0</v>
      </c>
      <c r="AA821">
        <f>IF(G821="S",1,0)</f>
        <v>0</v>
      </c>
      <c r="AB821">
        <f>IF(G821="U",1,0)</f>
        <v>0</v>
      </c>
      <c r="AC821" s="5">
        <f>IF(AND(ISNUMBER(H821),NOT(ISNUMBER(P821))),1,0)</f>
        <v>1</v>
      </c>
      <c r="AD821" s="5">
        <f>IF(AND(ISNUMBER(H821),ISNUMBER(P821)),1,0)</f>
        <v>0</v>
      </c>
      <c r="AE821" s="5">
        <f>W821</f>
        <v>0.08</v>
      </c>
      <c r="AF821" s="5">
        <f>X821</f>
        <v>0.12634899999999999</v>
      </c>
      <c r="AG821" s="5">
        <f>Y821</f>
        <v>0</v>
      </c>
      <c r="AH821" s="5">
        <f>IF(OR(G821="C",G821="S",G821="U"),1,0)</f>
        <v>0</v>
      </c>
      <c r="AI821" s="5">
        <f>IF(ISNUMBER(H821),1,0)</f>
        <v>1</v>
      </c>
      <c r="AJ821" s="5">
        <f>IF(ISNUMBER(P821),1,0)</f>
        <v>0</v>
      </c>
      <c r="AK821" s="5">
        <f>IF(AI821=1,IF(J821&gt;0,1,0),"")</f>
        <v>0</v>
      </c>
      <c r="AL821" s="5" t="str">
        <f>IF(AJ821=1,IF(OR(Q821&gt;0,R821&gt;0),1,0),"")</f>
        <v/>
      </c>
    </row>
    <row r="822" spans="1:38">
      <c r="A822">
        <v>1482079</v>
      </c>
      <c r="B822" t="s">
        <v>886</v>
      </c>
      <c r="C822" t="s">
        <v>37</v>
      </c>
      <c r="D822" t="s">
        <v>33</v>
      </c>
      <c r="E822">
        <v>1</v>
      </c>
      <c r="F822">
        <v>5000</v>
      </c>
      <c r="H822">
        <v>1</v>
      </c>
      <c r="I822">
        <v>9</v>
      </c>
      <c r="J822">
        <v>3</v>
      </c>
      <c r="K822">
        <v>1</v>
      </c>
      <c r="L822">
        <v>0.33329999999999999</v>
      </c>
      <c r="M822" t="s">
        <v>26</v>
      </c>
      <c r="N822">
        <v>0.33329999999999999</v>
      </c>
      <c r="O822" t="s">
        <v>26</v>
      </c>
      <c r="P822" t="s">
        <v>26</v>
      </c>
      <c r="Q822" t="s">
        <v>26</v>
      </c>
      <c r="R822" t="s">
        <v>26</v>
      </c>
      <c r="S822" t="s">
        <v>26</v>
      </c>
      <c r="T822" t="s">
        <v>26</v>
      </c>
      <c r="U822" t="s">
        <v>26</v>
      </c>
      <c r="V822">
        <v>1</v>
      </c>
      <c r="W822">
        <f>E822/100</f>
        <v>0.01</v>
      </c>
      <c r="X822">
        <f>F822/1000000</f>
        <v>5.0000000000000001E-3</v>
      </c>
      <c r="Y822">
        <f>IF(D822="C",1,0)</f>
        <v>1</v>
      </c>
      <c r="Z822">
        <f>IF(G822="C",1,0)</f>
        <v>0</v>
      </c>
      <c r="AA822">
        <f>IF(G822="S",1,0)</f>
        <v>0</v>
      </c>
      <c r="AB822">
        <f>IF(G822="U",1,0)</f>
        <v>0</v>
      </c>
      <c r="AC822" s="5">
        <f>IF(AND(ISNUMBER(H822),NOT(ISNUMBER(P822))),1,0)</f>
        <v>1</v>
      </c>
      <c r="AD822" s="5">
        <f>IF(AND(ISNUMBER(H822),ISNUMBER(P822)),1,0)</f>
        <v>0</v>
      </c>
      <c r="AE822" s="5">
        <f>W822</f>
        <v>0.01</v>
      </c>
      <c r="AF822" s="5">
        <f>X822</f>
        <v>5.0000000000000001E-3</v>
      </c>
      <c r="AG822" s="5">
        <f>Y822</f>
        <v>1</v>
      </c>
      <c r="AH822" s="5">
        <f>IF(OR(G822="C",G822="S",G822="U"),1,0)</f>
        <v>0</v>
      </c>
      <c r="AI822" s="5">
        <f>IF(ISNUMBER(H822),1,0)</f>
        <v>1</v>
      </c>
      <c r="AJ822" s="5">
        <f>IF(ISNUMBER(P822),1,0)</f>
        <v>0</v>
      </c>
      <c r="AK822" s="5">
        <f>IF(AI822=1,IF(J822&gt;0,1,0),"")</f>
        <v>1</v>
      </c>
      <c r="AL822" s="5" t="str">
        <f>IF(AJ822=1,IF(OR(Q822&gt;0,R822&gt;0),1,0),"")</f>
        <v/>
      </c>
    </row>
    <row r="823" spans="1:38">
      <c r="A823">
        <v>1489052</v>
      </c>
      <c r="B823" t="s">
        <v>887</v>
      </c>
      <c r="C823" t="s">
        <v>82</v>
      </c>
      <c r="D823" t="s">
        <v>24</v>
      </c>
      <c r="E823">
        <v>12</v>
      </c>
      <c r="F823">
        <v>168640</v>
      </c>
      <c r="H823">
        <v>1</v>
      </c>
      <c r="I823">
        <v>2</v>
      </c>
      <c r="J823">
        <v>0</v>
      </c>
      <c r="K823">
        <v>0</v>
      </c>
      <c r="L823">
        <v>0</v>
      </c>
      <c r="M823" t="s">
        <v>26</v>
      </c>
      <c r="N823">
        <v>0</v>
      </c>
      <c r="O823" t="s">
        <v>26</v>
      </c>
      <c r="P823" t="s">
        <v>26</v>
      </c>
      <c r="Q823" t="s">
        <v>26</v>
      </c>
      <c r="R823" t="s">
        <v>26</v>
      </c>
      <c r="S823" t="s">
        <v>26</v>
      </c>
      <c r="T823" t="s">
        <v>26</v>
      </c>
      <c r="U823" t="s">
        <v>26</v>
      </c>
      <c r="V823">
        <v>0</v>
      </c>
      <c r="W823">
        <f>E823/100</f>
        <v>0.12</v>
      </c>
      <c r="X823">
        <f>F823/1000000</f>
        <v>0.16864000000000001</v>
      </c>
      <c r="Y823">
        <f>IF(D823="C",1,0)</f>
        <v>0</v>
      </c>
      <c r="Z823">
        <f>IF(G823="C",1,0)</f>
        <v>0</v>
      </c>
      <c r="AA823">
        <f>IF(G823="S",1,0)</f>
        <v>0</v>
      </c>
      <c r="AB823">
        <f>IF(G823="U",1,0)</f>
        <v>0</v>
      </c>
      <c r="AC823" s="5">
        <f>IF(AND(ISNUMBER(H823),NOT(ISNUMBER(P823))),1,0)</f>
        <v>1</v>
      </c>
      <c r="AD823" s="5">
        <f>IF(AND(ISNUMBER(H823),ISNUMBER(P823)),1,0)</f>
        <v>0</v>
      </c>
      <c r="AE823" s="5">
        <f>W823</f>
        <v>0.12</v>
      </c>
      <c r="AF823" s="5">
        <f>X823</f>
        <v>0.16864000000000001</v>
      </c>
      <c r="AG823" s="5">
        <f>Y823</f>
        <v>0</v>
      </c>
      <c r="AH823" s="5">
        <f>IF(OR(G823="C",G823="S",G823="U"),1,0)</f>
        <v>0</v>
      </c>
      <c r="AI823" s="5">
        <f>IF(ISNUMBER(H823),1,0)</f>
        <v>1</v>
      </c>
      <c r="AJ823" s="5">
        <f>IF(ISNUMBER(P823),1,0)</f>
        <v>0</v>
      </c>
      <c r="AK823" s="5">
        <f>IF(AI823=1,IF(J823&gt;0,1,0),"")</f>
        <v>0</v>
      </c>
      <c r="AL823" s="5" t="str">
        <f>IF(AJ823=1,IF(OR(Q823&gt;0,R823&gt;0),1,0),"")</f>
        <v/>
      </c>
    </row>
    <row r="824" spans="1:38">
      <c r="A824">
        <v>1495624</v>
      </c>
      <c r="B824" t="s">
        <v>888</v>
      </c>
      <c r="C824" t="s">
        <v>23</v>
      </c>
      <c r="D824" t="s">
        <v>24</v>
      </c>
      <c r="E824">
        <v>10</v>
      </c>
      <c r="F824">
        <v>188800</v>
      </c>
      <c r="H824">
        <v>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 t="s">
        <v>26</v>
      </c>
      <c r="P824" t="s">
        <v>26</v>
      </c>
      <c r="Q824" t="s">
        <v>26</v>
      </c>
      <c r="R824" t="s">
        <v>26</v>
      </c>
      <c r="S824" t="s">
        <v>26</v>
      </c>
      <c r="T824" t="s">
        <v>26</v>
      </c>
      <c r="U824" t="s">
        <v>26</v>
      </c>
      <c r="V824">
        <v>0</v>
      </c>
      <c r="W824">
        <f>E824/100</f>
        <v>0.1</v>
      </c>
      <c r="X824">
        <f>F824/1000000</f>
        <v>0.1888</v>
      </c>
      <c r="Y824">
        <f>IF(D824="C",1,0)</f>
        <v>0</v>
      </c>
      <c r="Z824">
        <f>IF(G824="C",1,0)</f>
        <v>0</v>
      </c>
      <c r="AA824">
        <f>IF(G824="S",1,0)</f>
        <v>0</v>
      </c>
      <c r="AB824">
        <f>IF(G824="U",1,0)</f>
        <v>0</v>
      </c>
      <c r="AC824" s="5">
        <f>IF(AND(ISNUMBER(H824),NOT(ISNUMBER(P824))),1,0)</f>
        <v>1</v>
      </c>
      <c r="AD824" s="5">
        <f>IF(AND(ISNUMBER(H824),ISNUMBER(P824)),1,0)</f>
        <v>0</v>
      </c>
      <c r="AE824" s="5">
        <f>W824</f>
        <v>0.1</v>
      </c>
      <c r="AF824" s="5">
        <f>X824</f>
        <v>0.1888</v>
      </c>
      <c r="AG824" s="5">
        <f>Y824</f>
        <v>0</v>
      </c>
      <c r="AH824" s="5">
        <f>IF(OR(G824="C",G824="S",G824="U"),1,0)</f>
        <v>0</v>
      </c>
      <c r="AI824" s="5">
        <f>IF(ISNUMBER(H824),1,0)</f>
        <v>1</v>
      </c>
      <c r="AJ824" s="5">
        <f>IF(ISNUMBER(P824),1,0)</f>
        <v>0</v>
      </c>
      <c r="AK824" s="5">
        <f>IF(AI824=1,IF(J824&gt;0,1,0),"")</f>
        <v>0</v>
      </c>
      <c r="AL824" s="5" t="str">
        <f>IF(AJ824=1,IF(OR(Q824&gt;0,R824&gt;0),1,0),"")</f>
        <v/>
      </c>
    </row>
    <row r="825" spans="1:38">
      <c r="A825">
        <v>1511573</v>
      </c>
      <c r="B825" t="s">
        <v>889</v>
      </c>
      <c r="C825" t="s">
        <v>23</v>
      </c>
      <c r="D825" t="s">
        <v>33</v>
      </c>
      <c r="E825">
        <v>107</v>
      </c>
      <c r="F825">
        <v>70000</v>
      </c>
      <c r="H825">
        <v>3</v>
      </c>
      <c r="I825">
        <v>0</v>
      </c>
      <c r="J825">
        <v>0</v>
      </c>
      <c r="K825">
        <v>0</v>
      </c>
      <c r="L825" t="s">
        <v>26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  <c r="S825" t="s">
        <v>26</v>
      </c>
      <c r="T825" t="s">
        <v>26</v>
      </c>
      <c r="U825" t="s">
        <v>26</v>
      </c>
      <c r="V825">
        <v>0</v>
      </c>
      <c r="W825">
        <f>E825/100</f>
        <v>1.07</v>
      </c>
      <c r="X825">
        <f>F825/1000000</f>
        <v>7.0000000000000007E-2</v>
      </c>
      <c r="Y825">
        <f>IF(D825="C",1,0)</f>
        <v>1</v>
      </c>
      <c r="Z825">
        <f>IF(G825="C",1,0)</f>
        <v>0</v>
      </c>
      <c r="AA825">
        <f>IF(G825="S",1,0)</f>
        <v>0</v>
      </c>
      <c r="AB825">
        <f>IF(G825="U",1,0)</f>
        <v>0</v>
      </c>
      <c r="AC825" s="5">
        <f>IF(AND(ISNUMBER(H825),NOT(ISNUMBER(P825))),1,0)</f>
        <v>1</v>
      </c>
      <c r="AD825" s="5">
        <f>IF(AND(ISNUMBER(H825),ISNUMBER(P825)),1,0)</f>
        <v>0</v>
      </c>
      <c r="AE825" s="5">
        <f>W825</f>
        <v>1.07</v>
      </c>
      <c r="AF825" s="5">
        <f>X825</f>
        <v>7.0000000000000007E-2</v>
      </c>
      <c r="AG825" s="5">
        <f>Y825</f>
        <v>1</v>
      </c>
      <c r="AH825" s="5">
        <f>IF(OR(G825="C",G825="S",G825="U"),1,0)</f>
        <v>0</v>
      </c>
      <c r="AI825" s="5">
        <f>IF(ISNUMBER(H825),1,0)</f>
        <v>1</v>
      </c>
      <c r="AJ825" s="5">
        <f>IF(ISNUMBER(P825),1,0)</f>
        <v>0</v>
      </c>
      <c r="AK825" s="5">
        <f>IF(AI825=1,IF(J825&gt;0,1,0),"")</f>
        <v>0</v>
      </c>
      <c r="AL825" s="5" t="str">
        <f>IF(AJ825=1,IF(OR(Q825&gt;0,R825&gt;0),1,0),"")</f>
        <v/>
      </c>
    </row>
    <row r="826" spans="1:38">
      <c r="A826">
        <v>1515031</v>
      </c>
      <c r="B826" t="s">
        <v>890</v>
      </c>
      <c r="C826" t="s">
        <v>37</v>
      </c>
      <c r="D826" t="s">
        <v>33</v>
      </c>
      <c r="E826">
        <v>7</v>
      </c>
      <c r="F826">
        <v>1229</v>
      </c>
      <c r="H826">
        <v>1</v>
      </c>
      <c r="I826">
        <v>0</v>
      </c>
      <c r="J826">
        <v>0</v>
      </c>
      <c r="K826">
        <v>0</v>
      </c>
      <c r="L826" t="s">
        <v>26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  <c r="S826" t="s">
        <v>26</v>
      </c>
      <c r="T826" t="s">
        <v>26</v>
      </c>
      <c r="U826" t="s">
        <v>26</v>
      </c>
      <c r="V826">
        <v>0</v>
      </c>
      <c r="W826">
        <f>E826/100</f>
        <v>7.0000000000000007E-2</v>
      </c>
      <c r="X826">
        <f>F826/1000000</f>
        <v>1.2290000000000001E-3</v>
      </c>
      <c r="Y826">
        <f>IF(D826="C",1,0)</f>
        <v>1</v>
      </c>
      <c r="Z826">
        <f>IF(G826="C",1,0)</f>
        <v>0</v>
      </c>
      <c r="AA826">
        <f>IF(G826="S",1,0)</f>
        <v>0</v>
      </c>
      <c r="AB826">
        <f>IF(G826="U",1,0)</f>
        <v>0</v>
      </c>
      <c r="AC826" s="5">
        <f>IF(AND(ISNUMBER(H826),NOT(ISNUMBER(P826))),1,0)</f>
        <v>1</v>
      </c>
      <c r="AD826" s="5">
        <f>IF(AND(ISNUMBER(H826),ISNUMBER(P826)),1,0)</f>
        <v>0</v>
      </c>
      <c r="AE826" s="5">
        <f>W826</f>
        <v>7.0000000000000007E-2</v>
      </c>
      <c r="AF826" s="5">
        <f>X826</f>
        <v>1.2290000000000001E-3</v>
      </c>
      <c r="AG826" s="5">
        <f>Y826</f>
        <v>1</v>
      </c>
      <c r="AH826" s="5">
        <f>IF(OR(G826="C",G826="S",G826="U"),1,0)</f>
        <v>0</v>
      </c>
      <c r="AI826" s="5">
        <f>IF(ISNUMBER(H826),1,0)</f>
        <v>1</v>
      </c>
      <c r="AJ826" s="5">
        <f>IF(ISNUMBER(P826),1,0)</f>
        <v>0</v>
      </c>
      <c r="AK826" s="5">
        <f>IF(AI826=1,IF(J826&gt;0,1,0),"")</f>
        <v>0</v>
      </c>
      <c r="AL826" s="5" t="str">
        <f>IF(AJ826=1,IF(OR(Q826&gt;0,R826&gt;0),1,0),"")</f>
        <v/>
      </c>
    </row>
    <row r="827" spans="1:38">
      <c r="A827">
        <v>1520630</v>
      </c>
      <c r="B827" t="s">
        <v>891</v>
      </c>
      <c r="C827" t="s">
        <v>314</v>
      </c>
      <c r="D827" t="s">
        <v>24</v>
      </c>
      <c r="E827">
        <v>12</v>
      </c>
      <c r="F827">
        <v>524042</v>
      </c>
      <c r="H827">
        <v>1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 t="s">
        <v>26</v>
      </c>
      <c r="P827" t="s">
        <v>26</v>
      </c>
      <c r="Q827" t="s">
        <v>26</v>
      </c>
      <c r="R827" t="s">
        <v>26</v>
      </c>
      <c r="S827" t="s">
        <v>26</v>
      </c>
      <c r="T827" t="s">
        <v>26</v>
      </c>
      <c r="U827" t="s">
        <v>26</v>
      </c>
      <c r="V827">
        <v>0</v>
      </c>
      <c r="W827">
        <f>E827/100</f>
        <v>0.12</v>
      </c>
      <c r="X827">
        <f>F827/1000000</f>
        <v>0.52404200000000001</v>
      </c>
      <c r="Y827">
        <f>IF(D827="C",1,0)</f>
        <v>0</v>
      </c>
      <c r="Z827">
        <f>IF(G827="C",1,0)</f>
        <v>0</v>
      </c>
      <c r="AA827">
        <f>IF(G827="S",1,0)</f>
        <v>0</v>
      </c>
      <c r="AB827">
        <f>IF(G827="U",1,0)</f>
        <v>0</v>
      </c>
      <c r="AC827" s="5">
        <f>IF(AND(ISNUMBER(H827),NOT(ISNUMBER(P827))),1,0)</f>
        <v>1</v>
      </c>
      <c r="AD827" s="5">
        <f>IF(AND(ISNUMBER(H827),ISNUMBER(P827)),1,0)</f>
        <v>0</v>
      </c>
      <c r="AE827" s="5">
        <f>W827</f>
        <v>0.12</v>
      </c>
      <c r="AF827" s="5">
        <f>X827</f>
        <v>0.52404200000000001</v>
      </c>
      <c r="AG827" s="5">
        <f>Y827</f>
        <v>0</v>
      </c>
      <c r="AH827" s="5">
        <f>IF(OR(G827="C",G827="S",G827="U"),1,0)</f>
        <v>0</v>
      </c>
      <c r="AI827" s="5">
        <f>IF(ISNUMBER(H827),1,0)</f>
        <v>1</v>
      </c>
      <c r="AJ827" s="5">
        <f>IF(ISNUMBER(P827),1,0)</f>
        <v>0</v>
      </c>
      <c r="AK827" s="5">
        <f>IF(AI827=1,IF(J827&gt;0,1,0),"")</f>
        <v>0</v>
      </c>
      <c r="AL827" s="5" t="str">
        <f>IF(AJ827=1,IF(OR(Q827&gt;0,R827&gt;0),1,0),"")</f>
        <v/>
      </c>
    </row>
    <row r="828" spans="1:38">
      <c r="A828">
        <v>1526576</v>
      </c>
      <c r="B828" t="s">
        <v>892</v>
      </c>
      <c r="C828" t="s">
        <v>37</v>
      </c>
      <c r="D828" t="s">
        <v>24</v>
      </c>
      <c r="E828">
        <v>1</v>
      </c>
      <c r="F828">
        <v>21000</v>
      </c>
      <c r="H828">
        <v>1</v>
      </c>
      <c r="I828">
        <v>2</v>
      </c>
      <c r="J828">
        <v>0</v>
      </c>
      <c r="K828">
        <v>0</v>
      </c>
      <c r="L828">
        <v>0</v>
      </c>
      <c r="M828" t="s">
        <v>26</v>
      </c>
      <c r="N828">
        <v>0</v>
      </c>
      <c r="O828" t="s">
        <v>26</v>
      </c>
      <c r="P828" t="s">
        <v>26</v>
      </c>
      <c r="Q828" t="s">
        <v>26</v>
      </c>
      <c r="R828" t="s">
        <v>26</v>
      </c>
      <c r="S828" t="s">
        <v>26</v>
      </c>
      <c r="T828" t="s">
        <v>26</v>
      </c>
      <c r="U828" t="s">
        <v>26</v>
      </c>
      <c r="V828">
        <v>0</v>
      </c>
      <c r="W828">
        <f>E828/100</f>
        <v>0.01</v>
      </c>
      <c r="X828">
        <f>F828/1000000</f>
        <v>2.1000000000000001E-2</v>
      </c>
      <c r="Y828">
        <f>IF(D828="C",1,0)</f>
        <v>0</v>
      </c>
      <c r="Z828">
        <f>IF(G828="C",1,0)</f>
        <v>0</v>
      </c>
      <c r="AA828">
        <f>IF(G828="S",1,0)</f>
        <v>0</v>
      </c>
      <c r="AB828">
        <f>IF(G828="U",1,0)</f>
        <v>0</v>
      </c>
      <c r="AC828" s="5">
        <f>IF(AND(ISNUMBER(H828),NOT(ISNUMBER(P828))),1,0)</f>
        <v>1</v>
      </c>
      <c r="AD828" s="5">
        <f>IF(AND(ISNUMBER(H828),ISNUMBER(P828)),1,0)</f>
        <v>0</v>
      </c>
      <c r="AE828" s="5">
        <f>W828</f>
        <v>0.01</v>
      </c>
      <c r="AF828" s="5">
        <f>X828</f>
        <v>2.1000000000000001E-2</v>
      </c>
      <c r="AG828" s="5">
        <f>Y828</f>
        <v>0</v>
      </c>
      <c r="AH828" s="5">
        <f>IF(OR(G828="C",G828="S",G828="U"),1,0)</f>
        <v>0</v>
      </c>
      <c r="AI828" s="5">
        <f>IF(ISNUMBER(H828),1,0)</f>
        <v>1</v>
      </c>
      <c r="AJ828" s="5">
        <f>IF(ISNUMBER(P828),1,0)</f>
        <v>0</v>
      </c>
      <c r="AK828" s="5">
        <f>IF(AI828=1,IF(J828&gt;0,1,0),"")</f>
        <v>0</v>
      </c>
      <c r="AL828" s="5" t="str">
        <f>IF(AJ828=1,IF(OR(Q828&gt;0,R828&gt;0),1,0),"")</f>
        <v/>
      </c>
    </row>
    <row r="829" spans="1:38">
      <c r="A829">
        <v>1534938</v>
      </c>
      <c r="B829" t="s">
        <v>893</v>
      </c>
      <c r="C829" t="s">
        <v>37</v>
      </c>
      <c r="D829" t="s">
        <v>24</v>
      </c>
      <c r="E829">
        <v>398</v>
      </c>
      <c r="F829">
        <v>31900</v>
      </c>
      <c r="H829">
        <v>1</v>
      </c>
      <c r="I829">
        <v>1</v>
      </c>
      <c r="J829">
        <v>0</v>
      </c>
      <c r="K829">
        <v>0</v>
      </c>
      <c r="L829">
        <v>0</v>
      </c>
      <c r="M829" t="s">
        <v>26</v>
      </c>
      <c r="N829">
        <v>0</v>
      </c>
      <c r="O829" t="s">
        <v>26</v>
      </c>
      <c r="P829" t="s">
        <v>26</v>
      </c>
      <c r="Q829" t="s">
        <v>26</v>
      </c>
      <c r="R829" t="s">
        <v>26</v>
      </c>
      <c r="S829" t="s">
        <v>26</v>
      </c>
      <c r="T829" t="s">
        <v>26</v>
      </c>
      <c r="U829" t="s">
        <v>26</v>
      </c>
      <c r="V829">
        <v>0</v>
      </c>
      <c r="W829">
        <f>E829/100</f>
        <v>3.98</v>
      </c>
      <c r="X829">
        <f>F829/1000000</f>
        <v>3.1899999999999998E-2</v>
      </c>
      <c r="Y829">
        <f>IF(D829="C",1,0)</f>
        <v>0</v>
      </c>
      <c r="Z829">
        <f>IF(G829="C",1,0)</f>
        <v>0</v>
      </c>
      <c r="AA829">
        <f>IF(G829="S",1,0)</f>
        <v>0</v>
      </c>
      <c r="AB829">
        <f>IF(G829="U",1,0)</f>
        <v>0</v>
      </c>
      <c r="AC829" s="5">
        <f>IF(AND(ISNUMBER(H829),NOT(ISNUMBER(P829))),1,0)</f>
        <v>1</v>
      </c>
      <c r="AD829" s="5">
        <f>IF(AND(ISNUMBER(H829),ISNUMBER(P829)),1,0)</f>
        <v>0</v>
      </c>
      <c r="AE829" s="5">
        <f>W829</f>
        <v>3.98</v>
      </c>
      <c r="AF829" s="5">
        <f>X829</f>
        <v>3.1899999999999998E-2</v>
      </c>
      <c r="AG829" s="5">
        <f>Y829</f>
        <v>0</v>
      </c>
      <c r="AH829" s="5">
        <f>IF(OR(G829="C",G829="S",G829="U"),1,0)</f>
        <v>0</v>
      </c>
      <c r="AI829" s="5">
        <f>IF(ISNUMBER(H829),1,0)</f>
        <v>1</v>
      </c>
      <c r="AJ829" s="5">
        <f>IF(ISNUMBER(P829),1,0)</f>
        <v>0</v>
      </c>
      <c r="AK829" s="5">
        <f>IF(AI829=1,IF(J829&gt;0,1,0),"")</f>
        <v>0</v>
      </c>
      <c r="AL829" s="5" t="str">
        <f>IF(AJ829=1,IF(OR(Q829&gt;0,R829&gt;0),1,0),"")</f>
        <v/>
      </c>
    </row>
    <row r="830" spans="1:38">
      <c r="A830">
        <v>1543241</v>
      </c>
      <c r="B830" t="s">
        <v>894</v>
      </c>
      <c r="C830" t="s">
        <v>37</v>
      </c>
      <c r="D830" t="s">
        <v>24</v>
      </c>
      <c r="E830">
        <v>9</v>
      </c>
      <c r="F830">
        <v>350000</v>
      </c>
      <c r="H830">
        <v>1</v>
      </c>
      <c r="I830">
        <v>3</v>
      </c>
      <c r="J830">
        <v>0</v>
      </c>
      <c r="K830">
        <v>0</v>
      </c>
      <c r="L830">
        <v>0</v>
      </c>
      <c r="M830" t="s">
        <v>26</v>
      </c>
      <c r="N830">
        <v>0</v>
      </c>
      <c r="O830" t="s">
        <v>26</v>
      </c>
      <c r="P830" t="s">
        <v>26</v>
      </c>
      <c r="Q830" t="s">
        <v>26</v>
      </c>
      <c r="R830" t="s">
        <v>26</v>
      </c>
      <c r="S830" t="s">
        <v>26</v>
      </c>
      <c r="T830" t="s">
        <v>26</v>
      </c>
      <c r="U830" t="s">
        <v>26</v>
      </c>
      <c r="V830">
        <v>0</v>
      </c>
      <c r="W830">
        <f>E830/100</f>
        <v>0.09</v>
      </c>
      <c r="X830">
        <f>F830/1000000</f>
        <v>0.35</v>
      </c>
      <c r="Y830">
        <f>IF(D830="C",1,0)</f>
        <v>0</v>
      </c>
      <c r="Z830">
        <f>IF(G830="C",1,0)</f>
        <v>0</v>
      </c>
      <c r="AA830">
        <f>IF(G830="S",1,0)</f>
        <v>0</v>
      </c>
      <c r="AB830">
        <f>IF(G830="U",1,0)</f>
        <v>0</v>
      </c>
      <c r="AC830" s="5">
        <f>IF(AND(ISNUMBER(H830),NOT(ISNUMBER(P830))),1,0)</f>
        <v>1</v>
      </c>
      <c r="AD830" s="5">
        <f>IF(AND(ISNUMBER(H830),ISNUMBER(P830)),1,0)</f>
        <v>0</v>
      </c>
      <c r="AE830" s="5">
        <f>W830</f>
        <v>0.09</v>
      </c>
      <c r="AF830" s="5">
        <f>X830</f>
        <v>0.35</v>
      </c>
      <c r="AG830" s="5">
        <f>Y830</f>
        <v>0</v>
      </c>
      <c r="AH830" s="5">
        <f>IF(OR(G830="C",G830="S",G830="U"),1,0)</f>
        <v>0</v>
      </c>
      <c r="AI830" s="5">
        <f>IF(ISNUMBER(H830),1,0)</f>
        <v>1</v>
      </c>
      <c r="AJ830" s="5">
        <f>IF(ISNUMBER(P830),1,0)</f>
        <v>0</v>
      </c>
      <c r="AK830" s="5">
        <f>IF(AI830=1,IF(J830&gt;0,1,0),"")</f>
        <v>0</v>
      </c>
      <c r="AL830" s="5" t="str">
        <f>IF(AJ830=1,IF(OR(Q830&gt;0,R830&gt;0),1,0),"")</f>
        <v/>
      </c>
    </row>
    <row r="831" spans="1:38">
      <c r="A831">
        <v>1558852</v>
      </c>
      <c r="B831" t="s">
        <v>895</v>
      </c>
      <c r="C831" t="s">
        <v>37</v>
      </c>
      <c r="D831" t="s">
        <v>33</v>
      </c>
      <c r="E831">
        <v>3</v>
      </c>
      <c r="F831">
        <v>17000</v>
      </c>
      <c r="H831">
        <v>1</v>
      </c>
      <c r="I831">
        <v>0</v>
      </c>
      <c r="J831">
        <v>0</v>
      </c>
      <c r="K831">
        <v>0</v>
      </c>
      <c r="L831" t="s">
        <v>26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  <c r="S831" t="s">
        <v>26</v>
      </c>
      <c r="T831" t="s">
        <v>26</v>
      </c>
      <c r="U831" t="s">
        <v>26</v>
      </c>
      <c r="V831">
        <v>0</v>
      </c>
      <c r="W831">
        <f>E831/100</f>
        <v>0.03</v>
      </c>
      <c r="X831">
        <f>F831/1000000</f>
        <v>1.7000000000000001E-2</v>
      </c>
      <c r="Y831">
        <f>IF(D831="C",1,0)</f>
        <v>1</v>
      </c>
      <c r="Z831">
        <f>IF(G831="C",1,0)</f>
        <v>0</v>
      </c>
      <c r="AA831">
        <f>IF(G831="S",1,0)</f>
        <v>0</v>
      </c>
      <c r="AB831">
        <f>IF(G831="U",1,0)</f>
        <v>0</v>
      </c>
      <c r="AC831" s="5">
        <f>IF(AND(ISNUMBER(H831),NOT(ISNUMBER(P831))),1,0)</f>
        <v>1</v>
      </c>
      <c r="AD831" s="5">
        <f>IF(AND(ISNUMBER(H831),ISNUMBER(P831)),1,0)</f>
        <v>0</v>
      </c>
      <c r="AE831" s="5">
        <f>W831</f>
        <v>0.03</v>
      </c>
      <c r="AF831" s="5">
        <f>X831</f>
        <v>1.7000000000000001E-2</v>
      </c>
      <c r="AG831" s="5">
        <f>Y831</f>
        <v>1</v>
      </c>
      <c r="AH831" s="5">
        <f>IF(OR(G831="C",G831="S",G831="U"),1,0)</f>
        <v>0</v>
      </c>
      <c r="AI831" s="5">
        <f>IF(ISNUMBER(H831),1,0)</f>
        <v>1</v>
      </c>
      <c r="AJ831" s="5">
        <f>IF(ISNUMBER(P831),1,0)</f>
        <v>0</v>
      </c>
      <c r="AK831" s="5">
        <f>IF(AI831=1,IF(J831&gt;0,1,0),"")</f>
        <v>0</v>
      </c>
      <c r="AL831" s="5" t="str">
        <f>IF(AJ831=1,IF(OR(Q831&gt;0,R831&gt;0),1,0),"")</f>
        <v/>
      </c>
    </row>
    <row r="832" spans="1:38">
      <c r="A832">
        <v>1570683</v>
      </c>
      <c r="B832" t="s">
        <v>896</v>
      </c>
      <c r="C832" t="s">
        <v>37</v>
      </c>
      <c r="D832" t="s">
        <v>24</v>
      </c>
      <c r="E832">
        <v>12</v>
      </c>
      <c r="F832">
        <v>125000</v>
      </c>
      <c r="H832">
        <v>1</v>
      </c>
      <c r="I832">
        <v>0</v>
      </c>
      <c r="J832">
        <v>0</v>
      </c>
      <c r="K832">
        <v>0</v>
      </c>
      <c r="L832" t="s">
        <v>26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  <c r="S832" t="s">
        <v>26</v>
      </c>
      <c r="T832" t="s">
        <v>26</v>
      </c>
      <c r="U832" t="s">
        <v>26</v>
      </c>
      <c r="V832">
        <v>0</v>
      </c>
      <c r="W832">
        <f>E832/100</f>
        <v>0.12</v>
      </c>
      <c r="X832">
        <f>F832/1000000</f>
        <v>0.125</v>
      </c>
      <c r="Y832">
        <f>IF(D832="C",1,0)</f>
        <v>0</v>
      </c>
      <c r="Z832">
        <f>IF(G832="C",1,0)</f>
        <v>0</v>
      </c>
      <c r="AA832">
        <f>IF(G832="S",1,0)</f>
        <v>0</v>
      </c>
      <c r="AB832">
        <f>IF(G832="U",1,0)</f>
        <v>0</v>
      </c>
      <c r="AC832" s="5">
        <f>IF(AND(ISNUMBER(H832),NOT(ISNUMBER(P832))),1,0)</f>
        <v>1</v>
      </c>
      <c r="AD832" s="5">
        <f>IF(AND(ISNUMBER(H832),ISNUMBER(P832)),1,0)</f>
        <v>0</v>
      </c>
      <c r="AE832" s="5">
        <f>W832</f>
        <v>0.12</v>
      </c>
      <c r="AF832" s="5">
        <f>X832</f>
        <v>0.125</v>
      </c>
      <c r="AG832" s="5">
        <f>Y832</f>
        <v>0</v>
      </c>
      <c r="AH832" s="5">
        <f>IF(OR(G832="C",G832="S",G832="U"),1,0)</f>
        <v>0</v>
      </c>
      <c r="AI832" s="5">
        <f>IF(ISNUMBER(H832),1,0)</f>
        <v>1</v>
      </c>
      <c r="AJ832" s="5">
        <f>IF(ISNUMBER(P832),1,0)</f>
        <v>0</v>
      </c>
      <c r="AK832" s="5">
        <f>IF(AI832=1,IF(J832&gt;0,1,0),"")</f>
        <v>0</v>
      </c>
      <c r="AL832" s="5" t="str">
        <f>IF(AJ832=1,IF(OR(Q832&gt;0,R832&gt;0),1,0),"")</f>
        <v/>
      </c>
    </row>
    <row r="833" spans="1:38">
      <c r="A833">
        <v>1576367</v>
      </c>
      <c r="B833" t="s">
        <v>897</v>
      </c>
      <c r="C833" t="s">
        <v>37</v>
      </c>
      <c r="D833" t="s">
        <v>33</v>
      </c>
      <c r="E833">
        <v>3</v>
      </c>
      <c r="F833">
        <v>10000</v>
      </c>
      <c r="H833">
        <v>1</v>
      </c>
      <c r="I833">
        <v>8</v>
      </c>
      <c r="J833">
        <v>2</v>
      </c>
      <c r="K833">
        <v>1</v>
      </c>
      <c r="L833">
        <v>0.25</v>
      </c>
      <c r="M833" t="s">
        <v>26</v>
      </c>
      <c r="N833">
        <v>0.25</v>
      </c>
      <c r="O833" t="s">
        <v>26</v>
      </c>
      <c r="P833" t="s">
        <v>26</v>
      </c>
      <c r="Q833" t="s">
        <v>26</v>
      </c>
      <c r="R833" t="s">
        <v>26</v>
      </c>
      <c r="S833" t="s">
        <v>26</v>
      </c>
      <c r="T833" t="s">
        <v>26</v>
      </c>
      <c r="U833" t="s">
        <v>26</v>
      </c>
      <c r="V833">
        <v>1</v>
      </c>
      <c r="W833">
        <f>E833/100</f>
        <v>0.03</v>
      </c>
      <c r="X833">
        <f>F833/1000000</f>
        <v>0.01</v>
      </c>
      <c r="Y833">
        <f>IF(D833="C",1,0)</f>
        <v>1</v>
      </c>
      <c r="Z833">
        <f>IF(G833="C",1,0)</f>
        <v>0</v>
      </c>
      <c r="AA833">
        <f>IF(G833="S",1,0)</f>
        <v>0</v>
      </c>
      <c r="AB833">
        <f>IF(G833="U",1,0)</f>
        <v>0</v>
      </c>
      <c r="AC833" s="5">
        <f>IF(AND(ISNUMBER(H833),NOT(ISNUMBER(P833))),1,0)</f>
        <v>1</v>
      </c>
      <c r="AD833" s="5">
        <f>IF(AND(ISNUMBER(H833),ISNUMBER(P833)),1,0)</f>
        <v>0</v>
      </c>
      <c r="AE833" s="5">
        <f>W833</f>
        <v>0.03</v>
      </c>
      <c r="AF833" s="5">
        <f>X833</f>
        <v>0.01</v>
      </c>
      <c r="AG833" s="5">
        <f>Y833</f>
        <v>1</v>
      </c>
      <c r="AH833" s="5">
        <f>IF(OR(G833="C",G833="S",G833="U"),1,0)</f>
        <v>0</v>
      </c>
      <c r="AI833" s="5">
        <f>IF(ISNUMBER(H833),1,0)</f>
        <v>1</v>
      </c>
      <c r="AJ833" s="5">
        <f>IF(ISNUMBER(P833),1,0)</f>
        <v>0</v>
      </c>
      <c r="AK833" s="5">
        <f>IF(AI833=1,IF(J833&gt;0,1,0),"")</f>
        <v>1</v>
      </c>
      <c r="AL833" s="5" t="str">
        <f>IF(AJ833=1,IF(OR(Q833&gt;0,R833&gt;0),1,0),"")</f>
        <v/>
      </c>
    </row>
    <row r="834" spans="1:38">
      <c r="A834">
        <v>1584050</v>
      </c>
      <c r="B834" t="s">
        <v>898</v>
      </c>
      <c r="C834" t="s">
        <v>23</v>
      </c>
      <c r="D834" t="s">
        <v>24</v>
      </c>
      <c r="E834">
        <v>19</v>
      </c>
      <c r="F834">
        <v>1068997</v>
      </c>
      <c r="G834" t="s">
        <v>25</v>
      </c>
      <c r="H834">
        <v>1</v>
      </c>
      <c r="I834">
        <v>2</v>
      </c>
      <c r="J834">
        <v>0</v>
      </c>
      <c r="K834">
        <v>0</v>
      </c>
      <c r="L834">
        <v>0</v>
      </c>
      <c r="M834">
        <v>0</v>
      </c>
      <c r="N834">
        <v>0</v>
      </c>
      <c r="O834" t="s">
        <v>26</v>
      </c>
      <c r="P834" t="s">
        <v>26</v>
      </c>
      <c r="Q834" t="s">
        <v>26</v>
      </c>
      <c r="R834" t="s">
        <v>26</v>
      </c>
      <c r="S834" t="s">
        <v>26</v>
      </c>
      <c r="T834" t="s">
        <v>26</v>
      </c>
      <c r="U834" t="s">
        <v>26</v>
      </c>
      <c r="V834">
        <v>0</v>
      </c>
      <c r="W834">
        <f>E834/100</f>
        <v>0.19</v>
      </c>
      <c r="X834">
        <f>F834/1000000</f>
        <v>1.068997</v>
      </c>
      <c r="Y834">
        <f>IF(D834="C",1,0)</f>
        <v>0</v>
      </c>
      <c r="Z834">
        <f>IF(G834="C",1,0)</f>
        <v>0</v>
      </c>
      <c r="AA834">
        <f>IF(G834="S",1,0)</f>
        <v>1</v>
      </c>
      <c r="AB834">
        <f>IF(G834="U",1,0)</f>
        <v>0</v>
      </c>
      <c r="AC834" s="5">
        <f>IF(AND(ISNUMBER(H834),NOT(ISNUMBER(P834))),1,0)</f>
        <v>1</v>
      </c>
      <c r="AD834" s="5">
        <f>IF(AND(ISNUMBER(H834),ISNUMBER(P834)),1,0)</f>
        <v>0</v>
      </c>
      <c r="AE834" s="5">
        <f>W834</f>
        <v>0.19</v>
      </c>
      <c r="AF834" s="5">
        <f>X834</f>
        <v>1.068997</v>
      </c>
      <c r="AG834" s="5">
        <f>Y834</f>
        <v>0</v>
      </c>
      <c r="AH834" s="5">
        <f>IF(OR(G834="C",G834="S",G834="U"),1,0)</f>
        <v>1</v>
      </c>
      <c r="AI834" s="5">
        <f>IF(ISNUMBER(H834),1,0)</f>
        <v>1</v>
      </c>
      <c r="AJ834" s="5">
        <f>IF(ISNUMBER(P834),1,0)</f>
        <v>0</v>
      </c>
      <c r="AK834" s="5">
        <f>IF(AI834=1,IF(J834&gt;0,1,0),"")</f>
        <v>0</v>
      </c>
      <c r="AL834" s="5" t="str">
        <f>IF(AJ834=1,IF(OR(Q834&gt;0,R834&gt;0),1,0),"")</f>
        <v/>
      </c>
    </row>
    <row r="835" spans="1:38">
      <c r="A835">
        <v>1587507</v>
      </c>
      <c r="B835" t="s">
        <v>899</v>
      </c>
      <c r="C835" t="s">
        <v>82</v>
      </c>
      <c r="D835" t="s">
        <v>24</v>
      </c>
      <c r="E835">
        <v>1</v>
      </c>
      <c r="F835">
        <v>16747</v>
      </c>
      <c r="H835">
        <v>1</v>
      </c>
      <c r="I835">
        <v>5</v>
      </c>
      <c r="J835">
        <v>0</v>
      </c>
      <c r="K835">
        <v>0</v>
      </c>
      <c r="L835">
        <v>0</v>
      </c>
      <c r="M835" t="s">
        <v>26</v>
      </c>
      <c r="N835">
        <v>0</v>
      </c>
      <c r="O835" t="s">
        <v>26</v>
      </c>
      <c r="P835" t="s">
        <v>26</v>
      </c>
      <c r="Q835" t="s">
        <v>26</v>
      </c>
      <c r="R835" t="s">
        <v>26</v>
      </c>
      <c r="S835" t="s">
        <v>26</v>
      </c>
      <c r="T835" t="s">
        <v>26</v>
      </c>
      <c r="U835" t="s">
        <v>26</v>
      </c>
      <c r="V835">
        <v>0</v>
      </c>
      <c r="W835">
        <f>E835/100</f>
        <v>0.01</v>
      </c>
      <c r="X835">
        <f>F835/1000000</f>
        <v>1.6747000000000001E-2</v>
      </c>
      <c r="Y835">
        <f>IF(D835="C",1,0)</f>
        <v>0</v>
      </c>
      <c r="Z835">
        <f>IF(G835="C",1,0)</f>
        <v>0</v>
      </c>
      <c r="AA835">
        <f>IF(G835="S",1,0)</f>
        <v>0</v>
      </c>
      <c r="AB835">
        <f>IF(G835="U",1,0)</f>
        <v>0</v>
      </c>
      <c r="AC835" s="5">
        <f>IF(AND(ISNUMBER(H835),NOT(ISNUMBER(P835))),1,0)</f>
        <v>1</v>
      </c>
      <c r="AD835" s="5">
        <f>IF(AND(ISNUMBER(H835),ISNUMBER(P835)),1,0)</f>
        <v>0</v>
      </c>
      <c r="AE835" s="5">
        <f>W835</f>
        <v>0.01</v>
      </c>
      <c r="AF835" s="5">
        <f>X835</f>
        <v>1.6747000000000001E-2</v>
      </c>
      <c r="AG835" s="5">
        <f>Y835</f>
        <v>0</v>
      </c>
      <c r="AH835" s="5">
        <f>IF(OR(G835="C",G835="S",G835="U"),1,0)</f>
        <v>0</v>
      </c>
      <c r="AI835" s="5">
        <f>IF(ISNUMBER(H835),1,0)</f>
        <v>1</v>
      </c>
      <c r="AJ835" s="5">
        <f>IF(ISNUMBER(P835),1,0)</f>
        <v>0</v>
      </c>
      <c r="AK835" s="5">
        <f>IF(AI835=1,IF(J835&gt;0,1,0),"")</f>
        <v>0</v>
      </c>
      <c r="AL835" s="5" t="str">
        <f>IF(AJ835=1,IF(OR(Q835&gt;0,R835&gt;0),1,0),"")</f>
        <v/>
      </c>
    </row>
    <row r="836" spans="1:38">
      <c r="A836">
        <v>1639256</v>
      </c>
      <c r="B836" t="s">
        <v>902</v>
      </c>
      <c r="C836" t="s">
        <v>37</v>
      </c>
      <c r="D836" t="s">
        <v>24</v>
      </c>
      <c r="E836">
        <v>4</v>
      </c>
      <c r="F836">
        <v>135000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  <c r="S836" t="s">
        <v>26</v>
      </c>
      <c r="T836" t="s">
        <v>26</v>
      </c>
      <c r="U836" t="s">
        <v>26</v>
      </c>
      <c r="V836">
        <v>0</v>
      </c>
      <c r="W836">
        <f>E836/100</f>
        <v>0.04</v>
      </c>
      <c r="X836">
        <f>F836/1000000</f>
        <v>0.13500000000000001</v>
      </c>
      <c r="Y836">
        <f>IF(D836="C",1,0)</f>
        <v>0</v>
      </c>
      <c r="Z836">
        <f>IF(G836="C",1,0)</f>
        <v>0</v>
      </c>
      <c r="AA836">
        <f>IF(G836="S",1,0)</f>
        <v>0</v>
      </c>
      <c r="AB836">
        <f>IF(G836="U",1,0)</f>
        <v>0</v>
      </c>
      <c r="AC836" s="5">
        <f>IF(AND(ISNUMBER(H836),NOT(ISNUMBER(P836))),1,0)</f>
        <v>1</v>
      </c>
      <c r="AD836" s="5">
        <f>IF(AND(ISNUMBER(H836),ISNUMBER(P836)),1,0)</f>
        <v>0</v>
      </c>
      <c r="AE836" s="5">
        <f>W836</f>
        <v>0.04</v>
      </c>
      <c r="AF836" s="5">
        <f>X836</f>
        <v>0.13500000000000001</v>
      </c>
      <c r="AG836" s="5">
        <f>Y836</f>
        <v>0</v>
      </c>
      <c r="AH836" s="5">
        <f>IF(OR(G836="C",G836="S",G836="U"),1,0)</f>
        <v>0</v>
      </c>
      <c r="AI836" s="5">
        <f>IF(ISNUMBER(H836),1,0)</f>
        <v>1</v>
      </c>
      <c r="AJ836" s="5">
        <f>IF(ISNUMBER(P836),1,0)</f>
        <v>0</v>
      </c>
      <c r="AK836" s="5">
        <f>IF(AI836=1,IF(J836&gt;0,1,0),"")</f>
        <v>0</v>
      </c>
      <c r="AL836" s="5" t="str">
        <f>IF(AJ836=1,IF(OR(Q836&gt;0,R836&gt;0),1,0),"")</f>
        <v/>
      </c>
    </row>
    <row r="837" spans="1:38">
      <c r="A837">
        <v>1649217</v>
      </c>
      <c r="B837" t="s">
        <v>903</v>
      </c>
      <c r="C837" t="s">
        <v>140</v>
      </c>
      <c r="D837" t="s">
        <v>24</v>
      </c>
      <c r="E837">
        <v>8</v>
      </c>
      <c r="F837">
        <v>688543</v>
      </c>
      <c r="H837">
        <v>1</v>
      </c>
      <c r="I837">
        <v>6</v>
      </c>
      <c r="J837">
        <v>2</v>
      </c>
      <c r="K837">
        <v>1</v>
      </c>
      <c r="L837">
        <v>0.33329999999999999</v>
      </c>
      <c r="M837">
        <v>1</v>
      </c>
      <c r="N837">
        <v>0.2</v>
      </c>
      <c r="O837" t="s">
        <v>26</v>
      </c>
      <c r="P837" t="s">
        <v>26</v>
      </c>
      <c r="Q837" t="s">
        <v>26</v>
      </c>
      <c r="R837" t="s">
        <v>26</v>
      </c>
      <c r="S837" t="s">
        <v>26</v>
      </c>
      <c r="T837" t="s">
        <v>26</v>
      </c>
      <c r="U837" t="s">
        <v>26</v>
      </c>
      <c r="V837">
        <v>1</v>
      </c>
      <c r="W837">
        <f>E837/100</f>
        <v>0.08</v>
      </c>
      <c r="X837">
        <f>F837/1000000</f>
        <v>0.68854300000000002</v>
      </c>
      <c r="Y837">
        <f>IF(D837="C",1,0)</f>
        <v>0</v>
      </c>
      <c r="Z837">
        <f>IF(G837="C",1,0)</f>
        <v>0</v>
      </c>
      <c r="AA837">
        <f>IF(G837="S",1,0)</f>
        <v>0</v>
      </c>
      <c r="AB837">
        <f>IF(G837="U",1,0)</f>
        <v>0</v>
      </c>
      <c r="AC837" s="5">
        <f>IF(AND(ISNUMBER(H837),NOT(ISNUMBER(P837))),1,0)</f>
        <v>1</v>
      </c>
      <c r="AD837" s="5">
        <f>IF(AND(ISNUMBER(H837),ISNUMBER(P837)),1,0)</f>
        <v>0</v>
      </c>
      <c r="AE837" s="5">
        <f>W837</f>
        <v>0.08</v>
      </c>
      <c r="AF837" s="5">
        <f>X837</f>
        <v>0.68854300000000002</v>
      </c>
      <c r="AG837" s="5">
        <f>Y837</f>
        <v>0</v>
      </c>
      <c r="AH837" s="5">
        <f>IF(OR(G837="C",G837="S",G837="U"),1,0)</f>
        <v>0</v>
      </c>
      <c r="AI837" s="5">
        <f>IF(ISNUMBER(H837),1,0)</f>
        <v>1</v>
      </c>
      <c r="AJ837" s="5">
        <f>IF(ISNUMBER(P837),1,0)</f>
        <v>0</v>
      </c>
      <c r="AK837" s="5">
        <f>IF(AI837=1,IF(J837&gt;0,1,0),"")</f>
        <v>1</v>
      </c>
      <c r="AL837" s="5" t="str">
        <f>IF(AJ837=1,IF(OR(Q837&gt;0,R837&gt;0),1,0),"")</f>
        <v/>
      </c>
    </row>
    <row r="838" spans="1:38">
      <c r="A838">
        <v>1672304</v>
      </c>
      <c r="B838" t="s">
        <v>904</v>
      </c>
      <c r="C838" t="s">
        <v>37</v>
      </c>
      <c r="D838" t="s">
        <v>33</v>
      </c>
      <c r="E838">
        <v>10</v>
      </c>
      <c r="F838">
        <v>44348</v>
      </c>
      <c r="H838">
        <v>1</v>
      </c>
      <c r="I838">
        <v>0</v>
      </c>
      <c r="J838">
        <v>0</v>
      </c>
      <c r="K838">
        <v>0</v>
      </c>
      <c r="L838" t="s">
        <v>26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  <c r="S838" t="s">
        <v>26</v>
      </c>
      <c r="T838" t="s">
        <v>26</v>
      </c>
      <c r="U838" t="s">
        <v>26</v>
      </c>
      <c r="V838">
        <v>0</v>
      </c>
      <c r="W838">
        <f>E838/100</f>
        <v>0.1</v>
      </c>
      <c r="X838">
        <f>F838/1000000</f>
        <v>4.4347999999999999E-2</v>
      </c>
      <c r="Y838">
        <f>IF(D838="C",1,0)</f>
        <v>1</v>
      </c>
      <c r="Z838">
        <f>IF(G838="C",1,0)</f>
        <v>0</v>
      </c>
      <c r="AA838">
        <f>IF(G838="S",1,0)</f>
        <v>0</v>
      </c>
      <c r="AB838">
        <f>IF(G838="U",1,0)</f>
        <v>0</v>
      </c>
      <c r="AC838" s="5">
        <f>IF(AND(ISNUMBER(H838),NOT(ISNUMBER(P838))),1,0)</f>
        <v>1</v>
      </c>
      <c r="AD838" s="5">
        <f>IF(AND(ISNUMBER(H838),ISNUMBER(P838)),1,0)</f>
        <v>0</v>
      </c>
      <c r="AE838" s="5">
        <f>W838</f>
        <v>0.1</v>
      </c>
      <c r="AF838" s="5">
        <f>X838</f>
        <v>4.4347999999999999E-2</v>
      </c>
      <c r="AG838" s="5">
        <f>Y838</f>
        <v>1</v>
      </c>
      <c r="AH838" s="5">
        <f>IF(OR(G838="C",G838="S",G838="U"),1,0)</f>
        <v>0</v>
      </c>
      <c r="AI838" s="5">
        <f>IF(ISNUMBER(H838),1,0)</f>
        <v>1</v>
      </c>
      <c r="AJ838" s="5">
        <f>IF(ISNUMBER(P838),1,0)</f>
        <v>0</v>
      </c>
      <c r="AK838" s="5">
        <f>IF(AI838=1,IF(J838&gt;0,1,0),"")</f>
        <v>0</v>
      </c>
      <c r="AL838" s="5" t="str">
        <f>IF(AJ838=1,IF(OR(Q838&gt;0,R838&gt;0),1,0),"")</f>
        <v/>
      </c>
    </row>
    <row r="839" spans="1:38">
      <c r="A839">
        <v>1673154</v>
      </c>
      <c r="B839" t="s">
        <v>905</v>
      </c>
      <c r="C839" t="s">
        <v>82</v>
      </c>
      <c r="D839" t="s">
        <v>24</v>
      </c>
      <c r="E839">
        <v>7</v>
      </c>
      <c r="F839">
        <v>235000</v>
      </c>
      <c r="G839" t="s">
        <v>25</v>
      </c>
      <c r="H839">
        <v>1</v>
      </c>
      <c r="I839">
        <v>0</v>
      </c>
      <c r="J839">
        <v>0</v>
      </c>
      <c r="K839">
        <v>0</v>
      </c>
      <c r="L839" t="s">
        <v>26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  <c r="S839" t="s">
        <v>26</v>
      </c>
      <c r="T839" t="s">
        <v>26</v>
      </c>
      <c r="U839" t="s">
        <v>26</v>
      </c>
      <c r="V839">
        <v>0</v>
      </c>
      <c r="W839">
        <f>E839/100</f>
        <v>7.0000000000000007E-2</v>
      </c>
      <c r="X839">
        <f>F839/1000000</f>
        <v>0.23499999999999999</v>
      </c>
      <c r="Y839">
        <f>IF(D839="C",1,0)</f>
        <v>0</v>
      </c>
      <c r="Z839">
        <f>IF(G839="C",1,0)</f>
        <v>0</v>
      </c>
      <c r="AA839">
        <f>IF(G839="S",1,0)</f>
        <v>1</v>
      </c>
      <c r="AB839">
        <f>IF(G839="U",1,0)</f>
        <v>0</v>
      </c>
      <c r="AC839" s="5">
        <f>IF(AND(ISNUMBER(H839),NOT(ISNUMBER(P839))),1,0)</f>
        <v>1</v>
      </c>
      <c r="AD839" s="5">
        <f>IF(AND(ISNUMBER(H839),ISNUMBER(P839)),1,0)</f>
        <v>0</v>
      </c>
      <c r="AE839" s="5">
        <f>W839</f>
        <v>7.0000000000000007E-2</v>
      </c>
      <c r="AF839" s="5">
        <f>X839</f>
        <v>0.23499999999999999</v>
      </c>
      <c r="AG839" s="5">
        <f>Y839</f>
        <v>0</v>
      </c>
      <c r="AH839" s="5">
        <f>IF(OR(G839="C",G839="S",G839="U"),1,0)</f>
        <v>1</v>
      </c>
      <c r="AI839" s="5">
        <f>IF(ISNUMBER(H839),1,0)</f>
        <v>1</v>
      </c>
      <c r="AJ839" s="5">
        <f>IF(ISNUMBER(P839),1,0)</f>
        <v>0</v>
      </c>
      <c r="AK839" s="5">
        <f>IF(AI839=1,IF(J839&gt;0,1,0),"")</f>
        <v>0</v>
      </c>
      <c r="AL839" s="5" t="str">
        <f>IF(AJ839=1,IF(OR(Q839&gt;0,R839&gt;0),1,0),"")</f>
        <v/>
      </c>
    </row>
    <row r="840" spans="1:38">
      <c r="A840">
        <v>1691610</v>
      </c>
      <c r="B840" t="s">
        <v>906</v>
      </c>
      <c r="C840" t="s">
        <v>23</v>
      </c>
      <c r="D840" t="s">
        <v>24</v>
      </c>
      <c r="E840">
        <v>28</v>
      </c>
      <c r="F840">
        <v>347000</v>
      </c>
      <c r="H840">
        <v>1</v>
      </c>
      <c r="I840">
        <v>1</v>
      </c>
      <c r="J840">
        <v>0</v>
      </c>
      <c r="K840">
        <v>0</v>
      </c>
      <c r="L840">
        <v>0</v>
      </c>
      <c r="M840" t="s">
        <v>26</v>
      </c>
      <c r="N840">
        <v>0</v>
      </c>
      <c r="O840" t="s">
        <v>26</v>
      </c>
      <c r="P840" t="s">
        <v>26</v>
      </c>
      <c r="Q840" t="s">
        <v>26</v>
      </c>
      <c r="R840" t="s">
        <v>26</v>
      </c>
      <c r="S840" t="s">
        <v>26</v>
      </c>
      <c r="T840" t="s">
        <v>26</v>
      </c>
      <c r="U840" t="s">
        <v>26</v>
      </c>
      <c r="V840">
        <v>0</v>
      </c>
      <c r="W840">
        <f>E840/100</f>
        <v>0.28000000000000003</v>
      </c>
      <c r="X840">
        <f>F840/1000000</f>
        <v>0.34699999999999998</v>
      </c>
      <c r="Y840">
        <f>IF(D840="C",1,0)</f>
        <v>0</v>
      </c>
      <c r="Z840">
        <f>IF(G840="C",1,0)</f>
        <v>0</v>
      </c>
      <c r="AA840">
        <f>IF(G840="S",1,0)</f>
        <v>0</v>
      </c>
      <c r="AB840">
        <f>IF(G840="U",1,0)</f>
        <v>0</v>
      </c>
      <c r="AC840" s="5">
        <f>IF(AND(ISNUMBER(H840),NOT(ISNUMBER(P840))),1,0)</f>
        <v>1</v>
      </c>
      <c r="AD840" s="5">
        <f>IF(AND(ISNUMBER(H840),ISNUMBER(P840)),1,0)</f>
        <v>0</v>
      </c>
      <c r="AE840" s="5">
        <f>W840</f>
        <v>0.28000000000000003</v>
      </c>
      <c r="AF840" s="5">
        <f>X840</f>
        <v>0.34699999999999998</v>
      </c>
      <c r="AG840" s="5">
        <f>Y840</f>
        <v>0</v>
      </c>
      <c r="AH840" s="5">
        <f>IF(OR(G840="C",G840="S",G840="U"),1,0)</f>
        <v>0</v>
      </c>
      <c r="AI840" s="5">
        <f>IF(ISNUMBER(H840),1,0)</f>
        <v>1</v>
      </c>
      <c r="AJ840" s="5">
        <f>IF(ISNUMBER(P840),1,0)</f>
        <v>0</v>
      </c>
      <c r="AK840" s="5">
        <f>IF(AI840=1,IF(J840&gt;0,1,0),"")</f>
        <v>0</v>
      </c>
      <c r="AL840" s="5" t="str">
        <f>IF(AJ840=1,IF(OR(Q840&gt;0,R840&gt;0),1,0),"")</f>
        <v/>
      </c>
    </row>
    <row r="841" spans="1:38">
      <c r="A841">
        <v>1709569</v>
      </c>
      <c r="B841" t="s">
        <v>907</v>
      </c>
      <c r="C841" t="s">
        <v>23</v>
      </c>
      <c r="D841" t="s">
        <v>24</v>
      </c>
      <c r="E841">
        <v>11</v>
      </c>
      <c r="F841">
        <v>115000</v>
      </c>
      <c r="H841">
        <v>1</v>
      </c>
      <c r="I841">
        <v>0</v>
      </c>
      <c r="J841">
        <v>0</v>
      </c>
      <c r="K841">
        <v>0</v>
      </c>
      <c r="L841" t="s">
        <v>26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  <c r="S841" t="s">
        <v>26</v>
      </c>
      <c r="T841" t="s">
        <v>26</v>
      </c>
      <c r="U841" t="s">
        <v>26</v>
      </c>
      <c r="V841">
        <v>0</v>
      </c>
      <c r="W841">
        <f>E841/100</f>
        <v>0.11</v>
      </c>
      <c r="X841">
        <f>F841/1000000</f>
        <v>0.115</v>
      </c>
      <c r="Y841">
        <f>IF(D841="C",1,0)</f>
        <v>0</v>
      </c>
      <c r="Z841">
        <f>IF(G841="C",1,0)</f>
        <v>0</v>
      </c>
      <c r="AA841">
        <f>IF(G841="S",1,0)</f>
        <v>0</v>
      </c>
      <c r="AB841">
        <f>IF(G841="U",1,0)</f>
        <v>0</v>
      </c>
      <c r="AC841" s="5">
        <f>IF(AND(ISNUMBER(H841),NOT(ISNUMBER(P841))),1,0)</f>
        <v>1</v>
      </c>
      <c r="AD841" s="5">
        <f>IF(AND(ISNUMBER(H841),ISNUMBER(P841)),1,0)</f>
        <v>0</v>
      </c>
      <c r="AE841" s="5">
        <f>W841</f>
        <v>0.11</v>
      </c>
      <c r="AF841" s="5">
        <f>X841</f>
        <v>0.115</v>
      </c>
      <c r="AG841" s="5">
        <f>Y841</f>
        <v>0</v>
      </c>
      <c r="AH841" s="5">
        <f>IF(OR(G841="C",G841="S",G841="U"),1,0)</f>
        <v>0</v>
      </c>
      <c r="AI841" s="5">
        <f>IF(ISNUMBER(H841),1,0)</f>
        <v>1</v>
      </c>
      <c r="AJ841" s="5">
        <f>IF(ISNUMBER(P841),1,0)</f>
        <v>0</v>
      </c>
      <c r="AK841" s="5">
        <f>IF(AI841=1,IF(J841&gt;0,1,0),"")</f>
        <v>0</v>
      </c>
      <c r="AL841" s="5" t="str">
        <f>IF(AJ841=1,IF(OR(Q841&gt;0,R841&gt;0),1,0),"")</f>
        <v/>
      </c>
    </row>
    <row r="842" spans="1:38">
      <c r="A842">
        <v>1725882</v>
      </c>
      <c r="B842" t="s">
        <v>908</v>
      </c>
      <c r="C842" t="s">
        <v>23</v>
      </c>
      <c r="D842" t="s">
        <v>24</v>
      </c>
      <c r="E842">
        <v>2</v>
      </c>
      <c r="F842">
        <v>75313</v>
      </c>
      <c r="H842">
        <v>1</v>
      </c>
      <c r="I842">
        <v>4</v>
      </c>
      <c r="J842">
        <v>0</v>
      </c>
      <c r="K842">
        <v>0</v>
      </c>
      <c r="L842">
        <v>0</v>
      </c>
      <c r="M842" t="s">
        <v>26</v>
      </c>
      <c r="N842">
        <v>0</v>
      </c>
      <c r="O842" t="s">
        <v>26</v>
      </c>
      <c r="P842" t="s">
        <v>26</v>
      </c>
      <c r="Q842" t="s">
        <v>26</v>
      </c>
      <c r="R842" t="s">
        <v>26</v>
      </c>
      <c r="S842" t="s">
        <v>26</v>
      </c>
      <c r="T842" t="s">
        <v>26</v>
      </c>
      <c r="U842" t="s">
        <v>26</v>
      </c>
      <c r="V842">
        <v>0</v>
      </c>
      <c r="W842">
        <f>E842/100</f>
        <v>0.02</v>
      </c>
      <c r="X842">
        <f>F842/1000000</f>
        <v>7.5313000000000005E-2</v>
      </c>
      <c r="Y842">
        <f>IF(D842="C",1,0)</f>
        <v>0</v>
      </c>
      <c r="Z842">
        <f>IF(G842="C",1,0)</f>
        <v>0</v>
      </c>
      <c r="AA842">
        <f>IF(G842="S",1,0)</f>
        <v>0</v>
      </c>
      <c r="AB842">
        <f>IF(G842="U",1,0)</f>
        <v>0</v>
      </c>
      <c r="AC842" s="5">
        <f>IF(AND(ISNUMBER(H842),NOT(ISNUMBER(P842))),1,0)</f>
        <v>1</v>
      </c>
      <c r="AD842" s="5">
        <f>IF(AND(ISNUMBER(H842),ISNUMBER(P842)),1,0)</f>
        <v>0</v>
      </c>
      <c r="AE842" s="5">
        <f>W842</f>
        <v>0.02</v>
      </c>
      <c r="AF842" s="5">
        <f>X842</f>
        <v>7.5313000000000005E-2</v>
      </c>
      <c r="AG842" s="5">
        <f>Y842</f>
        <v>0</v>
      </c>
      <c r="AH842" s="5">
        <f>IF(OR(G842="C",G842="S",G842="U"),1,0)</f>
        <v>0</v>
      </c>
      <c r="AI842" s="5">
        <f>IF(ISNUMBER(H842),1,0)</f>
        <v>1</v>
      </c>
      <c r="AJ842" s="5">
        <f>IF(ISNUMBER(P842),1,0)</f>
        <v>0</v>
      </c>
      <c r="AK842" s="5">
        <f>IF(AI842=1,IF(J842&gt;0,1,0),"")</f>
        <v>0</v>
      </c>
      <c r="AL842" s="5" t="str">
        <f>IF(AJ842=1,IF(OR(Q842&gt;0,R842&gt;0),1,0),"")</f>
        <v/>
      </c>
    </row>
    <row r="843" spans="1:38">
      <c r="A843">
        <v>1736462</v>
      </c>
      <c r="B843" t="s">
        <v>909</v>
      </c>
      <c r="C843" t="s">
        <v>37</v>
      </c>
      <c r="D843" t="s">
        <v>24</v>
      </c>
      <c r="E843">
        <v>8</v>
      </c>
      <c r="F843">
        <v>167222</v>
      </c>
      <c r="H843">
        <v>1</v>
      </c>
      <c r="I843">
        <v>0</v>
      </c>
      <c r="J843">
        <v>0</v>
      </c>
      <c r="K843">
        <v>0</v>
      </c>
      <c r="L843" t="s">
        <v>26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  <c r="S843" t="s">
        <v>26</v>
      </c>
      <c r="T843" t="s">
        <v>26</v>
      </c>
      <c r="U843" t="s">
        <v>26</v>
      </c>
      <c r="V843">
        <v>0</v>
      </c>
      <c r="W843">
        <f>E843/100</f>
        <v>0.08</v>
      </c>
      <c r="X843">
        <f>F843/1000000</f>
        <v>0.16722200000000001</v>
      </c>
      <c r="Y843">
        <f>IF(D843="C",1,0)</f>
        <v>0</v>
      </c>
      <c r="Z843">
        <f>IF(G843="C",1,0)</f>
        <v>0</v>
      </c>
      <c r="AA843">
        <f>IF(G843="S",1,0)</f>
        <v>0</v>
      </c>
      <c r="AB843">
        <f>IF(G843="U",1,0)</f>
        <v>0</v>
      </c>
      <c r="AC843" s="5">
        <f>IF(AND(ISNUMBER(H843),NOT(ISNUMBER(P843))),1,0)</f>
        <v>1</v>
      </c>
      <c r="AD843" s="5">
        <f>IF(AND(ISNUMBER(H843),ISNUMBER(P843)),1,0)</f>
        <v>0</v>
      </c>
      <c r="AE843" s="5">
        <f>W843</f>
        <v>0.08</v>
      </c>
      <c r="AF843" s="5">
        <f>X843</f>
        <v>0.16722200000000001</v>
      </c>
      <c r="AG843" s="5">
        <f>Y843</f>
        <v>0</v>
      </c>
      <c r="AH843" s="5">
        <f>IF(OR(G843="C",G843="S",G843="U"),1,0)</f>
        <v>0</v>
      </c>
      <c r="AI843" s="5">
        <f>IF(ISNUMBER(H843),1,0)</f>
        <v>1</v>
      </c>
      <c r="AJ843" s="5">
        <f>IF(ISNUMBER(P843),1,0)</f>
        <v>0</v>
      </c>
      <c r="AK843" s="5">
        <f>IF(AI843=1,IF(J843&gt;0,1,0),"")</f>
        <v>0</v>
      </c>
      <c r="AL843" s="5" t="str">
        <f>IF(AJ843=1,IF(OR(Q843&gt;0,R843&gt;0),1,0),"")</f>
        <v/>
      </c>
    </row>
    <row r="844" spans="1:38">
      <c r="A844">
        <v>1736871</v>
      </c>
      <c r="B844" t="s">
        <v>910</v>
      </c>
      <c r="C844" t="s">
        <v>157</v>
      </c>
      <c r="D844" t="s">
        <v>24</v>
      </c>
      <c r="E844">
        <v>22</v>
      </c>
      <c r="F844">
        <v>2286540</v>
      </c>
      <c r="G844" t="s">
        <v>25</v>
      </c>
      <c r="H844">
        <v>1</v>
      </c>
      <c r="I844">
        <v>0</v>
      </c>
      <c r="J844">
        <v>0</v>
      </c>
      <c r="K844">
        <v>0</v>
      </c>
      <c r="L844" t="s">
        <v>26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  <c r="S844" t="s">
        <v>26</v>
      </c>
      <c r="T844" t="s">
        <v>26</v>
      </c>
      <c r="U844" t="s">
        <v>26</v>
      </c>
      <c r="V844">
        <v>0</v>
      </c>
      <c r="W844">
        <f>E844/100</f>
        <v>0.22</v>
      </c>
      <c r="X844">
        <f>F844/1000000</f>
        <v>2.28654</v>
      </c>
      <c r="Y844">
        <f>IF(D844="C",1,0)</f>
        <v>0</v>
      </c>
      <c r="Z844">
        <f>IF(G844="C",1,0)</f>
        <v>0</v>
      </c>
      <c r="AA844">
        <f>IF(G844="S",1,0)</f>
        <v>1</v>
      </c>
      <c r="AB844">
        <f>IF(G844="U",1,0)</f>
        <v>0</v>
      </c>
      <c r="AC844" s="5">
        <f>IF(AND(ISNUMBER(H844),NOT(ISNUMBER(P844))),1,0)</f>
        <v>1</v>
      </c>
      <c r="AD844" s="5">
        <f>IF(AND(ISNUMBER(H844),ISNUMBER(P844)),1,0)</f>
        <v>0</v>
      </c>
      <c r="AE844" s="5">
        <f>W844</f>
        <v>0.22</v>
      </c>
      <c r="AF844" s="5">
        <f>X844</f>
        <v>2.28654</v>
      </c>
      <c r="AG844" s="5">
        <f>Y844</f>
        <v>0</v>
      </c>
      <c r="AH844" s="5">
        <f>IF(OR(G844="C",G844="S",G844="U"),1,0)</f>
        <v>1</v>
      </c>
      <c r="AI844" s="5">
        <f>IF(ISNUMBER(H844),1,0)</f>
        <v>1</v>
      </c>
      <c r="AJ844" s="5">
        <f>IF(ISNUMBER(P844),1,0)</f>
        <v>0</v>
      </c>
      <c r="AK844" s="5">
        <f>IF(AI844=1,IF(J844&gt;0,1,0),"")</f>
        <v>0</v>
      </c>
      <c r="AL844" s="5" t="str">
        <f>IF(AJ844=1,IF(OR(Q844&gt;0,R844&gt;0),1,0),"")</f>
        <v/>
      </c>
    </row>
    <row r="845" spans="1:38">
      <c r="A845">
        <v>1776943</v>
      </c>
      <c r="B845" t="s">
        <v>911</v>
      </c>
      <c r="C845" t="s">
        <v>23</v>
      </c>
      <c r="D845" t="s">
        <v>33</v>
      </c>
      <c r="E845">
        <v>13</v>
      </c>
      <c r="F845">
        <v>218224</v>
      </c>
      <c r="H845">
        <v>1</v>
      </c>
      <c r="I845">
        <v>1</v>
      </c>
      <c r="J845">
        <v>0</v>
      </c>
      <c r="K845">
        <v>0</v>
      </c>
      <c r="L845">
        <v>0</v>
      </c>
      <c r="M845" t="s">
        <v>26</v>
      </c>
      <c r="N845">
        <v>0</v>
      </c>
      <c r="O845" t="s">
        <v>26</v>
      </c>
      <c r="P845" t="s">
        <v>26</v>
      </c>
      <c r="Q845" t="s">
        <v>26</v>
      </c>
      <c r="R845" t="s">
        <v>26</v>
      </c>
      <c r="S845" t="s">
        <v>26</v>
      </c>
      <c r="T845" t="s">
        <v>26</v>
      </c>
      <c r="U845" t="s">
        <v>26</v>
      </c>
      <c r="V845">
        <v>0</v>
      </c>
      <c r="W845">
        <f>E845/100</f>
        <v>0.13</v>
      </c>
      <c r="X845">
        <f>F845/1000000</f>
        <v>0.218224</v>
      </c>
      <c r="Y845">
        <f>IF(D845="C",1,0)</f>
        <v>1</v>
      </c>
      <c r="Z845">
        <f>IF(G845="C",1,0)</f>
        <v>0</v>
      </c>
      <c r="AA845">
        <f>IF(G845="S",1,0)</f>
        <v>0</v>
      </c>
      <c r="AB845">
        <f>IF(G845="U",1,0)</f>
        <v>0</v>
      </c>
      <c r="AC845" s="5">
        <f>IF(AND(ISNUMBER(H845),NOT(ISNUMBER(P845))),1,0)</f>
        <v>1</v>
      </c>
      <c r="AD845" s="5">
        <f>IF(AND(ISNUMBER(H845),ISNUMBER(P845)),1,0)</f>
        <v>0</v>
      </c>
      <c r="AE845" s="5">
        <f>W845</f>
        <v>0.13</v>
      </c>
      <c r="AF845" s="5">
        <f>X845</f>
        <v>0.218224</v>
      </c>
      <c r="AG845" s="5">
        <f>Y845</f>
        <v>1</v>
      </c>
      <c r="AH845" s="5">
        <f>IF(OR(G845="C",G845="S",G845="U"),1,0)</f>
        <v>0</v>
      </c>
      <c r="AI845" s="5">
        <f>IF(ISNUMBER(H845),1,0)</f>
        <v>1</v>
      </c>
      <c r="AJ845" s="5">
        <f>IF(ISNUMBER(P845),1,0)</f>
        <v>0</v>
      </c>
      <c r="AK845" s="5">
        <f>IF(AI845=1,IF(J845&gt;0,1,0),"")</f>
        <v>0</v>
      </c>
      <c r="AL845" s="5" t="str">
        <f>IF(AJ845=1,IF(OR(Q845&gt;0,R845&gt;0),1,0),"")</f>
        <v/>
      </c>
    </row>
    <row r="846" spans="1:38">
      <c r="A846">
        <v>1796889</v>
      </c>
      <c r="B846" t="s">
        <v>912</v>
      </c>
      <c r="C846" t="s">
        <v>82</v>
      </c>
      <c r="D846" t="s">
        <v>24</v>
      </c>
      <c r="E846">
        <v>28</v>
      </c>
      <c r="F846">
        <v>1379587</v>
      </c>
      <c r="G846" t="s">
        <v>25</v>
      </c>
      <c r="H846">
        <v>1</v>
      </c>
      <c r="I846">
        <v>6</v>
      </c>
      <c r="J846">
        <v>2</v>
      </c>
      <c r="K846">
        <v>1</v>
      </c>
      <c r="L846">
        <v>0.33329999999999999</v>
      </c>
      <c r="M846">
        <v>0.5</v>
      </c>
      <c r="N846">
        <v>0.25</v>
      </c>
      <c r="O846" t="s">
        <v>26</v>
      </c>
      <c r="P846" t="s">
        <v>26</v>
      </c>
      <c r="Q846" t="s">
        <v>26</v>
      </c>
      <c r="R846" t="s">
        <v>26</v>
      </c>
      <c r="S846" t="s">
        <v>26</v>
      </c>
      <c r="T846" t="s">
        <v>26</v>
      </c>
      <c r="U846" t="s">
        <v>26</v>
      </c>
      <c r="V846">
        <v>1</v>
      </c>
      <c r="W846">
        <f>E846/100</f>
        <v>0.28000000000000003</v>
      </c>
      <c r="X846">
        <f>F846/1000000</f>
        <v>1.3795869999999999</v>
      </c>
      <c r="Y846">
        <f>IF(D846="C",1,0)</f>
        <v>0</v>
      </c>
      <c r="Z846">
        <f>IF(G846="C",1,0)</f>
        <v>0</v>
      </c>
      <c r="AA846">
        <f>IF(G846="S",1,0)</f>
        <v>1</v>
      </c>
      <c r="AB846">
        <f>IF(G846="U",1,0)</f>
        <v>0</v>
      </c>
      <c r="AC846" s="5">
        <f>IF(AND(ISNUMBER(H846),NOT(ISNUMBER(P846))),1,0)</f>
        <v>1</v>
      </c>
      <c r="AD846" s="5">
        <f>IF(AND(ISNUMBER(H846),ISNUMBER(P846)),1,0)</f>
        <v>0</v>
      </c>
      <c r="AE846" s="5">
        <f>W846</f>
        <v>0.28000000000000003</v>
      </c>
      <c r="AF846" s="5">
        <f>X846</f>
        <v>1.3795869999999999</v>
      </c>
      <c r="AG846" s="5">
        <f>Y846</f>
        <v>0</v>
      </c>
      <c r="AH846" s="5">
        <f>IF(OR(G846="C",G846="S",G846="U"),1,0)</f>
        <v>1</v>
      </c>
      <c r="AI846" s="5">
        <f>IF(ISNUMBER(H846),1,0)</f>
        <v>1</v>
      </c>
      <c r="AJ846" s="5">
        <f>IF(ISNUMBER(P846),1,0)</f>
        <v>0</v>
      </c>
      <c r="AK846" s="5">
        <f>IF(AI846=1,IF(J846&gt;0,1,0),"")</f>
        <v>1</v>
      </c>
      <c r="AL846" s="5" t="str">
        <f>IF(AJ846=1,IF(OR(Q846&gt;0,R846&gt;0),1,0),"")</f>
        <v/>
      </c>
    </row>
    <row r="847" spans="1:38">
      <c r="A847">
        <v>1814022</v>
      </c>
      <c r="B847" t="s">
        <v>913</v>
      </c>
      <c r="C847" t="s">
        <v>787</v>
      </c>
      <c r="D847" t="s">
        <v>33</v>
      </c>
      <c r="E847">
        <v>1</v>
      </c>
      <c r="F847">
        <v>150000</v>
      </c>
      <c r="H847">
        <v>1</v>
      </c>
      <c r="I847">
        <v>4</v>
      </c>
      <c r="J847">
        <v>0</v>
      </c>
      <c r="K847">
        <v>0</v>
      </c>
      <c r="L847">
        <v>0</v>
      </c>
      <c r="M847">
        <v>0</v>
      </c>
      <c r="N847">
        <v>0</v>
      </c>
      <c r="O847" t="s">
        <v>26</v>
      </c>
      <c r="P847" t="s">
        <v>26</v>
      </c>
      <c r="Q847" t="s">
        <v>26</v>
      </c>
      <c r="R847" t="s">
        <v>26</v>
      </c>
      <c r="S847" t="s">
        <v>26</v>
      </c>
      <c r="T847" t="s">
        <v>26</v>
      </c>
      <c r="U847" t="s">
        <v>26</v>
      </c>
      <c r="V847">
        <v>0</v>
      </c>
      <c r="W847">
        <f>E847/100</f>
        <v>0.01</v>
      </c>
      <c r="X847">
        <f>F847/1000000</f>
        <v>0.15</v>
      </c>
      <c r="Y847">
        <f>IF(D847="C",1,0)</f>
        <v>1</v>
      </c>
      <c r="Z847">
        <f>IF(G847="C",1,0)</f>
        <v>0</v>
      </c>
      <c r="AA847">
        <f>IF(G847="S",1,0)</f>
        <v>0</v>
      </c>
      <c r="AB847">
        <f>IF(G847="U",1,0)</f>
        <v>0</v>
      </c>
      <c r="AC847" s="5">
        <f>IF(AND(ISNUMBER(H847),NOT(ISNUMBER(P847))),1,0)</f>
        <v>1</v>
      </c>
      <c r="AD847" s="5">
        <f>IF(AND(ISNUMBER(H847),ISNUMBER(P847)),1,0)</f>
        <v>0</v>
      </c>
      <c r="AE847" s="5">
        <f>W847</f>
        <v>0.01</v>
      </c>
      <c r="AF847" s="5">
        <f>X847</f>
        <v>0.15</v>
      </c>
      <c r="AG847" s="5">
        <f>Y847</f>
        <v>1</v>
      </c>
      <c r="AH847" s="5">
        <f>IF(OR(G847="C",G847="S",G847="U"),1,0)</f>
        <v>0</v>
      </c>
      <c r="AI847" s="5">
        <f>IF(ISNUMBER(H847),1,0)</f>
        <v>1</v>
      </c>
      <c r="AJ847" s="5">
        <f>IF(ISNUMBER(P847),1,0)</f>
        <v>0</v>
      </c>
      <c r="AK847" s="5">
        <f>IF(AI847=1,IF(J847&gt;0,1,0),"")</f>
        <v>0</v>
      </c>
      <c r="AL847" s="5" t="str">
        <f>IF(AJ847=1,IF(OR(Q847&gt;0,R847&gt;0),1,0),"")</f>
        <v/>
      </c>
    </row>
    <row r="848" spans="1:38">
      <c r="A848">
        <v>1817564</v>
      </c>
      <c r="B848" t="s">
        <v>914</v>
      </c>
      <c r="C848" t="s">
        <v>23</v>
      </c>
      <c r="D848" t="s">
        <v>24</v>
      </c>
      <c r="E848">
        <v>15</v>
      </c>
      <c r="F848">
        <v>516142</v>
      </c>
      <c r="H848">
        <v>1</v>
      </c>
      <c r="I848">
        <v>1</v>
      </c>
      <c r="J848">
        <v>0</v>
      </c>
      <c r="K848">
        <v>0</v>
      </c>
      <c r="L848">
        <v>0</v>
      </c>
      <c r="M848" t="s">
        <v>26</v>
      </c>
      <c r="N848">
        <v>0</v>
      </c>
      <c r="O848" t="s">
        <v>26</v>
      </c>
      <c r="P848" t="s">
        <v>26</v>
      </c>
      <c r="Q848" t="s">
        <v>26</v>
      </c>
      <c r="R848" t="s">
        <v>26</v>
      </c>
      <c r="S848" t="s">
        <v>26</v>
      </c>
      <c r="T848" t="s">
        <v>26</v>
      </c>
      <c r="U848" t="s">
        <v>26</v>
      </c>
      <c r="V848">
        <v>0</v>
      </c>
      <c r="W848">
        <f>E848/100</f>
        <v>0.15</v>
      </c>
      <c r="X848">
        <f>F848/1000000</f>
        <v>0.51614199999999999</v>
      </c>
      <c r="Y848">
        <f>IF(D848="C",1,0)</f>
        <v>0</v>
      </c>
      <c r="Z848">
        <f>IF(G848="C",1,0)</f>
        <v>0</v>
      </c>
      <c r="AA848">
        <f>IF(G848="S",1,0)</f>
        <v>0</v>
      </c>
      <c r="AB848">
        <f>IF(G848="U",1,0)</f>
        <v>0</v>
      </c>
      <c r="AC848" s="5">
        <f>IF(AND(ISNUMBER(H848),NOT(ISNUMBER(P848))),1,0)</f>
        <v>1</v>
      </c>
      <c r="AD848" s="5">
        <f>IF(AND(ISNUMBER(H848),ISNUMBER(P848)),1,0)</f>
        <v>0</v>
      </c>
      <c r="AE848" s="5">
        <f>W848</f>
        <v>0.15</v>
      </c>
      <c r="AF848" s="5">
        <f>X848</f>
        <v>0.51614199999999999</v>
      </c>
      <c r="AG848" s="5">
        <f>Y848</f>
        <v>0</v>
      </c>
      <c r="AH848" s="5">
        <f>IF(OR(G848="C",G848="S",G848="U"),1,0)</f>
        <v>0</v>
      </c>
      <c r="AI848" s="5">
        <f>IF(ISNUMBER(H848),1,0)</f>
        <v>1</v>
      </c>
      <c r="AJ848" s="5">
        <f>IF(ISNUMBER(P848),1,0)</f>
        <v>0</v>
      </c>
      <c r="AK848" s="5">
        <f>IF(AI848=1,IF(J848&gt;0,1,0),"")</f>
        <v>0</v>
      </c>
      <c r="AL848" s="5" t="str">
        <f>IF(AJ848=1,IF(OR(Q848&gt;0,R848&gt;0),1,0),"")</f>
        <v/>
      </c>
    </row>
    <row r="849" spans="1:38">
      <c r="A849">
        <v>1829205</v>
      </c>
      <c r="B849" t="s">
        <v>915</v>
      </c>
      <c r="C849" t="s">
        <v>37</v>
      </c>
      <c r="D849" t="s">
        <v>33</v>
      </c>
      <c r="E849">
        <v>2</v>
      </c>
      <c r="F849">
        <v>58209</v>
      </c>
      <c r="H849">
        <v>1</v>
      </c>
      <c r="I849">
        <v>0</v>
      </c>
      <c r="J849">
        <v>0</v>
      </c>
      <c r="K849">
        <v>0</v>
      </c>
      <c r="L849" t="s">
        <v>26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  <c r="S849" t="s">
        <v>26</v>
      </c>
      <c r="T849" t="s">
        <v>26</v>
      </c>
      <c r="U849" t="s">
        <v>26</v>
      </c>
      <c r="V849">
        <v>0</v>
      </c>
      <c r="W849">
        <f>E849/100</f>
        <v>0.02</v>
      </c>
      <c r="X849">
        <f>F849/1000000</f>
        <v>5.8208999999999997E-2</v>
      </c>
      <c r="Y849">
        <f>IF(D849="C",1,0)</f>
        <v>1</v>
      </c>
      <c r="Z849">
        <f>IF(G849="C",1,0)</f>
        <v>0</v>
      </c>
      <c r="AA849">
        <f>IF(G849="S",1,0)</f>
        <v>0</v>
      </c>
      <c r="AB849">
        <f>IF(G849="U",1,0)</f>
        <v>0</v>
      </c>
      <c r="AC849" s="5">
        <f>IF(AND(ISNUMBER(H849),NOT(ISNUMBER(P849))),1,0)</f>
        <v>1</v>
      </c>
      <c r="AD849" s="5">
        <f>IF(AND(ISNUMBER(H849),ISNUMBER(P849)),1,0)</f>
        <v>0</v>
      </c>
      <c r="AE849" s="5">
        <f>W849</f>
        <v>0.02</v>
      </c>
      <c r="AF849" s="5">
        <f>X849</f>
        <v>5.8208999999999997E-2</v>
      </c>
      <c r="AG849" s="5">
        <f>Y849</f>
        <v>1</v>
      </c>
      <c r="AH849" s="5">
        <f>IF(OR(G849="C",G849="S",G849="U"),1,0)</f>
        <v>0</v>
      </c>
      <c r="AI849" s="5">
        <f>IF(ISNUMBER(H849),1,0)</f>
        <v>1</v>
      </c>
      <c r="AJ849" s="5">
        <f>IF(ISNUMBER(P849),1,0)</f>
        <v>0</v>
      </c>
      <c r="AK849" s="5">
        <f>IF(AI849=1,IF(J849&gt;0,1,0),"")</f>
        <v>0</v>
      </c>
      <c r="AL849" s="5" t="str">
        <f>IF(AJ849=1,IF(OR(Q849&gt;0,R849&gt;0),1,0),"")</f>
        <v/>
      </c>
    </row>
    <row r="850" spans="1:38">
      <c r="A850">
        <v>1859529</v>
      </c>
      <c r="B850" t="s">
        <v>916</v>
      </c>
      <c r="C850" t="s">
        <v>23</v>
      </c>
      <c r="D850" t="s">
        <v>24</v>
      </c>
      <c r="E850">
        <v>44</v>
      </c>
      <c r="F850">
        <v>1072467</v>
      </c>
      <c r="H850">
        <v>1</v>
      </c>
      <c r="I850">
        <v>0</v>
      </c>
      <c r="J850">
        <v>0</v>
      </c>
      <c r="K850">
        <v>0</v>
      </c>
      <c r="L850" t="s">
        <v>26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  <c r="S850" t="s">
        <v>26</v>
      </c>
      <c r="T850" t="s">
        <v>26</v>
      </c>
      <c r="U850" t="s">
        <v>26</v>
      </c>
      <c r="V850">
        <v>0</v>
      </c>
      <c r="W850">
        <f>E850/100</f>
        <v>0.44</v>
      </c>
      <c r="X850">
        <f>F850/1000000</f>
        <v>1.0724670000000001</v>
      </c>
      <c r="Y850">
        <f>IF(D850="C",1,0)</f>
        <v>0</v>
      </c>
      <c r="Z850">
        <f>IF(G850="C",1,0)</f>
        <v>0</v>
      </c>
      <c r="AA850">
        <f>IF(G850="S",1,0)</f>
        <v>0</v>
      </c>
      <c r="AB850">
        <f>IF(G850="U",1,0)</f>
        <v>0</v>
      </c>
      <c r="AC850" s="5">
        <f>IF(AND(ISNUMBER(H850),NOT(ISNUMBER(P850))),1,0)</f>
        <v>1</v>
      </c>
      <c r="AD850" s="5">
        <f>IF(AND(ISNUMBER(H850),ISNUMBER(P850)),1,0)</f>
        <v>0</v>
      </c>
      <c r="AE850" s="5">
        <f>W850</f>
        <v>0.44</v>
      </c>
      <c r="AF850" s="5">
        <f>X850</f>
        <v>1.0724670000000001</v>
      </c>
      <c r="AG850" s="5">
        <f>Y850</f>
        <v>0</v>
      </c>
      <c r="AH850" s="5">
        <f>IF(OR(G850="C",G850="S",G850="U"),1,0)</f>
        <v>0</v>
      </c>
      <c r="AI850" s="5">
        <f>IF(ISNUMBER(H850),1,0)</f>
        <v>1</v>
      </c>
      <c r="AJ850" s="5">
        <f>IF(ISNUMBER(P850),1,0)</f>
        <v>0</v>
      </c>
      <c r="AK850" s="5">
        <f>IF(AI850=1,IF(J850&gt;0,1,0),"")</f>
        <v>0</v>
      </c>
      <c r="AL850" s="5" t="str">
        <f>IF(AJ850=1,IF(OR(Q850&gt;0,R850&gt;0),1,0),"")</f>
        <v/>
      </c>
    </row>
    <row r="851" spans="1:38">
      <c r="A851">
        <v>1880774</v>
      </c>
      <c r="B851" t="s">
        <v>917</v>
      </c>
      <c r="C851" t="s">
        <v>23</v>
      </c>
      <c r="D851" t="s">
        <v>24</v>
      </c>
      <c r="E851">
        <v>5</v>
      </c>
      <c r="F851">
        <v>100000</v>
      </c>
      <c r="H851">
        <v>1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 t="s">
        <v>26</v>
      </c>
      <c r="P851" t="s">
        <v>26</v>
      </c>
      <c r="Q851" t="s">
        <v>26</v>
      </c>
      <c r="R851" t="s">
        <v>26</v>
      </c>
      <c r="S851" t="s">
        <v>26</v>
      </c>
      <c r="T851" t="s">
        <v>26</v>
      </c>
      <c r="U851" t="s">
        <v>26</v>
      </c>
      <c r="V851">
        <v>0</v>
      </c>
      <c r="W851">
        <f>E851/100</f>
        <v>0.05</v>
      </c>
      <c r="X851">
        <f>F851/1000000</f>
        <v>0.1</v>
      </c>
      <c r="Y851">
        <f>IF(D851="C",1,0)</f>
        <v>0</v>
      </c>
      <c r="Z851">
        <f>IF(G851="C",1,0)</f>
        <v>0</v>
      </c>
      <c r="AA851">
        <f>IF(G851="S",1,0)</f>
        <v>0</v>
      </c>
      <c r="AB851">
        <f>IF(G851="U",1,0)</f>
        <v>0</v>
      </c>
      <c r="AC851" s="5">
        <f>IF(AND(ISNUMBER(H851),NOT(ISNUMBER(P851))),1,0)</f>
        <v>1</v>
      </c>
      <c r="AD851" s="5">
        <f>IF(AND(ISNUMBER(H851),ISNUMBER(P851)),1,0)</f>
        <v>0</v>
      </c>
      <c r="AE851" s="5">
        <f>W851</f>
        <v>0.05</v>
      </c>
      <c r="AF851" s="5">
        <f>X851</f>
        <v>0.1</v>
      </c>
      <c r="AG851" s="5">
        <f>Y851</f>
        <v>0</v>
      </c>
      <c r="AH851" s="5">
        <f>IF(OR(G851="C",G851="S",G851="U"),1,0)</f>
        <v>0</v>
      </c>
      <c r="AI851" s="5">
        <f>IF(ISNUMBER(H851),1,0)</f>
        <v>1</v>
      </c>
      <c r="AJ851" s="5">
        <f>IF(ISNUMBER(P851),1,0)</f>
        <v>0</v>
      </c>
      <c r="AK851" s="5">
        <f>IF(AI851=1,IF(J851&gt;0,1,0),"")</f>
        <v>0</v>
      </c>
      <c r="AL851" s="5" t="str">
        <f>IF(AJ851=1,IF(OR(Q851&gt;0,R851&gt;0),1,0),"")</f>
        <v/>
      </c>
    </row>
    <row r="852" spans="1:38">
      <c r="A852">
        <v>1887172</v>
      </c>
      <c r="B852" t="s">
        <v>918</v>
      </c>
      <c r="C852" t="s">
        <v>23</v>
      </c>
      <c r="D852" t="s">
        <v>24</v>
      </c>
      <c r="E852">
        <v>6</v>
      </c>
      <c r="F852">
        <v>218800</v>
      </c>
      <c r="H852">
        <v>1</v>
      </c>
      <c r="I852">
        <v>1</v>
      </c>
      <c r="J852">
        <v>0</v>
      </c>
      <c r="K852">
        <v>0</v>
      </c>
      <c r="L852">
        <v>0</v>
      </c>
      <c r="M852" t="s">
        <v>26</v>
      </c>
      <c r="N852">
        <v>0</v>
      </c>
      <c r="O852" t="s">
        <v>26</v>
      </c>
      <c r="P852" t="s">
        <v>26</v>
      </c>
      <c r="Q852" t="s">
        <v>26</v>
      </c>
      <c r="R852" t="s">
        <v>26</v>
      </c>
      <c r="S852" t="s">
        <v>26</v>
      </c>
      <c r="T852" t="s">
        <v>26</v>
      </c>
      <c r="U852" t="s">
        <v>26</v>
      </c>
      <c r="V852">
        <v>0</v>
      </c>
      <c r="W852">
        <f>E852/100</f>
        <v>0.06</v>
      </c>
      <c r="X852">
        <f>F852/1000000</f>
        <v>0.21879999999999999</v>
      </c>
      <c r="Y852">
        <f>IF(D852="C",1,0)</f>
        <v>0</v>
      </c>
      <c r="Z852">
        <f>IF(G852="C",1,0)</f>
        <v>0</v>
      </c>
      <c r="AA852">
        <f>IF(G852="S",1,0)</f>
        <v>0</v>
      </c>
      <c r="AB852">
        <f>IF(G852="U",1,0)</f>
        <v>0</v>
      </c>
      <c r="AC852" s="5">
        <f>IF(AND(ISNUMBER(H852),NOT(ISNUMBER(P852))),1,0)</f>
        <v>1</v>
      </c>
      <c r="AD852" s="5">
        <f>IF(AND(ISNUMBER(H852),ISNUMBER(P852)),1,0)</f>
        <v>0</v>
      </c>
      <c r="AE852" s="5">
        <f>W852</f>
        <v>0.06</v>
      </c>
      <c r="AF852" s="5">
        <f>X852</f>
        <v>0.21879999999999999</v>
      </c>
      <c r="AG852" s="5">
        <f>Y852</f>
        <v>0</v>
      </c>
      <c r="AH852" s="5">
        <f>IF(OR(G852="C",G852="S",G852="U"),1,0)</f>
        <v>0</v>
      </c>
      <c r="AI852" s="5">
        <f>IF(ISNUMBER(H852),1,0)</f>
        <v>1</v>
      </c>
      <c r="AJ852" s="5">
        <f>IF(ISNUMBER(P852),1,0)</f>
        <v>0</v>
      </c>
      <c r="AK852" s="5">
        <f>IF(AI852=1,IF(J852&gt;0,1,0),"")</f>
        <v>0</v>
      </c>
      <c r="AL852" s="5" t="str">
        <f>IF(AJ852=1,IF(OR(Q852&gt;0,R852&gt;0),1,0),"")</f>
        <v/>
      </c>
    </row>
    <row r="853" spans="1:38">
      <c r="A853">
        <v>1894278</v>
      </c>
      <c r="B853" t="s">
        <v>919</v>
      </c>
      <c r="C853" t="s">
        <v>135</v>
      </c>
      <c r="D853" t="s">
        <v>24</v>
      </c>
      <c r="E853">
        <v>8</v>
      </c>
      <c r="F853">
        <v>350000</v>
      </c>
      <c r="H853">
        <v>1</v>
      </c>
      <c r="I853">
        <v>2</v>
      </c>
      <c r="J853">
        <v>0</v>
      </c>
      <c r="K853">
        <v>0</v>
      </c>
      <c r="L853">
        <v>0</v>
      </c>
      <c r="M853" t="s">
        <v>26</v>
      </c>
      <c r="N853">
        <v>0</v>
      </c>
      <c r="O853" t="s">
        <v>26</v>
      </c>
      <c r="P853" t="s">
        <v>26</v>
      </c>
      <c r="Q853" t="s">
        <v>26</v>
      </c>
      <c r="R853" t="s">
        <v>26</v>
      </c>
      <c r="S853" t="s">
        <v>26</v>
      </c>
      <c r="T853" t="s">
        <v>26</v>
      </c>
      <c r="U853" t="s">
        <v>26</v>
      </c>
      <c r="V853">
        <v>0</v>
      </c>
      <c r="W853">
        <f>E853/100</f>
        <v>0.08</v>
      </c>
      <c r="X853">
        <f>F853/1000000</f>
        <v>0.35</v>
      </c>
      <c r="Y853">
        <f>IF(D853="C",1,0)</f>
        <v>0</v>
      </c>
      <c r="Z853">
        <f>IF(G853="C",1,0)</f>
        <v>0</v>
      </c>
      <c r="AA853">
        <f>IF(G853="S",1,0)</f>
        <v>0</v>
      </c>
      <c r="AB853">
        <f>IF(G853="U",1,0)</f>
        <v>0</v>
      </c>
      <c r="AC853" s="5">
        <f>IF(AND(ISNUMBER(H853),NOT(ISNUMBER(P853))),1,0)</f>
        <v>1</v>
      </c>
      <c r="AD853" s="5">
        <f>IF(AND(ISNUMBER(H853),ISNUMBER(P853)),1,0)</f>
        <v>0</v>
      </c>
      <c r="AE853" s="5">
        <f>W853</f>
        <v>0.08</v>
      </c>
      <c r="AF853" s="5">
        <f>X853</f>
        <v>0.35</v>
      </c>
      <c r="AG853" s="5">
        <f>Y853</f>
        <v>0</v>
      </c>
      <c r="AH853" s="5">
        <f>IF(OR(G853="C",G853="S",G853="U"),1,0)</f>
        <v>0</v>
      </c>
      <c r="AI853" s="5">
        <f>IF(ISNUMBER(H853),1,0)</f>
        <v>1</v>
      </c>
      <c r="AJ853" s="5">
        <f>IF(ISNUMBER(P853),1,0)</f>
        <v>0</v>
      </c>
      <c r="AK853" s="5">
        <f>IF(AI853=1,IF(J853&gt;0,1,0),"")</f>
        <v>0</v>
      </c>
      <c r="AL853" s="5" t="str">
        <f>IF(AJ853=1,IF(OR(Q853&gt;0,R853&gt;0),1,0),"")</f>
        <v/>
      </c>
    </row>
    <row r="854" spans="1:38">
      <c r="A854">
        <v>1909675</v>
      </c>
      <c r="B854" t="s">
        <v>920</v>
      </c>
      <c r="C854" t="s">
        <v>23</v>
      </c>
      <c r="D854" t="s">
        <v>24</v>
      </c>
      <c r="E854">
        <v>78</v>
      </c>
      <c r="F854">
        <v>2659429</v>
      </c>
      <c r="H854">
        <v>1</v>
      </c>
      <c r="I854">
        <v>0</v>
      </c>
      <c r="J854">
        <v>0</v>
      </c>
      <c r="K854">
        <v>0</v>
      </c>
      <c r="L854" t="s">
        <v>26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  <c r="S854" t="s">
        <v>26</v>
      </c>
      <c r="T854" t="s">
        <v>26</v>
      </c>
      <c r="U854" t="s">
        <v>26</v>
      </c>
      <c r="V854">
        <v>0</v>
      </c>
      <c r="W854">
        <f>E854/100</f>
        <v>0.78</v>
      </c>
      <c r="X854">
        <f>F854/1000000</f>
        <v>2.6594289999999998</v>
      </c>
      <c r="Y854">
        <f>IF(D854="C",1,0)</f>
        <v>0</v>
      </c>
      <c r="Z854">
        <f>IF(G854="C",1,0)</f>
        <v>0</v>
      </c>
      <c r="AA854">
        <f>IF(G854="S",1,0)</f>
        <v>0</v>
      </c>
      <c r="AB854">
        <f>IF(G854="U",1,0)</f>
        <v>0</v>
      </c>
      <c r="AC854" s="5">
        <f>IF(AND(ISNUMBER(H854),NOT(ISNUMBER(P854))),1,0)</f>
        <v>1</v>
      </c>
      <c r="AD854" s="5">
        <f>IF(AND(ISNUMBER(H854),ISNUMBER(P854)),1,0)</f>
        <v>0</v>
      </c>
      <c r="AE854" s="5">
        <f>W854</f>
        <v>0.78</v>
      </c>
      <c r="AF854" s="5">
        <f>X854</f>
        <v>2.6594289999999998</v>
      </c>
      <c r="AG854" s="5">
        <f>Y854</f>
        <v>0</v>
      </c>
      <c r="AH854" s="5">
        <f>IF(OR(G854="C",G854="S",G854="U"),1,0)</f>
        <v>0</v>
      </c>
      <c r="AI854" s="5">
        <f>IF(ISNUMBER(H854),1,0)</f>
        <v>1</v>
      </c>
      <c r="AJ854" s="5">
        <f>IF(ISNUMBER(P854),1,0)</f>
        <v>0</v>
      </c>
      <c r="AK854" s="5">
        <f>IF(AI854=1,IF(J854&gt;0,1,0),"")</f>
        <v>0</v>
      </c>
      <c r="AL854" s="5" t="str">
        <f>IF(AJ854=1,IF(OR(Q854&gt;0,R854&gt;0),1,0),"")</f>
        <v/>
      </c>
    </row>
    <row r="855" spans="1:38">
      <c r="A855">
        <v>1919156</v>
      </c>
      <c r="B855" t="s">
        <v>921</v>
      </c>
      <c r="C855" t="s">
        <v>23</v>
      </c>
      <c r="D855" t="s">
        <v>24</v>
      </c>
      <c r="E855">
        <v>65</v>
      </c>
      <c r="F855">
        <v>748867</v>
      </c>
      <c r="H855">
        <v>1</v>
      </c>
      <c r="I855">
        <v>3</v>
      </c>
      <c r="J855">
        <v>2</v>
      </c>
      <c r="K855">
        <v>1</v>
      </c>
      <c r="L855">
        <v>0.66669999999999996</v>
      </c>
      <c r="M855" t="s">
        <v>26</v>
      </c>
      <c r="N855">
        <v>0.66669999999999996</v>
      </c>
      <c r="O855" t="s">
        <v>26</v>
      </c>
      <c r="P855" t="s">
        <v>26</v>
      </c>
      <c r="Q855" t="s">
        <v>26</v>
      </c>
      <c r="R855" t="s">
        <v>26</v>
      </c>
      <c r="S855" t="s">
        <v>26</v>
      </c>
      <c r="T855" t="s">
        <v>26</v>
      </c>
      <c r="U855" t="s">
        <v>26</v>
      </c>
      <c r="V855">
        <v>1</v>
      </c>
      <c r="W855">
        <f>E855/100</f>
        <v>0.65</v>
      </c>
      <c r="X855">
        <f>F855/1000000</f>
        <v>0.74886699999999995</v>
      </c>
      <c r="Y855">
        <f>IF(D855="C",1,0)</f>
        <v>0</v>
      </c>
      <c r="Z855">
        <f>IF(G855="C",1,0)</f>
        <v>0</v>
      </c>
      <c r="AA855">
        <f>IF(G855="S",1,0)</f>
        <v>0</v>
      </c>
      <c r="AB855">
        <f>IF(G855="U",1,0)</f>
        <v>0</v>
      </c>
      <c r="AC855" s="5">
        <f>IF(AND(ISNUMBER(H855),NOT(ISNUMBER(P855))),1,0)</f>
        <v>1</v>
      </c>
      <c r="AD855" s="5">
        <f>IF(AND(ISNUMBER(H855),ISNUMBER(P855)),1,0)</f>
        <v>0</v>
      </c>
      <c r="AE855" s="5">
        <f>W855</f>
        <v>0.65</v>
      </c>
      <c r="AF855" s="5">
        <f>X855</f>
        <v>0.74886699999999995</v>
      </c>
      <c r="AG855" s="5">
        <f>Y855</f>
        <v>0</v>
      </c>
      <c r="AH855" s="5">
        <f>IF(OR(G855="C",G855="S",G855="U"),1,0)</f>
        <v>0</v>
      </c>
      <c r="AI855" s="5">
        <f>IF(ISNUMBER(H855),1,0)</f>
        <v>1</v>
      </c>
      <c r="AJ855" s="5">
        <f>IF(ISNUMBER(P855),1,0)</f>
        <v>0</v>
      </c>
      <c r="AK855" s="5">
        <f>IF(AI855=1,IF(J855&gt;0,1,0),"")</f>
        <v>1</v>
      </c>
      <c r="AL855" s="5" t="str">
        <f>IF(AJ855=1,IF(OR(Q855&gt;0,R855&gt;0),1,0),"")</f>
        <v/>
      </c>
    </row>
    <row r="856" spans="1:38">
      <c r="A856">
        <v>1961956</v>
      </c>
      <c r="B856" t="s">
        <v>922</v>
      </c>
      <c r="C856" t="s">
        <v>82</v>
      </c>
      <c r="D856" t="s">
        <v>24</v>
      </c>
      <c r="E856">
        <v>62</v>
      </c>
      <c r="F856">
        <v>4898675</v>
      </c>
      <c r="H856">
        <v>1</v>
      </c>
      <c r="I856">
        <v>1</v>
      </c>
      <c r="J856">
        <v>0</v>
      </c>
      <c r="K856">
        <v>0</v>
      </c>
      <c r="L856">
        <v>0</v>
      </c>
      <c r="M856" t="s">
        <v>26</v>
      </c>
      <c r="N856">
        <v>0</v>
      </c>
      <c r="O856" t="s">
        <v>26</v>
      </c>
      <c r="P856" t="s">
        <v>26</v>
      </c>
      <c r="Q856" t="s">
        <v>26</v>
      </c>
      <c r="R856" t="s">
        <v>26</v>
      </c>
      <c r="S856" t="s">
        <v>26</v>
      </c>
      <c r="T856" t="s">
        <v>26</v>
      </c>
      <c r="U856" t="s">
        <v>26</v>
      </c>
      <c r="V856">
        <v>0</v>
      </c>
      <c r="W856">
        <f>E856/100</f>
        <v>0.62</v>
      </c>
      <c r="X856">
        <f>F856/1000000</f>
        <v>4.8986749999999999</v>
      </c>
      <c r="Y856">
        <f>IF(D856="C",1,0)</f>
        <v>0</v>
      </c>
      <c r="Z856">
        <f>IF(G856="C",1,0)</f>
        <v>0</v>
      </c>
      <c r="AA856">
        <f>IF(G856="S",1,0)</f>
        <v>0</v>
      </c>
      <c r="AB856">
        <f>IF(G856="U",1,0)</f>
        <v>0</v>
      </c>
      <c r="AC856" s="5">
        <f>IF(AND(ISNUMBER(H856),NOT(ISNUMBER(P856))),1,0)</f>
        <v>1</v>
      </c>
      <c r="AD856" s="5">
        <f>IF(AND(ISNUMBER(H856),ISNUMBER(P856)),1,0)</f>
        <v>0</v>
      </c>
      <c r="AE856" s="5">
        <f>W856</f>
        <v>0.62</v>
      </c>
      <c r="AF856" s="5">
        <f>X856</f>
        <v>4.8986749999999999</v>
      </c>
      <c r="AG856" s="5">
        <f>Y856</f>
        <v>0</v>
      </c>
      <c r="AH856" s="5">
        <f>IF(OR(G856="C",G856="S",G856="U"),1,0)</f>
        <v>0</v>
      </c>
      <c r="AI856" s="5">
        <f>IF(ISNUMBER(H856),1,0)</f>
        <v>1</v>
      </c>
      <c r="AJ856" s="5">
        <f>IF(ISNUMBER(P856),1,0)</f>
        <v>0</v>
      </c>
      <c r="AK856" s="5">
        <f>IF(AI856=1,IF(J856&gt;0,1,0),"")</f>
        <v>0</v>
      </c>
      <c r="AL856" s="5" t="str">
        <f>IF(AJ856=1,IF(OR(Q856&gt;0,R856&gt;0),1,0),"")</f>
        <v/>
      </c>
    </row>
    <row r="857" spans="1:38">
      <c r="A857">
        <v>1967369</v>
      </c>
      <c r="B857" t="s">
        <v>923</v>
      </c>
      <c r="C857" t="s">
        <v>183</v>
      </c>
      <c r="D857" t="s">
        <v>24</v>
      </c>
      <c r="E857">
        <v>1</v>
      </c>
      <c r="F857">
        <v>9500</v>
      </c>
      <c r="H857">
        <v>1</v>
      </c>
      <c r="I857">
        <v>3</v>
      </c>
      <c r="J857">
        <v>0</v>
      </c>
      <c r="K857">
        <v>0</v>
      </c>
      <c r="L857">
        <v>0</v>
      </c>
      <c r="M857">
        <v>0</v>
      </c>
      <c r="N857">
        <v>0</v>
      </c>
      <c r="O857" t="s">
        <v>26</v>
      </c>
      <c r="P857" t="s">
        <v>26</v>
      </c>
      <c r="Q857" t="s">
        <v>26</v>
      </c>
      <c r="R857" t="s">
        <v>26</v>
      </c>
      <c r="S857" t="s">
        <v>26</v>
      </c>
      <c r="T857" t="s">
        <v>26</v>
      </c>
      <c r="U857" t="s">
        <v>26</v>
      </c>
      <c r="V857">
        <v>0</v>
      </c>
      <c r="W857">
        <f>E857/100</f>
        <v>0.01</v>
      </c>
      <c r="X857">
        <f>F857/1000000</f>
        <v>9.4999999999999998E-3</v>
      </c>
      <c r="Y857">
        <f>IF(D857="C",1,0)</f>
        <v>0</v>
      </c>
      <c r="Z857">
        <f>IF(G857="C",1,0)</f>
        <v>0</v>
      </c>
      <c r="AA857">
        <f>IF(G857="S",1,0)</f>
        <v>0</v>
      </c>
      <c r="AB857">
        <f>IF(G857="U",1,0)</f>
        <v>0</v>
      </c>
      <c r="AC857" s="5">
        <f>IF(AND(ISNUMBER(H857),NOT(ISNUMBER(P857))),1,0)</f>
        <v>1</v>
      </c>
      <c r="AD857" s="5">
        <f>IF(AND(ISNUMBER(H857),ISNUMBER(P857)),1,0)</f>
        <v>0</v>
      </c>
      <c r="AE857" s="5">
        <f>W857</f>
        <v>0.01</v>
      </c>
      <c r="AF857" s="5">
        <f>X857</f>
        <v>9.4999999999999998E-3</v>
      </c>
      <c r="AG857" s="5">
        <f>Y857</f>
        <v>0</v>
      </c>
      <c r="AH857" s="5">
        <f>IF(OR(G857="C",G857="S",G857="U"),1,0)</f>
        <v>0</v>
      </c>
      <c r="AI857" s="5">
        <f>IF(ISNUMBER(H857),1,0)</f>
        <v>1</v>
      </c>
      <c r="AJ857" s="5">
        <f>IF(ISNUMBER(P857),1,0)</f>
        <v>0</v>
      </c>
      <c r="AK857" s="5">
        <f>IF(AI857=1,IF(J857&gt;0,1,0),"")</f>
        <v>0</v>
      </c>
      <c r="AL857" s="5" t="str">
        <f>IF(AJ857=1,IF(OR(Q857&gt;0,R857&gt;0),1,0),"")</f>
        <v/>
      </c>
    </row>
    <row r="858" spans="1:38">
      <c r="A858">
        <v>1967890</v>
      </c>
      <c r="B858" t="s">
        <v>924</v>
      </c>
      <c r="C858" t="s">
        <v>37</v>
      </c>
      <c r="D858" t="s">
        <v>33</v>
      </c>
      <c r="E858">
        <v>4</v>
      </c>
      <c r="F858">
        <v>26000</v>
      </c>
      <c r="H858">
        <v>1</v>
      </c>
      <c r="I858">
        <v>2</v>
      </c>
      <c r="J858">
        <v>1</v>
      </c>
      <c r="K858">
        <v>1</v>
      </c>
      <c r="L858">
        <v>0.5</v>
      </c>
      <c r="M858">
        <v>0.5</v>
      </c>
      <c r="N858" t="s">
        <v>26</v>
      </c>
      <c r="O858" t="s">
        <v>26</v>
      </c>
      <c r="P858" t="s">
        <v>26</v>
      </c>
      <c r="Q858" t="s">
        <v>26</v>
      </c>
      <c r="R858" t="s">
        <v>26</v>
      </c>
      <c r="S858" t="s">
        <v>26</v>
      </c>
      <c r="T858" t="s">
        <v>26</v>
      </c>
      <c r="U858" t="s">
        <v>26</v>
      </c>
      <c r="V858">
        <v>1</v>
      </c>
      <c r="W858">
        <f>E858/100</f>
        <v>0.04</v>
      </c>
      <c r="X858">
        <f>F858/1000000</f>
        <v>2.5999999999999999E-2</v>
      </c>
      <c r="Y858">
        <f>IF(D858="C",1,0)</f>
        <v>1</v>
      </c>
      <c r="Z858">
        <f>IF(G858="C",1,0)</f>
        <v>0</v>
      </c>
      <c r="AA858">
        <f>IF(G858="S",1,0)</f>
        <v>0</v>
      </c>
      <c r="AB858">
        <f>IF(G858="U",1,0)</f>
        <v>0</v>
      </c>
      <c r="AC858" s="5">
        <f>IF(AND(ISNUMBER(H858),NOT(ISNUMBER(P858))),1,0)</f>
        <v>1</v>
      </c>
      <c r="AD858" s="5">
        <f>IF(AND(ISNUMBER(H858),ISNUMBER(P858)),1,0)</f>
        <v>0</v>
      </c>
      <c r="AE858" s="5">
        <f>W858</f>
        <v>0.04</v>
      </c>
      <c r="AF858" s="5">
        <f>X858</f>
        <v>2.5999999999999999E-2</v>
      </c>
      <c r="AG858" s="5">
        <f>Y858</f>
        <v>1</v>
      </c>
      <c r="AH858" s="5">
        <f>IF(OR(G858="C",G858="S",G858="U"),1,0)</f>
        <v>0</v>
      </c>
      <c r="AI858" s="5">
        <f>IF(ISNUMBER(H858),1,0)</f>
        <v>1</v>
      </c>
      <c r="AJ858" s="5">
        <f>IF(ISNUMBER(P858),1,0)</f>
        <v>0</v>
      </c>
      <c r="AK858" s="5">
        <f>IF(AI858=1,IF(J858&gt;0,1,0),"")</f>
        <v>1</v>
      </c>
      <c r="AL858" s="5" t="str">
        <f>IF(AJ858=1,IF(OR(Q858&gt;0,R858&gt;0),1,0),"")</f>
        <v/>
      </c>
    </row>
    <row r="859" spans="1:38">
      <c r="A859">
        <v>1989938</v>
      </c>
      <c r="B859" t="s">
        <v>925</v>
      </c>
      <c r="C859" t="s">
        <v>159</v>
      </c>
      <c r="D859" t="s">
        <v>24</v>
      </c>
      <c r="E859">
        <v>7</v>
      </c>
      <c r="F859">
        <v>2116537</v>
      </c>
      <c r="H859">
        <v>1</v>
      </c>
      <c r="I859">
        <v>0</v>
      </c>
      <c r="J859">
        <v>0</v>
      </c>
      <c r="K859">
        <v>0</v>
      </c>
      <c r="L859" t="s">
        <v>26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  <c r="S859" t="s">
        <v>26</v>
      </c>
      <c r="T859" t="s">
        <v>26</v>
      </c>
      <c r="U859" t="s">
        <v>26</v>
      </c>
      <c r="V859">
        <v>0</v>
      </c>
      <c r="W859">
        <f>E859/100</f>
        <v>7.0000000000000007E-2</v>
      </c>
      <c r="X859">
        <f>F859/1000000</f>
        <v>2.1165370000000001</v>
      </c>
      <c r="Y859">
        <f>IF(D859="C",1,0)</f>
        <v>0</v>
      </c>
      <c r="Z859">
        <f>IF(G859="C",1,0)</f>
        <v>0</v>
      </c>
      <c r="AA859">
        <f>IF(G859="S",1,0)</f>
        <v>0</v>
      </c>
      <c r="AB859">
        <f>IF(G859="U",1,0)</f>
        <v>0</v>
      </c>
      <c r="AC859" s="5">
        <f>IF(AND(ISNUMBER(H859),NOT(ISNUMBER(P859))),1,0)</f>
        <v>1</v>
      </c>
      <c r="AD859" s="5">
        <f>IF(AND(ISNUMBER(H859),ISNUMBER(P859)),1,0)</f>
        <v>0</v>
      </c>
      <c r="AE859" s="5">
        <f>W859</f>
        <v>7.0000000000000007E-2</v>
      </c>
      <c r="AF859" s="5">
        <f>X859</f>
        <v>2.1165370000000001</v>
      </c>
      <c r="AG859" s="5">
        <f>Y859</f>
        <v>0</v>
      </c>
      <c r="AH859" s="5">
        <f>IF(OR(G859="C",G859="S",G859="U"),1,0)</f>
        <v>0</v>
      </c>
      <c r="AI859" s="5">
        <f>IF(ISNUMBER(H859),1,0)</f>
        <v>1</v>
      </c>
      <c r="AJ859" s="5">
        <f>IF(ISNUMBER(P859),1,0)</f>
        <v>0</v>
      </c>
      <c r="AK859" s="5">
        <f>IF(AI859=1,IF(J859&gt;0,1,0),"")</f>
        <v>0</v>
      </c>
      <c r="AL859" s="5" t="str">
        <f>IF(AJ859=1,IF(OR(Q859&gt;0,R859&gt;0),1,0),"")</f>
        <v/>
      </c>
    </row>
    <row r="860" spans="1:38">
      <c r="A860">
        <v>2000974</v>
      </c>
      <c r="B860" t="s">
        <v>926</v>
      </c>
      <c r="C860" t="s">
        <v>23</v>
      </c>
      <c r="D860" t="s">
        <v>24</v>
      </c>
      <c r="E860">
        <v>70</v>
      </c>
      <c r="F860">
        <v>3494296</v>
      </c>
      <c r="H860">
        <v>1</v>
      </c>
      <c r="I860">
        <v>0</v>
      </c>
      <c r="J860">
        <v>0</v>
      </c>
      <c r="K860">
        <v>0</v>
      </c>
      <c r="L860" t="s">
        <v>26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  <c r="S860" t="s">
        <v>26</v>
      </c>
      <c r="T860" t="s">
        <v>26</v>
      </c>
      <c r="U860" t="s">
        <v>26</v>
      </c>
      <c r="V860">
        <v>0</v>
      </c>
      <c r="W860">
        <f>E860/100</f>
        <v>0.7</v>
      </c>
      <c r="X860">
        <f>F860/1000000</f>
        <v>3.4942959999999998</v>
      </c>
      <c r="Y860">
        <f>IF(D860="C",1,0)</f>
        <v>0</v>
      </c>
      <c r="Z860">
        <f>IF(G860="C",1,0)</f>
        <v>0</v>
      </c>
      <c r="AA860">
        <f>IF(G860="S",1,0)</f>
        <v>0</v>
      </c>
      <c r="AB860">
        <f>IF(G860="U",1,0)</f>
        <v>0</v>
      </c>
      <c r="AC860" s="5">
        <f>IF(AND(ISNUMBER(H860),NOT(ISNUMBER(P860))),1,0)</f>
        <v>1</v>
      </c>
      <c r="AD860" s="5">
        <f>IF(AND(ISNUMBER(H860),ISNUMBER(P860)),1,0)</f>
        <v>0</v>
      </c>
      <c r="AE860" s="5">
        <f>W860</f>
        <v>0.7</v>
      </c>
      <c r="AF860" s="5">
        <f>X860</f>
        <v>3.4942959999999998</v>
      </c>
      <c r="AG860" s="5">
        <f>Y860</f>
        <v>0</v>
      </c>
      <c r="AH860" s="5">
        <f>IF(OR(G860="C",G860="S",G860="U"),1,0)</f>
        <v>0</v>
      </c>
      <c r="AI860" s="5">
        <f>IF(ISNUMBER(H860),1,0)</f>
        <v>1</v>
      </c>
      <c r="AJ860" s="5">
        <f>IF(ISNUMBER(P860),1,0)</f>
        <v>0</v>
      </c>
      <c r="AK860" s="5">
        <f>IF(AI860=1,IF(J860&gt;0,1,0),"")</f>
        <v>0</v>
      </c>
      <c r="AL860" s="5" t="str">
        <f>IF(AJ860=1,IF(OR(Q860&gt;0,R860&gt;0),1,0),"")</f>
        <v/>
      </c>
    </row>
    <row r="861" spans="1:38">
      <c r="A861">
        <v>2009484</v>
      </c>
      <c r="B861" t="s">
        <v>927</v>
      </c>
      <c r="C861" t="s">
        <v>82</v>
      </c>
      <c r="D861" t="s">
        <v>24</v>
      </c>
      <c r="E861">
        <v>2</v>
      </c>
      <c r="F861">
        <v>70000</v>
      </c>
      <c r="H861">
        <v>1</v>
      </c>
      <c r="I861">
        <v>0</v>
      </c>
      <c r="J861">
        <v>0</v>
      </c>
      <c r="K861">
        <v>0</v>
      </c>
      <c r="L861" t="s">
        <v>26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  <c r="S861" t="s">
        <v>26</v>
      </c>
      <c r="T861" t="s">
        <v>26</v>
      </c>
      <c r="U861" t="s">
        <v>26</v>
      </c>
      <c r="V861">
        <v>0</v>
      </c>
      <c r="W861">
        <f>E861/100</f>
        <v>0.02</v>
      </c>
      <c r="X861">
        <f>F861/1000000</f>
        <v>7.0000000000000007E-2</v>
      </c>
      <c r="Y861">
        <f>IF(D861="C",1,0)</f>
        <v>0</v>
      </c>
      <c r="Z861">
        <f>IF(G861="C",1,0)</f>
        <v>0</v>
      </c>
      <c r="AA861">
        <f>IF(G861="S",1,0)</f>
        <v>0</v>
      </c>
      <c r="AB861">
        <f>IF(G861="U",1,0)</f>
        <v>0</v>
      </c>
      <c r="AC861" s="5">
        <f>IF(AND(ISNUMBER(H861),NOT(ISNUMBER(P861))),1,0)</f>
        <v>1</v>
      </c>
      <c r="AD861" s="5">
        <f>IF(AND(ISNUMBER(H861),ISNUMBER(P861)),1,0)</f>
        <v>0</v>
      </c>
      <c r="AE861" s="5">
        <f>W861</f>
        <v>0.02</v>
      </c>
      <c r="AF861" s="5">
        <f>X861</f>
        <v>7.0000000000000007E-2</v>
      </c>
      <c r="AG861" s="5">
        <f>Y861</f>
        <v>0</v>
      </c>
      <c r="AH861" s="5">
        <f>IF(OR(G861="C",G861="S",G861="U"),1,0)</f>
        <v>0</v>
      </c>
      <c r="AI861" s="5">
        <f>IF(ISNUMBER(H861),1,0)</f>
        <v>1</v>
      </c>
      <c r="AJ861" s="5">
        <f>IF(ISNUMBER(P861),1,0)</f>
        <v>0</v>
      </c>
      <c r="AK861" s="5">
        <f>IF(AI861=1,IF(J861&gt;0,1,0),"")</f>
        <v>0</v>
      </c>
      <c r="AL861" s="5" t="str">
        <f>IF(AJ861=1,IF(OR(Q861&gt;0,R861&gt;0),1,0),"")</f>
        <v/>
      </c>
    </row>
    <row r="862" spans="1:38">
      <c r="A862">
        <v>2014529</v>
      </c>
      <c r="B862" t="s">
        <v>928</v>
      </c>
      <c r="C862" t="s">
        <v>23</v>
      </c>
      <c r="D862" t="s">
        <v>24</v>
      </c>
      <c r="E862">
        <v>2</v>
      </c>
      <c r="F862">
        <v>35000</v>
      </c>
      <c r="H862">
        <v>1</v>
      </c>
      <c r="I862">
        <v>1</v>
      </c>
      <c r="J862">
        <v>1</v>
      </c>
      <c r="K862">
        <v>1</v>
      </c>
      <c r="L862">
        <v>1</v>
      </c>
      <c r="M862" t="s">
        <v>26</v>
      </c>
      <c r="N862">
        <v>1</v>
      </c>
      <c r="O862" t="s">
        <v>26</v>
      </c>
      <c r="P862" t="s">
        <v>26</v>
      </c>
      <c r="Q862" t="s">
        <v>26</v>
      </c>
      <c r="R862" t="s">
        <v>26</v>
      </c>
      <c r="S862" t="s">
        <v>26</v>
      </c>
      <c r="T862" t="s">
        <v>26</v>
      </c>
      <c r="U862" t="s">
        <v>26</v>
      </c>
      <c r="V862">
        <v>1</v>
      </c>
      <c r="W862">
        <f>E862/100</f>
        <v>0.02</v>
      </c>
      <c r="X862">
        <f>F862/1000000</f>
        <v>3.5000000000000003E-2</v>
      </c>
      <c r="Y862">
        <f>IF(D862="C",1,0)</f>
        <v>0</v>
      </c>
      <c r="Z862">
        <f>IF(G862="C",1,0)</f>
        <v>0</v>
      </c>
      <c r="AA862">
        <f>IF(G862="S",1,0)</f>
        <v>0</v>
      </c>
      <c r="AB862">
        <f>IF(G862="U",1,0)</f>
        <v>0</v>
      </c>
      <c r="AC862" s="5">
        <f>IF(AND(ISNUMBER(H862),NOT(ISNUMBER(P862))),1,0)</f>
        <v>1</v>
      </c>
      <c r="AD862" s="5">
        <f>IF(AND(ISNUMBER(H862),ISNUMBER(P862)),1,0)</f>
        <v>0</v>
      </c>
      <c r="AE862" s="5">
        <f>W862</f>
        <v>0.02</v>
      </c>
      <c r="AF862" s="5">
        <f>X862</f>
        <v>3.5000000000000003E-2</v>
      </c>
      <c r="AG862" s="5">
        <f>Y862</f>
        <v>0</v>
      </c>
      <c r="AH862" s="5">
        <f>IF(OR(G862="C",G862="S",G862="U"),1,0)</f>
        <v>0</v>
      </c>
      <c r="AI862" s="5">
        <f>IF(ISNUMBER(H862),1,0)</f>
        <v>1</v>
      </c>
      <c r="AJ862" s="5">
        <f>IF(ISNUMBER(P862),1,0)</f>
        <v>0</v>
      </c>
      <c r="AK862" s="5">
        <f>IF(AI862=1,IF(J862&gt;0,1,0),"")</f>
        <v>1</v>
      </c>
      <c r="AL862" s="5" t="str">
        <f>IF(AJ862=1,IF(OR(Q862&gt;0,R862&gt;0),1,0),"")</f>
        <v/>
      </c>
    </row>
    <row r="863" spans="1:38">
      <c r="A863">
        <v>2019080</v>
      </c>
      <c r="B863" t="s">
        <v>929</v>
      </c>
      <c r="C863" t="s">
        <v>37</v>
      </c>
      <c r="D863" t="s">
        <v>33</v>
      </c>
      <c r="E863">
        <v>8</v>
      </c>
      <c r="F863">
        <v>108000</v>
      </c>
      <c r="H863">
        <v>1</v>
      </c>
      <c r="I863">
        <v>4</v>
      </c>
      <c r="J863">
        <v>0</v>
      </c>
      <c r="K863">
        <v>0</v>
      </c>
      <c r="L863">
        <v>0</v>
      </c>
      <c r="M863">
        <v>0</v>
      </c>
      <c r="N863">
        <v>0</v>
      </c>
      <c r="O863" t="s">
        <v>26</v>
      </c>
      <c r="P863" t="s">
        <v>26</v>
      </c>
      <c r="Q863" t="s">
        <v>26</v>
      </c>
      <c r="R863" t="s">
        <v>26</v>
      </c>
      <c r="S863" t="s">
        <v>26</v>
      </c>
      <c r="T863" t="s">
        <v>26</v>
      </c>
      <c r="U863" t="s">
        <v>26</v>
      </c>
      <c r="V863">
        <v>0</v>
      </c>
      <c r="W863">
        <f>E863/100</f>
        <v>0.08</v>
      </c>
      <c r="X863">
        <f>F863/1000000</f>
        <v>0.108</v>
      </c>
      <c r="Y863">
        <f>IF(D863="C",1,0)</f>
        <v>1</v>
      </c>
      <c r="Z863">
        <f>IF(G863="C",1,0)</f>
        <v>0</v>
      </c>
      <c r="AA863">
        <f>IF(G863="S",1,0)</f>
        <v>0</v>
      </c>
      <c r="AB863">
        <f>IF(G863="U",1,0)</f>
        <v>0</v>
      </c>
      <c r="AC863" s="5">
        <f>IF(AND(ISNUMBER(H863),NOT(ISNUMBER(P863))),1,0)</f>
        <v>1</v>
      </c>
      <c r="AD863" s="5">
        <f>IF(AND(ISNUMBER(H863),ISNUMBER(P863)),1,0)</f>
        <v>0</v>
      </c>
      <c r="AE863" s="5">
        <f>W863</f>
        <v>0.08</v>
      </c>
      <c r="AF863" s="5">
        <f>X863</f>
        <v>0.108</v>
      </c>
      <c r="AG863" s="5">
        <f>Y863</f>
        <v>1</v>
      </c>
      <c r="AH863" s="5">
        <f>IF(OR(G863="C",G863="S",G863="U"),1,0)</f>
        <v>0</v>
      </c>
      <c r="AI863" s="5">
        <f>IF(ISNUMBER(H863),1,0)</f>
        <v>1</v>
      </c>
      <c r="AJ863" s="5">
        <f>IF(ISNUMBER(P863),1,0)</f>
        <v>0</v>
      </c>
      <c r="AK863" s="5">
        <f>IF(AI863=1,IF(J863&gt;0,1,0),"")</f>
        <v>0</v>
      </c>
      <c r="AL863" s="5" t="str">
        <f>IF(AJ863=1,IF(OR(Q863&gt;0,R863&gt;0),1,0),"")</f>
        <v/>
      </c>
    </row>
    <row r="864" spans="1:38">
      <c r="A864">
        <v>2055852</v>
      </c>
      <c r="B864" t="s">
        <v>930</v>
      </c>
      <c r="C864" t="s">
        <v>23</v>
      </c>
      <c r="D864" t="s">
        <v>24</v>
      </c>
      <c r="E864">
        <v>5</v>
      </c>
      <c r="F864">
        <v>117382</v>
      </c>
      <c r="H864">
        <v>1</v>
      </c>
      <c r="I864">
        <v>0</v>
      </c>
      <c r="J864">
        <v>0</v>
      </c>
      <c r="K864">
        <v>0</v>
      </c>
      <c r="L864" t="s">
        <v>26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  <c r="S864" t="s">
        <v>26</v>
      </c>
      <c r="T864" t="s">
        <v>26</v>
      </c>
      <c r="U864" t="s">
        <v>26</v>
      </c>
      <c r="V864">
        <v>0</v>
      </c>
      <c r="W864">
        <f>E864/100</f>
        <v>0.05</v>
      </c>
      <c r="X864">
        <f>F864/1000000</f>
        <v>0.117382</v>
      </c>
      <c r="Y864">
        <f>IF(D864="C",1,0)</f>
        <v>0</v>
      </c>
      <c r="Z864">
        <f>IF(G864="C",1,0)</f>
        <v>0</v>
      </c>
      <c r="AA864">
        <f>IF(G864="S",1,0)</f>
        <v>0</v>
      </c>
      <c r="AB864">
        <f>IF(G864="U",1,0)</f>
        <v>0</v>
      </c>
      <c r="AC864" s="5">
        <f>IF(AND(ISNUMBER(H864),NOT(ISNUMBER(P864))),1,0)</f>
        <v>1</v>
      </c>
      <c r="AD864" s="5">
        <f>IF(AND(ISNUMBER(H864),ISNUMBER(P864)),1,0)</f>
        <v>0</v>
      </c>
      <c r="AE864" s="5">
        <f>W864</f>
        <v>0.05</v>
      </c>
      <c r="AF864" s="5">
        <f>X864</f>
        <v>0.117382</v>
      </c>
      <c r="AG864" s="5">
        <f>Y864</f>
        <v>0</v>
      </c>
      <c r="AH864" s="5">
        <f>IF(OR(G864="C",G864="S",G864="U"),1,0)</f>
        <v>0</v>
      </c>
      <c r="AI864" s="5">
        <f>IF(ISNUMBER(H864),1,0)</f>
        <v>1</v>
      </c>
      <c r="AJ864" s="5">
        <f>IF(ISNUMBER(P864),1,0)</f>
        <v>0</v>
      </c>
      <c r="AK864" s="5">
        <f>IF(AI864=1,IF(J864&gt;0,1,0),"")</f>
        <v>0</v>
      </c>
      <c r="AL864" s="5" t="str">
        <f>IF(AJ864=1,IF(OR(Q864&gt;0,R864&gt;0),1,0),"")</f>
        <v/>
      </c>
    </row>
    <row r="865" spans="1:38">
      <c r="A865">
        <v>2056298</v>
      </c>
      <c r="B865" t="s">
        <v>931</v>
      </c>
      <c r="C865" t="s">
        <v>23</v>
      </c>
      <c r="D865" t="s">
        <v>24</v>
      </c>
      <c r="E865">
        <v>2</v>
      </c>
      <c r="F865">
        <v>30599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  <c r="S865" t="s">
        <v>26</v>
      </c>
      <c r="T865" t="s">
        <v>26</v>
      </c>
      <c r="U865" t="s">
        <v>26</v>
      </c>
      <c r="V865">
        <v>0</v>
      </c>
      <c r="W865">
        <f>E865/100</f>
        <v>0.02</v>
      </c>
      <c r="X865">
        <f>F865/1000000</f>
        <v>3.0599000000000001E-2</v>
      </c>
      <c r="Y865">
        <f>IF(D865="C",1,0)</f>
        <v>0</v>
      </c>
      <c r="Z865">
        <f>IF(G865="C",1,0)</f>
        <v>0</v>
      </c>
      <c r="AA865">
        <f>IF(G865="S",1,0)</f>
        <v>0</v>
      </c>
      <c r="AB865">
        <f>IF(G865="U",1,0)</f>
        <v>0</v>
      </c>
      <c r="AC865" s="5">
        <f>IF(AND(ISNUMBER(H865),NOT(ISNUMBER(P865))),1,0)</f>
        <v>1</v>
      </c>
      <c r="AD865" s="5">
        <f>IF(AND(ISNUMBER(H865),ISNUMBER(P865)),1,0)</f>
        <v>0</v>
      </c>
      <c r="AE865" s="5">
        <f>W865</f>
        <v>0.02</v>
      </c>
      <c r="AF865" s="5">
        <f>X865</f>
        <v>3.0599000000000001E-2</v>
      </c>
      <c r="AG865" s="5">
        <f>Y865</f>
        <v>0</v>
      </c>
      <c r="AH865" s="5">
        <f>IF(OR(G865="C",G865="S",G865="U"),1,0)</f>
        <v>0</v>
      </c>
      <c r="AI865" s="5">
        <f>IF(ISNUMBER(H865),1,0)</f>
        <v>1</v>
      </c>
      <c r="AJ865" s="5">
        <f>IF(ISNUMBER(P865),1,0)</f>
        <v>0</v>
      </c>
      <c r="AK865" s="5">
        <f>IF(AI865=1,IF(J865&gt;0,1,0),"")</f>
        <v>0</v>
      </c>
      <c r="AL865" s="5" t="str">
        <f>IF(AJ865=1,IF(OR(Q865&gt;0,R865&gt;0),1,0),"")</f>
        <v/>
      </c>
    </row>
    <row r="866" spans="1:38">
      <c r="A866">
        <v>2057522</v>
      </c>
      <c r="B866" t="s">
        <v>932</v>
      </c>
      <c r="C866" t="s">
        <v>30</v>
      </c>
      <c r="D866" t="s">
        <v>24</v>
      </c>
      <c r="E866">
        <v>50</v>
      </c>
      <c r="F866">
        <v>3341724</v>
      </c>
      <c r="H866">
        <v>1</v>
      </c>
      <c r="I866">
        <v>0</v>
      </c>
      <c r="J866">
        <v>0</v>
      </c>
      <c r="K866">
        <v>0</v>
      </c>
      <c r="L866" t="s">
        <v>26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  <c r="S866" t="s">
        <v>26</v>
      </c>
      <c r="T866" t="s">
        <v>26</v>
      </c>
      <c r="U866" t="s">
        <v>26</v>
      </c>
      <c r="V866">
        <v>0</v>
      </c>
      <c r="W866">
        <f>E866/100</f>
        <v>0.5</v>
      </c>
      <c r="X866">
        <f>F866/1000000</f>
        <v>3.3417240000000001</v>
      </c>
      <c r="Y866">
        <f>IF(D866="C",1,0)</f>
        <v>0</v>
      </c>
      <c r="Z866">
        <f>IF(G866="C",1,0)</f>
        <v>0</v>
      </c>
      <c r="AA866">
        <f>IF(G866="S",1,0)</f>
        <v>0</v>
      </c>
      <c r="AB866">
        <f>IF(G866="U",1,0)</f>
        <v>0</v>
      </c>
      <c r="AC866" s="5">
        <f>IF(AND(ISNUMBER(H866),NOT(ISNUMBER(P866))),1,0)</f>
        <v>1</v>
      </c>
      <c r="AD866" s="5">
        <f>IF(AND(ISNUMBER(H866),ISNUMBER(P866)),1,0)</f>
        <v>0</v>
      </c>
      <c r="AE866" s="5">
        <f>W866</f>
        <v>0.5</v>
      </c>
      <c r="AF866" s="5">
        <f>X866</f>
        <v>3.3417240000000001</v>
      </c>
      <c r="AG866" s="5">
        <f>Y866</f>
        <v>0</v>
      </c>
      <c r="AH866" s="5">
        <f>IF(OR(G866="C",G866="S",G866="U"),1,0)</f>
        <v>0</v>
      </c>
      <c r="AI866" s="5">
        <f>IF(ISNUMBER(H866),1,0)</f>
        <v>1</v>
      </c>
      <c r="AJ866" s="5">
        <f>IF(ISNUMBER(P866),1,0)</f>
        <v>0</v>
      </c>
      <c r="AK866" s="5">
        <f>IF(AI866=1,IF(J866&gt;0,1,0),"")</f>
        <v>0</v>
      </c>
      <c r="AL866" s="5" t="str">
        <f>IF(AJ866=1,IF(OR(Q866&gt;0,R866&gt;0),1,0),"")</f>
        <v/>
      </c>
    </row>
    <row r="867" spans="1:38">
      <c r="A867">
        <v>2062030</v>
      </c>
      <c r="B867" t="s">
        <v>933</v>
      </c>
      <c r="C867" t="s">
        <v>37</v>
      </c>
      <c r="D867" t="s">
        <v>33</v>
      </c>
      <c r="E867">
        <v>4</v>
      </c>
      <c r="F867">
        <v>29998</v>
      </c>
      <c r="H867">
        <v>1</v>
      </c>
      <c r="I867">
        <v>5</v>
      </c>
      <c r="J867">
        <v>2</v>
      </c>
      <c r="K867">
        <v>1</v>
      </c>
      <c r="L867">
        <v>0.4</v>
      </c>
      <c r="M867">
        <v>0.66669999999999996</v>
      </c>
      <c r="N867">
        <v>0</v>
      </c>
      <c r="O867" t="s">
        <v>26</v>
      </c>
      <c r="P867" t="s">
        <v>26</v>
      </c>
      <c r="Q867" t="s">
        <v>26</v>
      </c>
      <c r="R867" t="s">
        <v>26</v>
      </c>
      <c r="S867" t="s">
        <v>26</v>
      </c>
      <c r="T867" t="s">
        <v>26</v>
      </c>
      <c r="U867" t="s">
        <v>26</v>
      </c>
      <c r="V867">
        <v>1</v>
      </c>
      <c r="W867">
        <f>E867/100</f>
        <v>0.04</v>
      </c>
      <c r="X867">
        <f>F867/1000000</f>
        <v>2.9998E-2</v>
      </c>
      <c r="Y867">
        <f>IF(D867="C",1,0)</f>
        <v>1</v>
      </c>
      <c r="Z867">
        <f>IF(G867="C",1,0)</f>
        <v>0</v>
      </c>
      <c r="AA867">
        <f>IF(G867="S",1,0)</f>
        <v>0</v>
      </c>
      <c r="AB867">
        <f>IF(G867="U",1,0)</f>
        <v>0</v>
      </c>
      <c r="AC867" s="5">
        <f>IF(AND(ISNUMBER(H867),NOT(ISNUMBER(P867))),1,0)</f>
        <v>1</v>
      </c>
      <c r="AD867" s="5">
        <f>IF(AND(ISNUMBER(H867),ISNUMBER(P867)),1,0)</f>
        <v>0</v>
      </c>
      <c r="AE867" s="5">
        <f>W867</f>
        <v>0.04</v>
      </c>
      <c r="AF867" s="5">
        <f>X867</f>
        <v>2.9998E-2</v>
      </c>
      <c r="AG867" s="5">
        <f>Y867</f>
        <v>1</v>
      </c>
      <c r="AH867" s="5">
        <f>IF(OR(G867="C",G867="S",G867="U"),1,0)</f>
        <v>0</v>
      </c>
      <c r="AI867" s="5">
        <f>IF(ISNUMBER(H867),1,0)</f>
        <v>1</v>
      </c>
      <c r="AJ867" s="5">
        <f>IF(ISNUMBER(P867),1,0)</f>
        <v>0</v>
      </c>
      <c r="AK867" s="5">
        <f>IF(AI867=1,IF(J867&gt;0,1,0),"")</f>
        <v>1</v>
      </c>
      <c r="AL867" s="5" t="str">
        <f>IF(AJ867=1,IF(OR(Q867&gt;0,R867&gt;0),1,0),"")</f>
        <v/>
      </c>
    </row>
    <row r="868" spans="1:38">
      <c r="A868">
        <v>2069566</v>
      </c>
      <c r="B868" t="s">
        <v>934</v>
      </c>
      <c r="C868" t="s">
        <v>23</v>
      </c>
      <c r="D868" t="s">
        <v>24</v>
      </c>
      <c r="E868">
        <v>64</v>
      </c>
      <c r="F868">
        <v>85000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  <c r="S868" t="s">
        <v>26</v>
      </c>
      <c r="T868" t="s">
        <v>26</v>
      </c>
      <c r="U868" t="s">
        <v>26</v>
      </c>
      <c r="V868">
        <v>0</v>
      </c>
      <c r="W868">
        <f>E868/100</f>
        <v>0.64</v>
      </c>
      <c r="X868">
        <f>F868/1000000</f>
        <v>8.5000000000000006E-2</v>
      </c>
      <c r="Y868">
        <f>IF(D868="C",1,0)</f>
        <v>0</v>
      </c>
      <c r="Z868">
        <f>IF(G868="C",1,0)</f>
        <v>0</v>
      </c>
      <c r="AA868">
        <f>IF(G868="S",1,0)</f>
        <v>0</v>
      </c>
      <c r="AB868">
        <f>IF(G868="U",1,0)</f>
        <v>0</v>
      </c>
      <c r="AC868" s="5">
        <f>IF(AND(ISNUMBER(H868),NOT(ISNUMBER(P868))),1,0)</f>
        <v>1</v>
      </c>
      <c r="AD868" s="5">
        <f>IF(AND(ISNUMBER(H868),ISNUMBER(P868)),1,0)</f>
        <v>0</v>
      </c>
      <c r="AE868" s="5">
        <f>W868</f>
        <v>0.64</v>
      </c>
      <c r="AF868" s="5">
        <f>X868</f>
        <v>8.5000000000000006E-2</v>
      </c>
      <c r="AG868" s="5">
        <f>Y868</f>
        <v>0</v>
      </c>
      <c r="AH868" s="5">
        <f>IF(OR(G868="C",G868="S",G868="U"),1,0)</f>
        <v>0</v>
      </c>
      <c r="AI868" s="5">
        <f>IF(ISNUMBER(H868),1,0)</f>
        <v>1</v>
      </c>
      <c r="AJ868" s="5">
        <f>IF(ISNUMBER(P868),1,0)</f>
        <v>0</v>
      </c>
      <c r="AK868" s="5">
        <f>IF(AI868=1,IF(J868&gt;0,1,0),"")</f>
        <v>0</v>
      </c>
      <c r="AL868" s="5" t="str">
        <f>IF(AJ868=1,IF(OR(Q868&gt;0,R868&gt;0),1,0),"")</f>
        <v/>
      </c>
    </row>
    <row r="869" spans="1:38">
      <c r="A869">
        <v>2071650</v>
      </c>
      <c r="B869" t="s">
        <v>935</v>
      </c>
      <c r="C869" t="s">
        <v>37</v>
      </c>
      <c r="D869" t="s">
        <v>33</v>
      </c>
      <c r="E869">
        <v>4</v>
      </c>
      <c r="F869">
        <v>9100</v>
      </c>
      <c r="H869">
        <v>1</v>
      </c>
      <c r="I869">
        <v>10</v>
      </c>
      <c r="J869">
        <v>3</v>
      </c>
      <c r="K869">
        <v>1</v>
      </c>
      <c r="L869">
        <v>0.3</v>
      </c>
      <c r="M869">
        <v>0</v>
      </c>
      <c r="N869">
        <v>0.33329999999999999</v>
      </c>
      <c r="O869">
        <v>1</v>
      </c>
      <c r="P869" t="s">
        <v>26</v>
      </c>
      <c r="Q869" t="s">
        <v>26</v>
      </c>
      <c r="R869" t="s">
        <v>26</v>
      </c>
      <c r="S869" t="s">
        <v>26</v>
      </c>
      <c r="T869" t="s">
        <v>26</v>
      </c>
      <c r="U869" t="s">
        <v>26</v>
      </c>
      <c r="V869">
        <v>1</v>
      </c>
      <c r="W869">
        <f>E869/100</f>
        <v>0.04</v>
      </c>
      <c r="X869">
        <f>F869/1000000</f>
        <v>9.1000000000000004E-3</v>
      </c>
      <c r="Y869">
        <f>IF(D869="C",1,0)</f>
        <v>1</v>
      </c>
      <c r="Z869">
        <f>IF(G869="C",1,0)</f>
        <v>0</v>
      </c>
      <c r="AA869">
        <f>IF(G869="S",1,0)</f>
        <v>0</v>
      </c>
      <c r="AB869">
        <f>IF(G869="U",1,0)</f>
        <v>0</v>
      </c>
      <c r="AC869" s="5">
        <f>IF(AND(ISNUMBER(H869),NOT(ISNUMBER(P869))),1,0)</f>
        <v>1</v>
      </c>
      <c r="AD869" s="5">
        <f>IF(AND(ISNUMBER(H869),ISNUMBER(P869)),1,0)</f>
        <v>0</v>
      </c>
      <c r="AE869" s="5">
        <f>W869</f>
        <v>0.04</v>
      </c>
      <c r="AF869" s="5">
        <f>X869</f>
        <v>9.1000000000000004E-3</v>
      </c>
      <c r="AG869" s="5">
        <f>Y869</f>
        <v>1</v>
      </c>
      <c r="AH869" s="5">
        <f>IF(OR(G869="C",G869="S",G869="U"),1,0)</f>
        <v>0</v>
      </c>
      <c r="AI869" s="5">
        <f>IF(ISNUMBER(H869),1,0)</f>
        <v>1</v>
      </c>
      <c r="AJ869" s="5">
        <f>IF(ISNUMBER(P869),1,0)</f>
        <v>0</v>
      </c>
      <c r="AK869" s="5">
        <f>IF(AI869=1,IF(J869&gt;0,1,0),"")</f>
        <v>1</v>
      </c>
      <c r="AL869" s="5" t="str">
        <f>IF(AJ869=1,IF(OR(Q869&gt;0,R869&gt;0),1,0),"")</f>
        <v/>
      </c>
    </row>
    <row r="870" spans="1:38">
      <c r="A870">
        <v>2074205</v>
      </c>
      <c r="B870" t="s">
        <v>936</v>
      </c>
      <c r="C870" t="s">
        <v>23</v>
      </c>
      <c r="D870" t="s">
        <v>33</v>
      </c>
      <c r="E870">
        <v>77</v>
      </c>
      <c r="F870">
        <v>1840229</v>
      </c>
      <c r="H870">
        <v>1</v>
      </c>
      <c r="I870">
        <v>0</v>
      </c>
      <c r="J870">
        <v>0</v>
      </c>
      <c r="K870">
        <v>0</v>
      </c>
      <c r="L870" t="s">
        <v>26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  <c r="S870" t="s">
        <v>26</v>
      </c>
      <c r="T870" t="s">
        <v>26</v>
      </c>
      <c r="U870" t="s">
        <v>26</v>
      </c>
      <c r="V870">
        <v>0</v>
      </c>
      <c r="W870">
        <f>E870/100</f>
        <v>0.77</v>
      </c>
      <c r="X870">
        <f>F870/1000000</f>
        <v>1.8402289999999999</v>
      </c>
      <c r="Y870">
        <f>IF(D870="C",1,0)</f>
        <v>1</v>
      </c>
      <c r="Z870">
        <f>IF(G870="C",1,0)</f>
        <v>0</v>
      </c>
      <c r="AA870">
        <f>IF(G870="S",1,0)</f>
        <v>0</v>
      </c>
      <c r="AB870">
        <f>IF(G870="U",1,0)</f>
        <v>0</v>
      </c>
      <c r="AC870" s="5">
        <f>IF(AND(ISNUMBER(H870),NOT(ISNUMBER(P870))),1,0)</f>
        <v>1</v>
      </c>
      <c r="AD870" s="5">
        <f>IF(AND(ISNUMBER(H870),ISNUMBER(P870)),1,0)</f>
        <v>0</v>
      </c>
      <c r="AE870" s="5">
        <f>W870</f>
        <v>0.77</v>
      </c>
      <c r="AF870" s="5">
        <f>X870</f>
        <v>1.8402289999999999</v>
      </c>
      <c r="AG870" s="5">
        <f>Y870</f>
        <v>1</v>
      </c>
      <c r="AH870" s="5">
        <f>IF(OR(G870="C",G870="S",G870="U"),1,0)</f>
        <v>0</v>
      </c>
      <c r="AI870" s="5">
        <f>IF(ISNUMBER(H870),1,0)</f>
        <v>1</v>
      </c>
      <c r="AJ870" s="5">
        <f>IF(ISNUMBER(P870),1,0)</f>
        <v>0</v>
      </c>
      <c r="AK870" s="5">
        <f>IF(AI870=1,IF(J870&gt;0,1,0),"")</f>
        <v>0</v>
      </c>
      <c r="AL870" s="5" t="str">
        <f>IF(AJ870=1,IF(OR(Q870&gt;0,R870&gt;0),1,0),"")</f>
        <v/>
      </c>
    </row>
    <row r="871" spans="1:38">
      <c r="A871">
        <v>2078197</v>
      </c>
      <c r="B871" t="s">
        <v>937</v>
      </c>
      <c r="C871" t="s">
        <v>23</v>
      </c>
      <c r="D871" t="s">
        <v>33</v>
      </c>
      <c r="E871">
        <v>1</v>
      </c>
      <c r="F871">
        <v>120000</v>
      </c>
      <c r="H871">
        <v>1</v>
      </c>
      <c r="I871">
        <v>1</v>
      </c>
      <c r="J871">
        <v>0</v>
      </c>
      <c r="K871">
        <v>0</v>
      </c>
      <c r="L871">
        <v>0</v>
      </c>
      <c r="M871" t="s">
        <v>26</v>
      </c>
      <c r="N871">
        <v>0</v>
      </c>
      <c r="O871" t="s">
        <v>26</v>
      </c>
      <c r="P871" t="s">
        <v>26</v>
      </c>
      <c r="Q871" t="s">
        <v>26</v>
      </c>
      <c r="R871" t="s">
        <v>26</v>
      </c>
      <c r="S871" t="s">
        <v>26</v>
      </c>
      <c r="T871" t="s">
        <v>26</v>
      </c>
      <c r="U871" t="s">
        <v>26</v>
      </c>
      <c r="V871">
        <v>0</v>
      </c>
      <c r="W871">
        <f>E871/100</f>
        <v>0.01</v>
      </c>
      <c r="X871">
        <f>F871/1000000</f>
        <v>0.12</v>
      </c>
      <c r="Y871">
        <f>IF(D871="C",1,0)</f>
        <v>1</v>
      </c>
      <c r="Z871">
        <f>IF(G871="C",1,0)</f>
        <v>0</v>
      </c>
      <c r="AA871">
        <f>IF(G871="S",1,0)</f>
        <v>0</v>
      </c>
      <c r="AB871">
        <f>IF(G871="U",1,0)</f>
        <v>0</v>
      </c>
      <c r="AC871" s="5">
        <f>IF(AND(ISNUMBER(H871),NOT(ISNUMBER(P871))),1,0)</f>
        <v>1</v>
      </c>
      <c r="AD871" s="5">
        <f>IF(AND(ISNUMBER(H871),ISNUMBER(P871)),1,0)</f>
        <v>0</v>
      </c>
      <c r="AE871" s="5">
        <f>W871</f>
        <v>0.01</v>
      </c>
      <c r="AF871" s="5">
        <f>X871</f>
        <v>0.12</v>
      </c>
      <c r="AG871" s="5">
        <f>Y871</f>
        <v>1</v>
      </c>
      <c r="AH871" s="5">
        <f>IF(OR(G871="C",G871="S",G871="U"),1,0)</f>
        <v>0</v>
      </c>
      <c r="AI871" s="5">
        <f>IF(ISNUMBER(H871),1,0)</f>
        <v>1</v>
      </c>
      <c r="AJ871" s="5">
        <f>IF(ISNUMBER(P871),1,0)</f>
        <v>0</v>
      </c>
      <c r="AK871" s="5">
        <f>IF(AI871=1,IF(J871&gt;0,1,0),"")</f>
        <v>0</v>
      </c>
      <c r="AL871" s="5" t="str">
        <f>IF(AJ871=1,IF(OR(Q871&gt;0,R871&gt;0),1,0),"")</f>
        <v/>
      </c>
    </row>
    <row r="872" spans="1:38">
      <c r="A872">
        <v>2083596</v>
      </c>
      <c r="B872" t="s">
        <v>938</v>
      </c>
      <c r="C872" t="s">
        <v>159</v>
      </c>
      <c r="D872" t="s">
        <v>24</v>
      </c>
      <c r="E872">
        <v>14</v>
      </c>
      <c r="F872">
        <v>1322954</v>
      </c>
      <c r="H872">
        <v>1</v>
      </c>
      <c r="I872">
        <v>2</v>
      </c>
      <c r="J872">
        <v>1</v>
      </c>
      <c r="K872">
        <v>1</v>
      </c>
      <c r="L872">
        <v>0.5</v>
      </c>
      <c r="M872">
        <v>0.5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  <c r="S872" t="s">
        <v>26</v>
      </c>
      <c r="T872" t="s">
        <v>26</v>
      </c>
      <c r="U872" t="s">
        <v>26</v>
      </c>
      <c r="V872">
        <v>1</v>
      </c>
      <c r="W872">
        <f>E872/100</f>
        <v>0.14000000000000001</v>
      </c>
      <c r="X872">
        <f>F872/1000000</f>
        <v>1.322954</v>
      </c>
      <c r="Y872">
        <f>IF(D872="C",1,0)</f>
        <v>0</v>
      </c>
      <c r="Z872">
        <f>IF(G872="C",1,0)</f>
        <v>0</v>
      </c>
      <c r="AA872">
        <f>IF(G872="S",1,0)</f>
        <v>0</v>
      </c>
      <c r="AB872">
        <f>IF(G872="U",1,0)</f>
        <v>0</v>
      </c>
      <c r="AC872" s="5">
        <f>IF(AND(ISNUMBER(H872),NOT(ISNUMBER(P872))),1,0)</f>
        <v>1</v>
      </c>
      <c r="AD872" s="5">
        <f>IF(AND(ISNUMBER(H872),ISNUMBER(P872)),1,0)</f>
        <v>0</v>
      </c>
      <c r="AE872" s="5">
        <f>W872</f>
        <v>0.14000000000000001</v>
      </c>
      <c r="AF872" s="5">
        <f>X872</f>
        <v>1.322954</v>
      </c>
      <c r="AG872" s="5">
        <f>Y872</f>
        <v>0</v>
      </c>
      <c r="AH872" s="5">
        <f>IF(OR(G872="C",G872="S",G872="U"),1,0)</f>
        <v>0</v>
      </c>
      <c r="AI872" s="5">
        <f>IF(ISNUMBER(H872),1,0)</f>
        <v>1</v>
      </c>
      <c r="AJ872" s="5">
        <f>IF(ISNUMBER(P872),1,0)</f>
        <v>0</v>
      </c>
      <c r="AK872" s="5">
        <f>IF(AI872=1,IF(J872&gt;0,1,0),"")</f>
        <v>1</v>
      </c>
      <c r="AL872" s="5" t="str">
        <f>IF(AJ872=1,IF(OR(Q872&gt;0,R872&gt;0),1,0),"")</f>
        <v/>
      </c>
    </row>
    <row r="873" spans="1:38">
      <c r="A873">
        <v>2086355</v>
      </c>
      <c r="B873" t="s">
        <v>939</v>
      </c>
      <c r="C873" t="s">
        <v>23</v>
      </c>
      <c r="D873" t="s">
        <v>33</v>
      </c>
      <c r="E873">
        <v>10</v>
      </c>
      <c r="F873">
        <v>207997</v>
      </c>
      <c r="H873">
        <v>2</v>
      </c>
      <c r="I873">
        <v>0</v>
      </c>
      <c r="J873">
        <v>0</v>
      </c>
      <c r="K873">
        <v>0</v>
      </c>
      <c r="L873" t="s">
        <v>26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  <c r="S873" t="s">
        <v>26</v>
      </c>
      <c r="T873" t="s">
        <v>26</v>
      </c>
      <c r="U873" t="s">
        <v>26</v>
      </c>
      <c r="V873">
        <v>0</v>
      </c>
      <c r="W873">
        <f>E873/100</f>
        <v>0.1</v>
      </c>
      <c r="X873">
        <f>F873/1000000</f>
        <v>0.20799699999999999</v>
      </c>
      <c r="Y873">
        <f>IF(D873="C",1,0)</f>
        <v>1</v>
      </c>
      <c r="Z873">
        <f>IF(G873="C",1,0)</f>
        <v>0</v>
      </c>
      <c r="AA873">
        <f>IF(G873="S",1,0)</f>
        <v>0</v>
      </c>
      <c r="AB873">
        <f>IF(G873="U",1,0)</f>
        <v>0</v>
      </c>
      <c r="AC873" s="5">
        <f>IF(AND(ISNUMBER(H873),NOT(ISNUMBER(P873))),1,0)</f>
        <v>1</v>
      </c>
      <c r="AD873" s="5">
        <f>IF(AND(ISNUMBER(H873),ISNUMBER(P873)),1,0)</f>
        <v>0</v>
      </c>
      <c r="AE873" s="5">
        <f>W873</f>
        <v>0.1</v>
      </c>
      <c r="AF873" s="5">
        <f>X873</f>
        <v>0.20799699999999999</v>
      </c>
      <c r="AG873" s="5">
        <f>Y873</f>
        <v>1</v>
      </c>
      <c r="AH873" s="5">
        <f>IF(OR(G873="C",G873="S",G873="U"),1,0)</f>
        <v>0</v>
      </c>
      <c r="AI873" s="5">
        <f>IF(ISNUMBER(H873),1,0)</f>
        <v>1</v>
      </c>
      <c r="AJ873" s="5">
        <f>IF(ISNUMBER(P873),1,0)</f>
        <v>0</v>
      </c>
      <c r="AK873" s="5">
        <f>IF(AI873=1,IF(J873&gt;0,1,0),"")</f>
        <v>0</v>
      </c>
      <c r="AL873" s="5" t="str">
        <f>IF(AJ873=1,IF(OR(Q873&gt;0,R873&gt;0),1,0),"")</f>
        <v/>
      </c>
    </row>
    <row r="874" spans="1:38">
      <c r="A874">
        <v>2094686</v>
      </c>
      <c r="B874" t="s">
        <v>940</v>
      </c>
      <c r="C874" t="s">
        <v>82</v>
      </c>
      <c r="D874" t="s">
        <v>24</v>
      </c>
      <c r="E874">
        <v>6</v>
      </c>
      <c r="F874">
        <v>290000</v>
      </c>
      <c r="H874">
        <v>1</v>
      </c>
      <c r="I874">
        <v>0</v>
      </c>
      <c r="J874">
        <v>0</v>
      </c>
      <c r="K874">
        <v>0</v>
      </c>
      <c r="L874" t="s">
        <v>26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  <c r="S874" t="s">
        <v>26</v>
      </c>
      <c r="T874" t="s">
        <v>26</v>
      </c>
      <c r="U874" t="s">
        <v>26</v>
      </c>
      <c r="V874">
        <v>0</v>
      </c>
      <c r="W874">
        <f>E874/100</f>
        <v>0.06</v>
      </c>
      <c r="X874">
        <f>F874/1000000</f>
        <v>0.28999999999999998</v>
      </c>
      <c r="Y874">
        <f>IF(D874="C",1,0)</f>
        <v>0</v>
      </c>
      <c r="Z874">
        <f>IF(G874="C",1,0)</f>
        <v>0</v>
      </c>
      <c r="AA874">
        <f>IF(G874="S",1,0)</f>
        <v>0</v>
      </c>
      <c r="AB874">
        <f>IF(G874="U",1,0)</f>
        <v>0</v>
      </c>
      <c r="AC874" s="5">
        <f>IF(AND(ISNUMBER(H874),NOT(ISNUMBER(P874))),1,0)</f>
        <v>1</v>
      </c>
      <c r="AD874" s="5">
        <f>IF(AND(ISNUMBER(H874),ISNUMBER(P874)),1,0)</f>
        <v>0</v>
      </c>
      <c r="AE874" s="5">
        <f>W874</f>
        <v>0.06</v>
      </c>
      <c r="AF874" s="5">
        <f>X874</f>
        <v>0.28999999999999998</v>
      </c>
      <c r="AG874" s="5">
        <f>Y874</f>
        <v>0</v>
      </c>
      <c r="AH874" s="5">
        <f>IF(OR(G874="C",G874="S",G874="U"),1,0)</f>
        <v>0</v>
      </c>
      <c r="AI874" s="5">
        <f>IF(ISNUMBER(H874),1,0)</f>
        <v>1</v>
      </c>
      <c r="AJ874" s="5">
        <f>IF(ISNUMBER(P874),1,0)</f>
        <v>0</v>
      </c>
      <c r="AK874" s="5">
        <f>IF(AI874=1,IF(J874&gt;0,1,0),"")</f>
        <v>0</v>
      </c>
      <c r="AL874" s="5" t="str">
        <f>IF(AJ874=1,IF(OR(Q874&gt;0,R874&gt;0),1,0),"")</f>
        <v/>
      </c>
    </row>
    <row r="875" spans="1:38">
      <c r="A875">
        <v>2096913</v>
      </c>
      <c r="B875" t="s">
        <v>941</v>
      </c>
      <c r="C875" t="s">
        <v>23</v>
      </c>
      <c r="D875" t="s">
        <v>33</v>
      </c>
      <c r="E875">
        <v>2</v>
      </c>
      <c r="F875">
        <v>55000</v>
      </c>
      <c r="H875">
        <v>1</v>
      </c>
      <c r="I875">
        <v>2</v>
      </c>
      <c r="J875">
        <v>0</v>
      </c>
      <c r="K875">
        <v>0</v>
      </c>
      <c r="L875">
        <v>0</v>
      </c>
      <c r="M875">
        <v>0</v>
      </c>
      <c r="N875">
        <v>0</v>
      </c>
      <c r="O875" t="s">
        <v>26</v>
      </c>
      <c r="P875" t="s">
        <v>26</v>
      </c>
      <c r="Q875" t="s">
        <v>26</v>
      </c>
      <c r="R875" t="s">
        <v>26</v>
      </c>
      <c r="S875" t="s">
        <v>26</v>
      </c>
      <c r="T875" t="s">
        <v>26</v>
      </c>
      <c r="U875" t="s">
        <v>26</v>
      </c>
      <c r="V875">
        <v>0</v>
      </c>
      <c r="W875">
        <f>E875/100</f>
        <v>0.02</v>
      </c>
      <c r="X875">
        <f>F875/1000000</f>
        <v>5.5E-2</v>
      </c>
      <c r="Y875">
        <f>IF(D875="C",1,0)</f>
        <v>1</v>
      </c>
      <c r="Z875">
        <f>IF(G875="C",1,0)</f>
        <v>0</v>
      </c>
      <c r="AA875">
        <f>IF(G875="S",1,0)</f>
        <v>0</v>
      </c>
      <c r="AB875">
        <f>IF(G875="U",1,0)</f>
        <v>0</v>
      </c>
      <c r="AC875" s="5">
        <f>IF(AND(ISNUMBER(H875),NOT(ISNUMBER(P875))),1,0)</f>
        <v>1</v>
      </c>
      <c r="AD875" s="5">
        <f>IF(AND(ISNUMBER(H875),ISNUMBER(P875)),1,0)</f>
        <v>0</v>
      </c>
      <c r="AE875" s="5">
        <f>W875</f>
        <v>0.02</v>
      </c>
      <c r="AF875" s="5">
        <f>X875</f>
        <v>5.5E-2</v>
      </c>
      <c r="AG875" s="5">
        <f>Y875</f>
        <v>1</v>
      </c>
      <c r="AH875" s="5">
        <f>IF(OR(G875="C",G875="S",G875="U"),1,0)</f>
        <v>0</v>
      </c>
      <c r="AI875" s="5">
        <f>IF(ISNUMBER(H875),1,0)</f>
        <v>1</v>
      </c>
      <c r="AJ875" s="5">
        <f>IF(ISNUMBER(P875),1,0)</f>
        <v>0</v>
      </c>
      <c r="AK875" s="5">
        <f>IF(AI875=1,IF(J875&gt;0,1,0),"")</f>
        <v>0</v>
      </c>
      <c r="AL875" s="5" t="str">
        <f>IF(AJ875=1,IF(OR(Q875&gt;0,R875&gt;0),1,0),"")</f>
        <v/>
      </c>
    </row>
    <row r="876" spans="1:38">
      <c r="A876">
        <v>2099690</v>
      </c>
      <c r="B876" t="s">
        <v>942</v>
      </c>
      <c r="C876" t="s">
        <v>23</v>
      </c>
      <c r="D876" t="s">
        <v>33</v>
      </c>
      <c r="E876">
        <v>6</v>
      </c>
      <c r="F876">
        <v>92000</v>
      </c>
      <c r="H876">
        <v>1</v>
      </c>
      <c r="I876">
        <v>2</v>
      </c>
      <c r="J876">
        <v>0</v>
      </c>
      <c r="K876">
        <v>0</v>
      </c>
      <c r="L876">
        <v>0</v>
      </c>
      <c r="M876" t="s">
        <v>26</v>
      </c>
      <c r="N876">
        <v>0</v>
      </c>
      <c r="O876" t="s">
        <v>26</v>
      </c>
      <c r="P876" t="s">
        <v>26</v>
      </c>
      <c r="Q876" t="s">
        <v>26</v>
      </c>
      <c r="R876" t="s">
        <v>26</v>
      </c>
      <c r="S876" t="s">
        <v>26</v>
      </c>
      <c r="T876" t="s">
        <v>26</v>
      </c>
      <c r="U876" t="s">
        <v>26</v>
      </c>
      <c r="V876">
        <v>0</v>
      </c>
      <c r="W876">
        <f>E876/100</f>
        <v>0.06</v>
      </c>
      <c r="X876">
        <f>F876/1000000</f>
        <v>9.1999999999999998E-2</v>
      </c>
      <c r="Y876">
        <f>IF(D876="C",1,0)</f>
        <v>1</v>
      </c>
      <c r="Z876">
        <f>IF(G876="C",1,0)</f>
        <v>0</v>
      </c>
      <c r="AA876">
        <f>IF(G876="S",1,0)</f>
        <v>0</v>
      </c>
      <c r="AB876">
        <f>IF(G876="U",1,0)</f>
        <v>0</v>
      </c>
      <c r="AC876" s="5">
        <f>IF(AND(ISNUMBER(H876),NOT(ISNUMBER(P876))),1,0)</f>
        <v>1</v>
      </c>
      <c r="AD876" s="5">
        <f>IF(AND(ISNUMBER(H876),ISNUMBER(P876)),1,0)</f>
        <v>0</v>
      </c>
      <c r="AE876" s="5">
        <f>W876</f>
        <v>0.06</v>
      </c>
      <c r="AF876" s="5">
        <f>X876</f>
        <v>9.1999999999999998E-2</v>
      </c>
      <c r="AG876" s="5">
        <f>Y876</f>
        <v>1</v>
      </c>
      <c r="AH876" s="5">
        <f>IF(OR(G876="C",G876="S",G876="U"),1,0)</f>
        <v>0</v>
      </c>
      <c r="AI876" s="5">
        <f>IF(ISNUMBER(H876),1,0)</f>
        <v>1</v>
      </c>
      <c r="AJ876" s="5">
        <f>IF(ISNUMBER(P876),1,0)</f>
        <v>0</v>
      </c>
      <c r="AK876" s="5">
        <f>IF(AI876=1,IF(J876&gt;0,1,0),"")</f>
        <v>0</v>
      </c>
      <c r="AL876" s="5" t="str">
        <f>IF(AJ876=1,IF(OR(Q876&gt;0,R876&gt;0),1,0),"")</f>
        <v/>
      </c>
    </row>
    <row r="877" spans="1:38">
      <c r="A877">
        <v>2104115</v>
      </c>
      <c r="B877" t="s">
        <v>943</v>
      </c>
      <c r="C877" t="s">
        <v>23</v>
      </c>
      <c r="D877" t="s">
        <v>24</v>
      </c>
      <c r="E877">
        <v>141</v>
      </c>
      <c r="F877">
        <v>6900000</v>
      </c>
      <c r="H877">
        <v>1</v>
      </c>
      <c r="I877">
        <v>2</v>
      </c>
      <c r="J877">
        <v>0</v>
      </c>
      <c r="K877">
        <v>0</v>
      </c>
      <c r="L877">
        <v>0</v>
      </c>
      <c r="M877">
        <v>0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  <c r="S877" t="s">
        <v>26</v>
      </c>
      <c r="T877" t="s">
        <v>26</v>
      </c>
      <c r="U877" t="s">
        <v>26</v>
      </c>
      <c r="V877">
        <v>0</v>
      </c>
      <c r="W877">
        <f>E877/100</f>
        <v>1.41</v>
      </c>
      <c r="X877">
        <f>F877/1000000</f>
        <v>6.9</v>
      </c>
      <c r="Y877">
        <f>IF(D877="C",1,0)</f>
        <v>0</v>
      </c>
      <c r="Z877">
        <f>IF(G877="C",1,0)</f>
        <v>0</v>
      </c>
      <c r="AA877">
        <f>IF(G877="S",1,0)</f>
        <v>0</v>
      </c>
      <c r="AB877">
        <f>IF(G877="U",1,0)</f>
        <v>0</v>
      </c>
      <c r="AC877" s="5">
        <f>IF(AND(ISNUMBER(H877),NOT(ISNUMBER(P877))),1,0)</f>
        <v>1</v>
      </c>
      <c r="AD877" s="5">
        <f>IF(AND(ISNUMBER(H877),ISNUMBER(P877)),1,0)</f>
        <v>0</v>
      </c>
      <c r="AE877" s="5">
        <f>W877</f>
        <v>1.41</v>
      </c>
      <c r="AF877" s="5">
        <f>X877</f>
        <v>6.9</v>
      </c>
      <c r="AG877" s="5">
        <f>Y877</f>
        <v>0</v>
      </c>
      <c r="AH877" s="5">
        <f>IF(OR(G877="C",G877="S",G877="U"),1,0)</f>
        <v>0</v>
      </c>
      <c r="AI877" s="5">
        <f>IF(ISNUMBER(H877),1,0)</f>
        <v>1</v>
      </c>
      <c r="AJ877" s="5">
        <f>IF(ISNUMBER(P877),1,0)</f>
        <v>0</v>
      </c>
      <c r="AK877" s="5">
        <f>IF(AI877=1,IF(J877&gt;0,1,0),"")</f>
        <v>0</v>
      </c>
      <c r="AL877" s="5" t="str">
        <f>IF(AJ877=1,IF(OR(Q877&gt;0,R877&gt;0),1,0),"")</f>
        <v/>
      </c>
    </row>
    <row r="878" spans="1:38">
      <c r="A878">
        <v>2104445</v>
      </c>
      <c r="B878" t="s">
        <v>944</v>
      </c>
      <c r="C878" t="s">
        <v>23</v>
      </c>
      <c r="D878" t="s">
        <v>24</v>
      </c>
      <c r="E878">
        <v>1</v>
      </c>
      <c r="F878">
        <v>25512</v>
      </c>
      <c r="H878">
        <v>1</v>
      </c>
      <c r="I878">
        <v>0</v>
      </c>
      <c r="J878">
        <v>0</v>
      </c>
      <c r="K878">
        <v>0</v>
      </c>
      <c r="L878" t="s">
        <v>26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  <c r="S878" t="s">
        <v>26</v>
      </c>
      <c r="T878" t="s">
        <v>26</v>
      </c>
      <c r="U878" t="s">
        <v>26</v>
      </c>
      <c r="V878">
        <v>0</v>
      </c>
      <c r="W878">
        <f>E878/100</f>
        <v>0.01</v>
      </c>
      <c r="X878">
        <f>F878/1000000</f>
        <v>2.5512E-2</v>
      </c>
      <c r="Y878">
        <f>IF(D878="C",1,0)</f>
        <v>0</v>
      </c>
      <c r="Z878">
        <f>IF(G878="C",1,0)</f>
        <v>0</v>
      </c>
      <c r="AA878">
        <f>IF(G878="S",1,0)</f>
        <v>0</v>
      </c>
      <c r="AB878">
        <f>IF(G878="U",1,0)</f>
        <v>0</v>
      </c>
      <c r="AC878" s="5">
        <f>IF(AND(ISNUMBER(H878),NOT(ISNUMBER(P878))),1,0)</f>
        <v>1</v>
      </c>
      <c r="AD878" s="5">
        <f>IF(AND(ISNUMBER(H878),ISNUMBER(P878)),1,0)</f>
        <v>0</v>
      </c>
      <c r="AE878" s="5">
        <f>W878</f>
        <v>0.01</v>
      </c>
      <c r="AF878" s="5">
        <f>X878</f>
        <v>2.5512E-2</v>
      </c>
      <c r="AG878" s="5">
        <f>Y878</f>
        <v>0</v>
      </c>
      <c r="AH878" s="5">
        <f>IF(OR(G878="C",G878="S",G878="U"),1,0)</f>
        <v>0</v>
      </c>
      <c r="AI878" s="5">
        <f>IF(ISNUMBER(H878),1,0)</f>
        <v>1</v>
      </c>
      <c r="AJ878" s="5">
        <f>IF(ISNUMBER(P878),1,0)</f>
        <v>0</v>
      </c>
      <c r="AK878" s="5">
        <f>IF(AI878=1,IF(J878&gt;0,1,0),"")</f>
        <v>0</v>
      </c>
      <c r="AL878" s="5" t="str">
        <f>IF(AJ878=1,IF(OR(Q878&gt;0,R878&gt;0),1,0),"")</f>
        <v/>
      </c>
    </row>
    <row r="879" spans="1:38">
      <c r="A879">
        <v>2106560</v>
      </c>
      <c r="B879" t="s">
        <v>945</v>
      </c>
      <c r="C879" t="s">
        <v>23</v>
      </c>
      <c r="D879" t="s">
        <v>33</v>
      </c>
      <c r="E879">
        <v>1</v>
      </c>
      <c r="F879">
        <v>75000</v>
      </c>
      <c r="H879">
        <v>1</v>
      </c>
      <c r="I879">
        <v>0</v>
      </c>
      <c r="J879">
        <v>0</v>
      </c>
      <c r="K879">
        <v>0</v>
      </c>
      <c r="L879" t="s">
        <v>26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  <c r="S879" t="s">
        <v>26</v>
      </c>
      <c r="T879" t="s">
        <v>26</v>
      </c>
      <c r="U879" t="s">
        <v>26</v>
      </c>
      <c r="V879">
        <v>0</v>
      </c>
      <c r="W879">
        <f>E879/100</f>
        <v>0.01</v>
      </c>
      <c r="X879">
        <f>F879/1000000</f>
        <v>7.4999999999999997E-2</v>
      </c>
      <c r="Y879">
        <f>IF(D879="C",1,0)</f>
        <v>1</v>
      </c>
      <c r="Z879">
        <f>IF(G879="C",1,0)</f>
        <v>0</v>
      </c>
      <c r="AA879">
        <f>IF(G879="S",1,0)</f>
        <v>0</v>
      </c>
      <c r="AB879">
        <f>IF(G879="U",1,0)</f>
        <v>0</v>
      </c>
      <c r="AC879" s="5">
        <f>IF(AND(ISNUMBER(H879),NOT(ISNUMBER(P879))),1,0)</f>
        <v>1</v>
      </c>
      <c r="AD879" s="5">
        <f>IF(AND(ISNUMBER(H879),ISNUMBER(P879)),1,0)</f>
        <v>0</v>
      </c>
      <c r="AE879" s="5">
        <f>W879</f>
        <v>0.01</v>
      </c>
      <c r="AF879" s="5">
        <f>X879</f>
        <v>7.4999999999999997E-2</v>
      </c>
      <c r="AG879" s="5">
        <f>Y879</f>
        <v>1</v>
      </c>
      <c r="AH879" s="5">
        <f>IF(OR(G879="C",G879="S",G879="U"),1,0)</f>
        <v>0</v>
      </c>
      <c r="AI879" s="5">
        <f>IF(ISNUMBER(H879),1,0)</f>
        <v>1</v>
      </c>
      <c r="AJ879" s="5">
        <f>IF(ISNUMBER(P879),1,0)</f>
        <v>0</v>
      </c>
      <c r="AK879" s="5">
        <f>IF(AI879=1,IF(J879&gt;0,1,0),"")</f>
        <v>0</v>
      </c>
      <c r="AL879" s="5" t="str">
        <f>IF(AJ879=1,IF(OR(Q879&gt;0,R879&gt;0),1,0),"")</f>
        <v/>
      </c>
    </row>
    <row r="880" spans="1:38">
      <c r="A880">
        <v>2107516</v>
      </c>
      <c r="B880" t="s">
        <v>946</v>
      </c>
      <c r="C880" t="s">
        <v>23</v>
      </c>
      <c r="D880" t="s">
        <v>33</v>
      </c>
      <c r="E880">
        <v>1</v>
      </c>
      <c r="F880">
        <v>80000</v>
      </c>
      <c r="H880">
        <v>1</v>
      </c>
      <c r="I880">
        <v>0</v>
      </c>
      <c r="J880">
        <v>0</v>
      </c>
      <c r="K880">
        <v>0</v>
      </c>
      <c r="L880" t="s">
        <v>26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  <c r="S880" t="s">
        <v>26</v>
      </c>
      <c r="T880" t="s">
        <v>26</v>
      </c>
      <c r="U880" t="s">
        <v>26</v>
      </c>
      <c r="V880">
        <v>0</v>
      </c>
      <c r="W880">
        <f>E880/100</f>
        <v>0.01</v>
      </c>
      <c r="X880">
        <f>F880/1000000</f>
        <v>0.08</v>
      </c>
      <c r="Y880">
        <f>IF(D880="C",1,0)</f>
        <v>1</v>
      </c>
      <c r="Z880">
        <f>IF(G880="C",1,0)</f>
        <v>0</v>
      </c>
      <c r="AA880">
        <f>IF(G880="S",1,0)</f>
        <v>0</v>
      </c>
      <c r="AB880">
        <f>IF(G880="U",1,0)</f>
        <v>0</v>
      </c>
      <c r="AC880" s="5">
        <f>IF(AND(ISNUMBER(H880),NOT(ISNUMBER(P880))),1,0)</f>
        <v>1</v>
      </c>
      <c r="AD880" s="5">
        <f>IF(AND(ISNUMBER(H880),ISNUMBER(P880)),1,0)</f>
        <v>0</v>
      </c>
      <c r="AE880" s="5">
        <f>W880</f>
        <v>0.01</v>
      </c>
      <c r="AF880" s="5">
        <f>X880</f>
        <v>0.08</v>
      </c>
      <c r="AG880" s="5">
        <f>Y880</f>
        <v>1</v>
      </c>
      <c r="AH880" s="5">
        <f>IF(OR(G880="C",G880="S",G880="U"),1,0)</f>
        <v>0</v>
      </c>
      <c r="AI880" s="5">
        <f>IF(ISNUMBER(H880),1,0)</f>
        <v>1</v>
      </c>
      <c r="AJ880" s="5">
        <f>IF(ISNUMBER(P880),1,0)</f>
        <v>0</v>
      </c>
      <c r="AK880" s="5">
        <f>IF(AI880=1,IF(J880&gt;0,1,0),"")</f>
        <v>0</v>
      </c>
      <c r="AL880" s="5" t="str">
        <f>IF(AJ880=1,IF(OR(Q880&gt;0,R880&gt;0),1,0),"")</f>
        <v/>
      </c>
    </row>
    <row r="881" spans="1:38">
      <c r="A881">
        <v>2116172</v>
      </c>
      <c r="B881" t="s">
        <v>947</v>
      </c>
      <c r="C881" t="s">
        <v>23</v>
      </c>
      <c r="D881" t="s">
        <v>33</v>
      </c>
      <c r="E881">
        <v>30</v>
      </c>
      <c r="F881">
        <v>750000</v>
      </c>
      <c r="H881">
        <v>1</v>
      </c>
      <c r="I881">
        <v>0</v>
      </c>
      <c r="J881">
        <v>0</v>
      </c>
      <c r="K881">
        <v>0</v>
      </c>
      <c r="L881" t="s">
        <v>26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  <c r="S881" t="s">
        <v>26</v>
      </c>
      <c r="T881" t="s">
        <v>26</v>
      </c>
      <c r="U881" t="s">
        <v>26</v>
      </c>
      <c r="V881">
        <v>0</v>
      </c>
      <c r="W881">
        <f>E881/100</f>
        <v>0.3</v>
      </c>
      <c r="X881">
        <f>F881/1000000</f>
        <v>0.75</v>
      </c>
      <c r="Y881">
        <f>IF(D881="C",1,0)</f>
        <v>1</v>
      </c>
      <c r="Z881">
        <f>IF(G881="C",1,0)</f>
        <v>0</v>
      </c>
      <c r="AA881">
        <f>IF(G881="S",1,0)</f>
        <v>0</v>
      </c>
      <c r="AB881">
        <f>IF(G881="U",1,0)</f>
        <v>0</v>
      </c>
      <c r="AC881" s="5">
        <f>IF(AND(ISNUMBER(H881),NOT(ISNUMBER(P881))),1,0)</f>
        <v>1</v>
      </c>
      <c r="AD881" s="5">
        <f>IF(AND(ISNUMBER(H881),ISNUMBER(P881)),1,0)</f>
        <v>0</v>
      </c>
      <c r="AE881" s="5">
        <f>W881</f>
        <v>0.3</v>
      </c>
      <c r="AF881" s="5">
        <f>X881</f>
        <v>0.75</v>
      </c>
      <c r="AG881" s="5">
        <f>Y881</f>
        <v>1</v>
      </c>
      <c r="AH881" s="5">
        <f>IF(OR(G881="C",G881="S",G881="U"),1,0)</f>
        <v>0</v>
      </c>
      <c r="AI881" s="5">
        <f>IF(ISNUMBER(H881),1,0)</f>
        <v>1</v>
      </c>
      <c r="AJ881" s="5">
        <f>IF(ISNUMBER(P881),1,0)</f>
        <v>0</v>
      </c>
      <c r="AK881" s="5">
        <f>IF(AI881=1,IF(J881&gt;0,1,0),"")</f>
        <v>0</v>
      </c>
      <c r="AL881" s="5" t="str">
        <f>IF(AJ881=1,IF(OR(Q881&gt;0,R881&gt;0),1,0),"")</f>
        <v/>
      </c>
    </row>
    <row r="882" spans="1:38">
      <c r="A882">
        <v>2118877</v>
      </c>
      <c r="B882" t="s">
        <v>948</v>
      </c>
      <c r="C882" t="s">
        <v>23</v>
      </c>
      <c r="D882" t="s">
        <v>24</v>
      </c>
      <c r="E882">
        <v>95</v>
      </c>
      <c r="F882">
        <v>1080000</v>
      </c>
      <c r="H882">
        <v>1</v>
      </c>
      <c r="I882">
        <v>1</v>
      </c>
      <c r="J882">
        <v>1</v>
      </c>
      <c r="K882">
        <v>1</v>
      </c>
      <c r="L882">
        <v>1</v>
      </c>
      <c r="M882" t="s">
        <v>26</v>
      </c>
      <c r="N882">
        <v>1</v>
      </c>
      <c r="O882" t="s">
        <v>26</v>
      </c>
      <c r="P882" t="s">
        <v>26</v>
      </c>
      <c r="Q882" t="s">
        <v>26</v>
      </c>
      <c r="R882" t="s">
        <v>26</v>
      </c>
      <c r="S882" t="s">
        <v>26</v>
      </c>
      <c r="T882" t="s">
        <v>26</v>
      </c>
      <c r="U882" t="s">
        <v>26</v>
      </c>
      <c r="V882">
        <v>1</v>
      </c>
      <c r="W882">
        <f>E882/100</f>
        <v>0.95</v>
      </c>
      <c r="X882">
        <f>F882/1000000</f>
        <v>1.08</v>
      </c>
      <c r="Y882">
        <f>IF(D882="C",1,0)</f>
        <v>0</v>
      </c>
      <c r="Z882">
        <f>IF(G882="C",1,0)</f>
        <v>0</v>
      </c>
      <c r="AA882">
        <f>IF(G882="S",1,0)</f>
        <v>0</v>
      </c>
      <c r="AB882">
        <f>IF(G882="U",1,0)</f>
        <v>0</v>
      </c>
      <c r="AC882" s="5">
        <f>IF(AND(ISNUMBER(H882),NOT(ISNUMBER(P882))),1,0)</f>
        <v>1</v>
      </c>
      <c r="AD882" s="5">
        <f>IF(AND(ISNUMBER(H882),ISNUMBER(P882)),1,0)</f>
        <v>0</v>
      </c>
      <c r="AE882" s="5">
        <f>W882</f>
        <v>0.95</v>
      </c>
      <c r="AF882" s="5">
        <f>X882</f>
        <v>1.08</v>
      </c>
      <c r="AG882" s="5">
        <f>Y882</f>
        <v>0</v>
      </c>
      <c r="AH882" s="5">
        <f>IF(OR(G882="C",G882="S",G882="U"),1,0)</f>
        <v>0</v>
      </c>
      <c r="AI882" s="5">
        <f>IF(ISNUMBER(H882),1,0)</f>
        <v>1</v>
      </c>
      <c r="AJ882" s="5">
        <f>IF(ISNUMBER(P882),1,0)</f>
        <v>0</v>
      </c>
      <c r="AK882" s="5">
        <f>IF(AI882=1,IF(J882&gt;0,1,0),"")</f>
        <v>1</v>
      </c>
      <c r="AL882" s="5" t="str">
        <f>IF(AJ882=1,IF(OR(Q882&gt;0,R882&gt;0),1,0),"")</f>
        <v/>
      </c>
    </row>
    <row r="883" spans="1:38">
      <c r="A883">
        <v>2121686</v>
      </c>
      <c r="B883" t="s">
        <v>949</v>
      </c>
      <c r="C883" t="s">
        <v>23</v>
      </c>
      <c r="D883" t="s">
        <v>24</v>
      </c>
      <c r="E883">
        <v>1</v>
      </c>
      <c r="F883">
        <v>8546</v>
      </c>
      <c r="H883">
        <v>1</v>
      </c>
      <c r="I883">
        <v>1</v>
      </c>
      <c r="J883">
        <v>0</v>
      </c>
      <c r="K883">
        <v>0</v>
      </c>
      <c r="L883">
        <v>0</v>
      </c>
      <c r="M883" t="s">
        <v>26</v>
      </c>
      <c r="N883">
        <v>0</v>
      </c>
      <c r="O883" t="s">
        <v>26</v>
      </c>
      <c r="P883" t="s">
        <v>26</v>
      </c>
      <c r="Q883" t="s">
        <v>26</v>
      </c>
      <c r="R883" t="s">
        <v>26</v>
      </c>
      <c r="S883" t="s">
        <v>26</v>
      </c>
      <c r="T883" t="s">
        <v>26</v>
      </c>
      <c r="U883" t="s">
        <v>26</v>
      </c>
      <c r="V883">
        <v>0</v>
      </c>
      <c r="W883">
        <f>E883/100</f>
        <v>0.01</v>
      </c>
      <c r="X883">
        <f>F883/1000000</f>
        <v>8.5459999999999998E-3</v>
      </c>
      <c r="Y883">
        <f>IF(D883="C",1,0)</f>
        <v>0</v>
      </c>
      <c r="Z883">
        <f>IF(G883="C",1,0)</f>
        <v>0</v>
      </c>
      <c r="AA883">
        <f>IF(G883="S",1,0)</f>
        <v>0</v>
      </c>
      <c r="AB883">
        <f>IF(G883="U",1,0)</f>
        <v>0</v>
      </c>
      <c r="AC883" s="5">
        <f>IF(AND(ISNUMBER(H883),NOT(ISNUMBER(P883))),1,0)</f>
        <v>1</v>
      </c>
      <c r="AD883" s="5">
        <f>IF(AND(ISNUMBER(H883),ISNUMBER(P883)),1,0)</f>
        <v>0</v>
      </c>
      <c r="AE883" s="5">
        <f>W883</f>
        <v>0.01</v>
      </c>
      <c r="AF883" s="5">
        <f>X883</f>
        <v>8.5459999999999998E-3</v>
      </c>
      <c r="AG883" s="5">
        <f>Y883</f>
        <v>0</v>
      </c>
      <c r="AH883" s="5">
        <f>IF(OR(G883="C",G883="S",G883="U"),1,0)</f>
        <v>0</v>
      </c>
      <c r="AI883" s="5">
        <f>IF(ISNUMBER(H883),1,0)</f>
        <v>1</v>
      </c>
      <c r="AJ883" s="5">
        <f>IF(ISNUMBER(P883),1,0)</f>
        <v>0</v>
      </c>
      <c r="AK883" s="5">
        <f>IF(AI883=1,IF(J883&gt;0,1,0),"")</f>
        <v>0</v>
      </c>
      <c r="AL883" s="5" t="str">
        <f>IF(AJ883=1,IF(OR(Q883&gt;0,R883&gt;0),1,0),"")</f>
        <v/>
      </c>
    </row>
    <row r="884" spans="1:38">
      <c r="A884">
        <v>2121893</v>
      </c>
      <c r="B884" t="s">
        <v>950</v>
      </c>
      <c r="C884" t="s">
        <v>93</v>
      </c>
      <c r="D884" t="s">
        <v>24</v>
      </c>
      <c r="E884">
        <v>10</v>
      </c>
      <c r="F884">
        <v>100000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  <c r="S884" t="s">
        <v>26</v>
      </c>
      <c r="T884" t="s">
        <v>26</v>
      </c>
      <c r="U884" t="s">
        <v>26</v>
      </c>
      <c r="V884">
        <v>0</v>
      </c>
      <c r="W884">
        <f>E884/100</f>
        <v>0.1</v>
      </c>
      <c r="X884">
        <f>F884/1000000</f>
        <v>0.1</v>
      </c>
      <c r="Y884">
        <f>IF(D884="C",1,0)</f>
        <v>0</v>
      </c>
      <c r="Z884">
        <f>IF(G884="C",1,0)</f>
        <v>0</v>
      </c>
      <c r="AA884">
        <f>IF(G884="S",1,0)</f>
        <v>0</v>
      </c>
      <c r="AB884">
        <f>IF(G884="U",1,0)</f>
        <v>0</v>
      </c>
      <c r="AC884" s="5">
        <f>IF(AND(ISNUMBER(H884),NOT(ISNUMBER(P884))),1,0)</f>
        <v>1</v>
      </c>
      <c r="AD884" s="5">
        <f>IF(AND(ISNUMBER(H884),ISNUMBER(P884)),1,0)</f>
        <v>0</v>
      </c>
      <c r="AE884" s="5">
        <f>W884</f>
        <v>0.1</v>
      </c>
      <c r="AF884" s="5">
        <f>X884</f>
        <v>0.1</v>
      </c>
      <c r="AG884" s="5">
        <f>Y884</f>
        <v>0</v>
      </c>
      <c r="AH884" s="5">
        <f>IF(OR(G884="C",G884="S",G884="U"),1,0)</f>
        <v>0</v>
      </c>
      <c r="AI884" s="5">
        <f>IF(ISNUMBER(H884),1,0)</f>
        <v>1</v>
      </c>
      <c r="AJ884" s="5">
        <f>IF(ISNUMBER(P884),1,0)</f>
        <v>0</v>
      </c>
      <c r="AK884" s="5">
        <f>IF(AI884=1,IF(J884&gt;0,1,0),"")</f>
        <v>0</v>
      </c>
      <c r="AL884" s="5" t="str">
        <f>IF(AJ884=1,IF(OR(Q884&gt;0,R884&gt;0),1,0),"")</f>
        <v/>
      </c>
    </row>
    <row r="885" spans="1:38">
      <c r="A885">
        <v>2131211</v>
      </c>
      <c r="B885" t="s">
        <v>951</v>
      </c>
      <c r="C885" t="s">
        <v>23</v>
      </c>
      <c r="D885" t="s">
        <v>24</v>
      </c>
      <c r="E885">
        <v>12</v>
      </c>
      <c r="F885">
        <v>135000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  <c r="S885" t="s">
        <v>26</v>
      </c>
      <c r="T885" t="s">
        <v>26</v>
      </c>
      <c r="U885" t="s">
        <v>26</v>
      </c>
      <c r="V885">
        <v>0</v>
      </c>
      <c r="W885">
        <f>E885/100</f>
        <v>0.12</v>
      </c>
      <c r="X885">
        <f>F885/1000000</f>
        <v>0.13500000000000001</v>
      </c>
      <c r="Y885">
        <f>IF(D885="C",1,0)</f>
        <v>0</v>
      </c>
      <c r="Z885">
        <f>IF(G885="C",1,0)</f>
        <v>0</v>
      </c>
      <c r="AA885">
        <f>IF(G885="S",1,0)</f>
        <v>0</v>
      </c>
      <c r="AB885">
        <f>IF(G885="U",1,0)</f>
        <v>0</v>
      </c>
      <c r="AC885" s="5">
        <f>IF(AND(ISNUMBER(H885),NOT(ISNUMBER(P885))),1,0)</f>
        <v>1</v>
      </c>
      <c r="AD885" s="5">
        <f>IF(AND(ISNUMBER(H885),ISNUMBER(P885)),1,0)</f>
        <v>0</v>
      </c>
      <c r="AE885" s="5">
        <f>W885</f>
        <v>0.12</v>
      </c>
      <c r="AF885" s="5">
        <f>X885</f>
        <v>0.13500000000000001</v>
      </c>
      <c r="AG885" s="5">
        <f>Y885</f>
        <v>0</v>
      </c>
      <c r="AH885" s="5">
        <f>IF(OR(G885="C",G885="S",G885="U"),1,0)</f>
        <v>0</v>
      </c>
      <c r="AI885" s="5">
        <f>IF(ISNUMBER(H885),1,0)</f>
        <v>1</v>
      </c>
      <c r="AJ885" s="5">
        <f>IF(ISNUMBER(P885),1,0)</f>
        <v>0</v>
      </c>
      <c r="AK885" s="5">
        <f>IF(AI885=1,IF(J885&gt;0,1,0),"")</f>
        <v>0</v>
      </c>
      <c r="AL885" s="5" t="str">
        <f>IF(AJ885=1,IF(OR(Q885&gt;0,R885&gt;0),1,0),"")</f>
        <v/>
      </c>
    </row>
    <row r="886" spans="1:38">
      <c r="A886">
        <v>2136070</v>
      </c>
      <c r="B886" t="s">
        <v>952</v>
      </c>
      <c r="C886" t="s">
        <v>23</v>
      </c>
      <c r="D886" t="s">
        <v>24</v>
      </c>
      <c r="E886">
        <v>17</v>
      </c>
      <c r="F886">
        <v>791132</v>
      </c>
      <c r="H886">
        <v>1</v>
      </c>
      <c r="I886">
        <v>1</v>
      </c>
      <c r="J886">
        <v>0</v>
      </c>
      <c r="K886">
        <v>0</v>
      </c>
      <c r="L886">
        <v>0</v>
      </c>
      <c r="M886">
        <v>0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  <c r="S886" t="s">
        <v>26</v>
      </c>
      <c r="T886" t="s">
        <v>26</v>
      </c>
      <c r="U886" t="s">
        <v>26</v>
      </c>
      <c r="V886">
        <v>0</v>
      </c>
      <c r="W886">
        <f>E886/100</f>
        <v>0.17</v>
      </c>
      <c r="X886">
        <f>F886/1000000</f>
        <v>0.79113199999999995</v>
      </c>
      <c r="Y886">
        <f>IF(D886="C",1,0)</f>
        <v>0</v>
      </c>
      <c r="Z886">
        <f>IF(G886="C",1,0)</f>
        <v>0</v>
      </c>
      <c r="AA886">
        <f>IF(G886="S",1,0)</f>
        <v>0</v>
      </c>
      <c r="AB886">
        <f>IF(G886="U",1,0)</f>
        <v>0</v>
      </c>
      <c r="AC886" s="5">
        <f>IF(AND(ISNUMBER(H886),NOT(ISNUMBER(P886))),1,0)</f>
        <v>1</v>
      </c>
      <c r="AD886" s="5">
        <f>IF(AND(ISNUMBER(H886),ISNUMBER(P886)),1,0)</f>
        <v>0</v>
      </c>
      <c r="AE886" s="5">
        <f>W886</f>
        <v>0.17</v>
      </c>
      <c r="AF886" s="5">
        <f>X886</f>
        <v>0.79113199999999995</v>
      </c>
      <c r="AG886" s="5">
        <f>Y886</f>
        <v>0</v>
      </c>
      <c r="AH886" s="5">
        <f>IF(OR(G886="C",G886="S",G886="U"),1,0)</f>
        <v>0</v>
      </c>
      <c r="AI886" s="5">
        <f>IF(ISNUMBER(H886),1,0)</f>
        <v>1</v>
      </c>
      <c r="AJ886" s="5">
        <f>IF(ISNUMBER(P886),1,0)</f>
        <v>0</v>
      </c>
      <c r="AK886" s="5">
        <f>IF(AI886=1,IF(J886&gt;0,1,0),"")</f>
        <v>0</v>
      </c>
      <c r="AL886" s="5" t="str">
        <f>IF(AJ886=1,IF(OR(Q886&gt;0,R886&gt;0),1,0),"")</f>
        <v/>
      </c>
    </row>
    <row r="887" spans="1:38">
      <c r="A887">
        <v>2138611</v>
      </c>
      <c r="B887" t="s">
        <v>953</v>
      </c>
      <c r="C887" t="s">
        <v>23</v>
      </c>
      <c r="D887" t="s">
        <v>33</v>
      </c>
      <c r="E887">
        <v>2</v>
      </c>
      <c r="F887">
        <v>5000</v>
      </c>
      <c r="H887">
        <v>1</v>
      </c>
      <c r="I887">
        <v>1</v>
      </c>
      <c r="J887">
        <v>0</v>
      </c>
      <c r="K887">
        <v>0</v>
      </c>
      <c r="L887">
        <v>0</v>
      </c>
      <c r="M887">
        <v>0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  <c r="S887" t="s">
        <v>26</v>
      </c>
      <c r="T887" t="s">
        <v>26</v>
      </c>
      <c r="U887" t="s">
        <v>26</v>
      </c>
      <c r="V887">
        <v>0</v>
      </c>
      <c r="W887">
        <f>E887/100</f>
        <v>0.02</v>
      </c>
      <c r="X887">
        <f>F887/1000000</f>
        <v>5.0000000000000001E-3</v>
      </c>
      <c r="Y887">
        <f>IF(D887="C",1,0)</f>
        <v>1</v>
      </c>
      <c r="Z887">
        <f>IF(G887="C",1,0)</f>
        <v>0</v>
      </c>
      <c r="AA887">
        <f>IF(G887="S",1,0)</f>
        <v>0</v>
      </c>
      <c r="AB887">
        <f>IF(G887="U",1,0)</f>
        <v>0</v>
      </c>
      <c r="AC887" s="5">
        <f>IF(AND(ISNUMBER(H887),NOT(ISNUMBER(P887))),1,0)</f>
        <v>1</v>
      </c>
      <c r="AD887" s="5">
        <f>IF(AND(ISNUMBER(H887),ISNUMBER(P887)),1,0)</f>
        <v>0</v>
      </c>
      <c r="AE887" s="5">
        <f>W887</f>
        <v>0.02</v>
      </c>
      <c r="AF887" s="5">
        <f>X887</f>
        <v>5.0000000000000001E-3</v>
      </c>
      <c r="AG887" s="5">
        <f>Y887</f>
        <v>1</v>
      </c>
      <c r="AH887" s="5">
        <f>IF(OR(G887="C",G887="S",G887="U"),1,0)</f>
        <v>0</v>
      </c>
      <c r="AI887" s="5">
        <f>IF(ISNUMBER(H887),1,0)</f>
        <v>1</v>
      </c>
      <c r="AJ887" s="5">
        <f>IF(ISNUMBER(P887),1,0)</f>
        <v>0</v>
      </c>
      <c r="AK887" s="5">
        <f>IF(AI887=1,IF(J887&gt;0,1,0),"")</f>
        <v>0</v>
      </c>
      <c r="AL887" s="5" t="str">
        <f>IF(AJ887=1,IF(OR(Q887&gt;0,R887&gt;0),1,0),"")</f>
        <v/>
      </c>
    </row>
    <row r="888" spans="1:38">
      <c r="A888">
        <v>2138997</v>
      </c>
      <c r="B888" t="s">
        <v>954</v>
      </c>
      <c r="C888" t="s">
        <v>23</v>
      </c>
      <c r="D888" t="s">
        <v>24</v>
      </c>
      <c r="E888">
        <v>10</v>
      </c>
      <c r="F888">
        <v>85000</v>
      </c>
      <c r="H888">
        <v>1</v>
      </c>
      <c r="I888">
        <v>0</v>
      </c>
      <c r="J888">
        <v>0</v>
      </c>
      <c r="K888">
        <v>0</v>
      </c>
      <c r="L888" t="s">
        <v>26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  <c r="S888" t="s">
        <v>26</v>
      </c>
      <c r="T888" t="s">
        <v>26</v>
      </c>
      <c r="U888" t="s">
        <v>26</v>
      </c>
      <c r="V888">
        <v>0</v>
      </c>
      <c r="W888">
        <f>E888/100</f>
        <v>0.1</v>
      </c>
      <c r="X888">
        <f>F888/1000000</f>
        <v>8.5000000000000006E-2</v>
      </c>
      <c r="Y888">
        <f>IF(D888="C",1,0)</f>
        <v>0</v>
      </c>
      <c r="Z888">
        <f>IF(G888="C",1,0)</f>
        <v>0</v>
      </c>
      <c r="AA888">
        <f>IF(G888="S",1,0)</f>
        <v>0</v>
      </c>
      <c r="AB888">
        <f>IF(G888="U",1,0)</f>
        <v>0</v>
      </c>
      <c r="AC888" s="5">
        <f>IF(AND(ISNUMBER(H888),NOT(ISNUMBER(P888))),1,0)</f>
        <v>1</v>
      </c>
      <c r="AD888" s="5">
        <f>IF(AND(ISNUMBER(H888),ISNUMBER(P888)),1,0)</f>
        <v>0</v>
      </c>
      <c r="AE888" s="5">
        <f>W888</f>
        <v>0.1</v>
      </c>
      <c r="AF888" s="5">
        <f>X888</f>
        <v>8.5000000000000006E-2</v>
      </c>
      <c r="AG888" s="5">
        <f>Y888</f>
        <v>0</v>
      </c>
      <c r="AH888" s="5">
        <f>IF(OR(G888="C",G888="S",G888="U"),1,0)</f>
        <v>0</v>
      </c>
      <c r="AI888" s="5">
        <f>IF(ISNUMBER(H888),1,0)</f>
        <v>1</v>
      </c>
      <c r="AJ888" s="5">
        <f>IF(ISNUMBER(P888),1,0)</f>
        <v>0</v>
      </c>
      <c r="AK888" s="5">
        <f>IF(AI888=1,IF(J888&gt;0,1,0),"")</f>
        <v>0</v>
      </c>
      <c r="AL888" s="5" t="str">
        <f>IF(AJ888=1,IF(OR(Q888&gt;0,R888&gt;0),1,0),"")</f>
        <v/>
      </c>
    </row>
    <row r="889" spans="1:38">
      <c r="A889">
        <v>2141331</v>
      </c>
      <c r="B889" t="s">
        <v>955</v>
      </c>
      <c r="C889" t="s">
        <v>23</v>
      </c>
      <c r="D889" t="s">
        <v>33</v>
      </c>
      <c r="E889">
        <v>3</v>
      </c>
      <c r="F889">
        <v>60000</v>
      </c>
      <c r="H889">
        <v>1</v>
      </c>
      <c r="I889">
        <v>3</v>
      </c>
      <c r="J889">
        <v>0</v>
      </c>
      <c r="K889">
        <v>0</v>
      </c>
      <c r="L889">
        <v>0</v>
      </c>
      <c r="M889" t="s">
        <v>26</v>
      </c>
      <c r="N889">
        <v>0</v>
      </c>
      <c r="O889" t="s">
        <v>26</v>
      </c>
      <c r="P889" t="s">
        <v>26</v>
      </c>
      <c r="Q889" t="s">
        <v>26</v>
      </c>
      <c r="R889" t="s">
        <v>26</v>
      </c>
      <c r="S889" t="s">
        <v>26</v>
      </c>
      <c r="T889" t="s">
        <v>26</v>
      </c>
      <c r="U889" t="s">
        <v>26</v>
      </c>
      <c r="V889">
        <v>0</v>
      </c>
      <c r="W889">
        <f>E889/100</f>
        <v>0.03</v>
      </c>
      <c r="X889">
        <f>F889/1000000</f>
        <v>0.06</v>
      </c>
      <c r="Y889">
        <f>IF(D889="C",1,0)</f>
        <v>1</v>
      </c>
      <c r="Z889">
        <f>IF(G889="C",1,0)</f>
        <v>0</v>
      </c>
      <c r="AA889">
        <f>IF(G889="S",1,0)</f>
        <v>0</v>
      </c>
      <c r="AB889">
        <f>IF(G889="U",1,0)</f>
        <v>0</v>
      </c>
      <c r="AC889" s="5">
        <f>IF(AND(ISNUMBER(H889),NOT(ISNUMBER(P889))),1,0)</f>
        <v>1</v>
      </c>
      <c r="AD889" s="5">
        <f>IF(AND(ISNUMBER(H889),ISNUMBER(P889)),1,0)</f>
        <v>0</v>
      </c>
      <c r="AE889" s="5">
        <f>W889</f>
        <v>0.03</v>
      </c>
      <c r="AF889" s="5">
        <f>X889</f>
        <v>0.06</v>
      </c>
      <c r="AG889" s="5">
        <f>Y889</f>
        <v>1</v>
      </c>
      <c r="AH889" s="5">
        <f>IF(OR(G889="C",G889="S",G889="U"),1,0)</f>
        <v>0</v>
      </c>
      <c r="AI889" s="5">
        <f>IF(ISNUMBER(H889),1,0)</f>
        <v>1</v>
      </c>
      <c r="AJ889" s="5">
        <f>IF(ISNUMBER(P889),1,0)</f>
        <v>0</v>
      </c>
      <c r="AK889" s="5">
        <f>IF(AI889=1,IF(J889&gt;0,1,0),"")</f>
        <v>0</v>
      </c>
      <c r="AL889" s="5" t="str">
        <f>IF(AJ889=1,IF(OR(Q889&gt;0,R889&gt;0),1,0),"")</f>
        <v/>
      </c>
    </row>
    <row r="890" spans="1:38">
      <c r="A890">
        <v>2156924</v>
      </c>
      <c r="B890" t="s">
        <v>957</v>
      </c>
      <c r="C890" t="s">
        <v>23</v>
      </c>
      <c r="D890" t="s">
        <v>33</v>
      </c>
      <c r="E890">
        <v>9</v>
      </c>
      <c r="F890">
        <v>60000</v>
      </c>
      <c r="H890">
        <v>1</v>
      </c>
      <c r="I890">
        <v>0</v>
      </c>
      <c r="J890">
        <v>0</v>
      </c>
      <c r="K890">
        <v>0</v>
      </c>
      <c r="L890" t="s">
        <v>26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  <c r="S890" t="s">
        <v>26</v>
      </c>
      <c r="T890" t="s">
        <v>26</v>
      </c>
      <c r="U890" t="s">
        <v>26</v>
      </c>
      <c r="V890">
        <v>0</v>
      </c>
      <c r="W890">
        <f>E890/100</f>
        <v>0.09</v>
      </c>
      <c r="X890">
        <f>F890/1000000</f>
        <v>0.06</v>
      </c>
      <c r="Y890">
        <f>IF(D890="C",1,0)</f>
        <v>1</v>
      </c>
      <c r="Z890">
        <f>IF(G890="C",1,0)</f>
        <v>0</v>
      </c>
      <c r="AA890">
        <f>IF(G890="S",1,0)</f>
        <v>0</v>
      </c>
      <c r="AB890">
        <f>IF(G890="U",1,0)</f>
        <v>0</v>
      </c>
      <c r="AC890" s="5">
        <f>IF(AND(ISNUMBER(H890),NOT(ISNUMBER(P890))),1,0)</f>
        <v>1</v>
      </c>
      <c r="AD890" s="5">
        <f>IF(AND(ISNUMBER(H890),ISNUMBER(P890)),1,0)</f>
        <v>0</v>
      </c>
      <c r="AE890" s="5">
        <f>W890</f>
        <v>0.09</v>
      </c>
      <c r="AF890" s="5">
        <f>X890</f>
        <v>0.06</v>
      </c>
      <c r="AG890" s="5">
        <f>Y890</f>
        <v>1</v>
      </c>
      <c r="AH890" s="5">
        <f>IF(OR(G890="C",G890="S",G890="U"),1,0)</f>
        <v>0</v>
      </c>
      <c r="AI890" s="5">
        <f>IF(ISNUMBER(H890),1,0)</f>
        <v>1</v>
      </c>
      <c r="AJ890" s="5">
        <f>IF(ISNUMBER(P890),1,0)</f>
        <v>0</v>
      </c>
      <c r="AK890" s="5">
        <f>IF(AI890=1,IF(J890&gt;0,1,0),"")</f>
        <v>0</v>
      </c>
      <c r="AL890" s="5" t="str">
        <f>IF(AJ890=1,IF(OR(Q890&gt;0,R890&gt;0),1,0),"")</f>
        <v/>
      </c>
    </row>
    <row r="891" spans="1:38">
      <c r="A891">
        <v>2161033</v>
      </c>
      <c r="B891" t="s">
        <v>958</v>
      </c>
      <c r="C891" t="s">
        <v>23</v>
      </c>
      <c r="D891" t="s">
        <v>24</v>
      </c>
      <c r="E891">
        <v>11</v>
      </c>
      <c r="F891">
        <v>200000</v>
      </c>
      <c r="H891">
        <v>1</v>
      </c>
      <c r="I891">
        <v>0</v>
      </c>
      <c r="J891">
        <v>0</v>
      </c>
      <c r="K891">
        <v>0</v>
      </c>
      <c r="L891" t="s">
        <v>26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  <c r="S891" t="s">
        <v>26</v>
      </c>
      <c r="T891" t="s">
        <v>26</v>
      </c>
      <c r="U891" t="s">
        <v>26</v>
      </c>
      <c r="V891">
        <v>0</v>
      </c>
      <c r="W891">
        <f>E891/100</f>
        <v>0.11</v>
      </c>
      <c r="X891">
        <f>F891/1000000</f>
        <v>0.2</v>
      </c>
      <c r="Y891">
        <f>IF(D891="C",1,0)</f>
        <v>0</v>
      </c>
      <c r="Z891">
        <f>IF(G891="C",1,0)</f>
        <v>0</v>
      </c>
      <c r="AA891">
        <f>IF(G891="S",1,0)</f>
        <v>0</v>
      </c>
      <c r="AB891">
        <f>IF(G891="U",1,0)</f>
        <v>0</v>
      </c>
      <c r="AC891" s="5">
        <f>IF(AND(ISNUMBER(H891),NOT(ISNUMBER(P891))),1,0)</f>
        <v>1</v>
      </c>
      <c r="AD891" s="5">
        <f>IF(AND(ISNUMBER(H891),ISNUMBER(P891)),1,0)</f>
        <v>0</v>
      </c>
      <c r="AE891" s="5">
        <f>W891</f>
        <v>0.11</v>
      </c>
      <c r="AF891" s="5">
        <f>X891</f>
        <v>0.2</v>
      </c>
      <c r="AG891" s="5">
        <f>Y891</f>
        <v>0</v>
      </c>
      <c r="AH891" s="5">
        <f>IF(OR(G891="C",G891="S",G891="U"),1,0)</f>
        <v>0</v>
      </c>
      <c r="AI891" s="5">
        <f>IF(ISNUMBER(H891),1,0)</f>
        <v>1</v>
      </c>
      <c r="AJ891" s="5">
        <f>IF(ISNUMBER(P891),1,0)</f>
        <v>0</v>
      </c>
      <c r="AK891" s="5">
        <f>IF(AI891=1,IF(J891&gt;0,1,0),"")</f>
        <v>0</v>
      </c>
      <c r="AL891" s="5" t="str">
        <f>IF(AJ891=1,IF(OR(Q891&gt;0,R891&gt;0),1,0),"")</f>
        <v/>
      </c>
    </row>
    <row r="892" spans="1:38">
      <c r="A892">
        <v>2161312</v>
      </c>
      <c r="B892" t="s">
        <v>959</v>
      </c>
      <c r="C892" t="s">
        <v>23</v>
      </c>
      <c r="D892" t="s">
        <v>33</v>
      </c>
      <c r="E892">
        <v>2</v>
      </c>
      <c r="F892">
        <v>10000</v>
      </c>
      <c r="H892">
        <v>1</v>
      </c>
      <c r="I892">
        <v>9</v>
      </c>
      <c r="J892">
        <v>2</v>
      </c>
      <c r="K892">
        <v>1</v>
      </c>
      <c r="L892">
        <v>0.22220000000000001</v>
      </c>
      <c r="M892">
        <v>0</v>
      </c>
      <c r="N892">
        <v>0.28570000000000001</v>
      </c>
      <c r="O892" t="s">
        <v>26</v>
      </c>
      <c r="P892" t="s">
        <v>26</v>
      </c>
      <c r="Q892" t="s">
        <v>26</v>
      </c>
      <c r="R892" t="s">
        <v>26</v>
      </c>
      <c r="S892" t="s">
        <v>26</v>
      </c>
      <c r="T892" t="s">
        <v>26</v>
      </c>
      <c r="U892" t="s">
        <v>26</v>
      </c>
      <c r="V892">
        <v>1</v>
      </c>
      <c r="W892">
        <f>E892/100</f>
        <v>0.02</v>
      </c>
      <c r="X892">
        <f>F892/1000000</f>
        <v>0.01</v>
      </c>
      <c r="Y892">
        <f>IF(D892="C",1,0)</f>
        <v>1</v>
      </c>
      <c r="Z892">
        <f>IF(G892="C",1,0)</f>
        <v>0</v>
      </c>
      <c r="AA892">
        <f>IF(G892="S",1,0)</f>
        <v>0</v>
      </c>
      <c r="AB892">
        <f>IF(G892="U",1,0)</f>
        <v>0</v>
      </c>
      <c r="AC892" s="5">
        <f>IF(AND(ISNUMBER(H892),NOT(ISNUMBER(P892))),1,0)</f>
        <v>1</v>
      </c>
      <c r="AD892" s="5">
        <f>IF(AND(ISNUMBER(H892),ISNUMBER(P892)),1,0)</f>
        <v>0</v>
      </c>
      <c r="AE892" s="5">
        <f>W892</f>
        <v>0.02</v>
      </c>
      <c r="AF892" s="5">
        <f>X892</f>
        <v>0.01</v>
      </c>
      <c r="AG892" s="5">
        <f>Y892</f>
        <v>1</v>
      </c>
      <c r="AH892" s="5">
        <f>IF(OR(G892="C",G892="S",G892="U"),1,0)</f>
        <v>0</v>
      </c>
      <c r="AI892" s="5">
        <f>IF(ISNUMBER(H892),1,0)</f>
        <v>1</v>
      </c>
      <c r="AJ892" s="5">
        <f>IF(ISNUMBER(P892),1,0)</f>
        <v>0</v>
      </c>
      <c r="AK892" s="5">
        <f>IF(AI892=1,IF(J892&gt;0,1,0),"")</f>
        <v>1</v>
      </c>
      <c r="AL892" s="5" t="str">
        <f>IF(AJ892=1,IF(OR(Q892&gt;0,R892&gt;0),1,0),"")</f>
        <v/>
      </c>
    </row>
    <row r="893" spans="1:38">
      <c r="A893">
        <v>2162453</v>
      </c>
      <c r="B893" t="s">
        <v>960</v>
      </c>
      <c r="C893" t="s">
        <v>23</v>
      </c>
      <c r="D893" t="s">
        <v>24</v>
      </c>
      <c r="E893">
        <v>35</v>
      </c>
      <c r="F893">
        <v>1750232</v>
      </c>
      <c r="H893">
        <v>1</v>
      </c>
      <c r="I893">
        <v>4</v>
      </c>
      <c r="J893">
        <v>0</v>
      </c>
      <c r="K893">
        <v>0</v>
      </c>
      <c r="L893">
        <v>0</v>
      </c>
      <c r="M893" t="s">
        <v>26</v>
      </c>
      <c r="N893">
        <v>0</v>
      </c>
      <c r="O893" t="s">
        <v>26</v>
      </c>
      <c r="P893" t="s">
        <v>26</v>
      </c>
      <c r="Q893" t="s">
        <v>26</v>
      </c>
      <c r="R893" t="s">
        <v>26</v>
      </c>
      <c r="S893" t="s">
        <v>26</v>
      </c>
      <c r="T893" t="s">
        <v>26</v>
      </c>
      <c r="U893" t="s">
        <v>26</v>
      </c>
      <c r="V893">
        <v>0</v>
      </c>
      <c r="W893">
        <f>E893/100</f>
        <v>0.35</v>
      </c>
      <c r="X893">
        <f>F893/1000000</f>
        <v>1.750232</v>
      </c>
      <c r="Y893">
        <f>IF(D893="C",1,0)</f>
        <v>0</v>
      </c>
      <c r="Z893">
        <f>IF(G893="C",1,0)</f>
        <v>0</v>
      </c>
      <c r="AA893">
        <f>IF(G893="S",1,0)</f>
        <v>0</v>
      </c>
      <c r="AB893">
        <f>IF(G893="U",1,0)</f>
        <v>0</v>
      </c>
      <c r="AC893" s="5">
        <f>IF(AND(ISNUMBER(H893),NOT(ISNUMBER(P893))),1,0)</f>
        <v>1</v>
      </c>
      <c r="AD893" s="5">
        <f>IF(AND(ISNUMBER(H893),ISNUMBER(P893)),1,0)</f>
        <v>0</v>
      </c>
      <c r="AE893" s="5">
        <f>W893</f>
        <v>0.35</v>
      </c>
      <c r="AF893" s="5">
        <f>X893</f>
        <v>1.750232</v>
      </c>
      <c r="AG893" s="5">
        <f>Y893</f>
        <v>0</v>
      </c>
      <c r="AH893" s="5">
        <f>IF(OR(G893="C",G893="S",G893="U"),1,0)</f>
        <v>0</v>
      </c>
      <c r="AI893" s="5">
        <f>IF(ISNUMBER(H893),1,0)</f>
        <v>1</v>
      </c>
      <c r="AJ893" s="5">
        <f>IF(ISNUMBER(P893),1,0)</f>
        <v>0</v>
      </c>
      <c r="AK893" s="5">
        <f>IF(AI893=1,IF(J893&gt;0,1,0),"")</f>
        <v>0</v>
      </c>
      <c r="AL893" s="5" t="str">
        <f>IF(AJ893=1,IF(OR(Q893&gt;0,R893&gt;0),1,0),"")</f>
        <v/>
      </c>
    </row>
    <row r="894" spans="1:38">
      <c r="A894">
        <v>2163594</v>
      </c>
      <c r="B894" t="s">
        <v>961</v>
      </c>
      <c r="C894" t="s">
        <v>23</v>
      </c>
      <c r="D894" t="s">
        <v>24</v>
      </c>
      <c r="E894">
        <v>138</v>
      </c>
      <c r="F894">
        <v>578755</v>
      </c>
      <c r="H894">
        <v>1</v>
      </c>
      <c r="I894">
        <v>1</v>
      </c>
      <c r="J894">
        <v>0</v>
      </c>
      <c r="K894">
        <v>0</v>
      </c>
      <c r="L894">
        <v>0</v>
      </c>
      <c r="M894" t="s">
        <v>26</v>
      </c>
      <c r="N894">
        <v>0</v>
      </c>
      <c r="O894" t="s">
        <v>26</v>
      </c>
      <c r="P894" t="s">
        <v>26</v>
      </c>
      <c r="Q894" t="s">
        <v>26</v>
      </c>
      <c r="R894" t="s">
        <v>26</v>
      </c>
      <c r="S894" t="s">
        <v>26</v>
      </c>
      <c r="T894" t="s">
        <v>26</v>
      </c>
      <c r="U894" t="s">
        <v>26</v>
      </c>
      <c r="V894">
        <v>0</v>
      </c>
      <c r="W894">
        <f>E894/100</f>
        <v>1.38</v>
      </c>
      <c r="X894">
        <f>F894/1000000</f>
        <v>0.57875500000000002</v>
      </c>
      <c r="Y894">
        <f>IF(D894="C",1,0)</f>
        <v>0</v>
      </c>
      <c r="Z894">
        <f>IF(G894="C",1,0)</f>
        <v>0</v>
      </c>
      <c r="AA894">
        <f>IF(G894="S",1,0)</f>
        <v>0</v>
      </c>
      <c r="AB894">
        <f>IF(G894="U",1,0)</f>
        <v>0</v>
      </c>
      <c r="AC894" s="5">
        <f>IF(AND(ISNUMBER(H894),NOT(ISNUMBER(P894))),1,0)</f>
        <v>1</v>
      </c>
      <c r="AD894" s="5">
        <f>IF(AND(ISNUMBER(H894),ISNUMBER(P894)),1,0)</f>
        <v>0</v>
      </c>
      <c r="AE894" s="5">
        <f>W894</f>
        <v>1.38</v>
      </c>
      <c r="AF894" s="5">
        <f>X894</f>
        <v>0.57875500000000002</v>
      </c>
      <c r="AG894" s="5">
        <f>Y894</f>
        <v>0</v>
      </c>
      <c r="AH894" s="5">
        <f>IF(OR(G894="C",G894="S",G894="U"),1,0)</f>
        <v>0</v>
      </c>
      <c r="AI894" s="5">
        <f>IF(ISNUMBER(H894),1,0)</f>
        <v>1</v>
      </c>
      <c r="AJ894" s="5">
        <f>IF(ISNUMBER(P894),1,0)</f>
        <v>0</v>
      </c>
      <c r="AK894" s="5">
        <f>IF(AI894=1,IF(J894&gt;0,1,0),"")</f>
        <v>0</v>
      </c>
      <c r="AL894" s="5" t="str">
        <f>IF(AJ894=1,IF(OR(Q894&gt;0,R894&gt;0),1,0),"")</f>
        <v/>
      </c>
    </row>
    <row r="895" spans="1:38">
      <c r="A895">
        <v>2166592</v>
      </c>
      <c r="B895" t="s">
        <v>962</v>
      </c>
      <c r="C895" t="s">
        <v>23</v>
      </c>
      <c r="D895" t="s">
        <v>33</v>
      </c>
      <c r="E895">
        <v>1</v>
      </c>
      <c r="F895">
        <v>20000</v>
      </c>
      <c r="H895">
        <v>1</v>
      </c>
      <c r="I895">
        <v>4</v>
      </c>
      <c r="J895">
        <v>0</v>
      </c>
      <c r="K895">
        <v>0</v>
      </c>
      <c r="L895">
        <v>0</v>
      </c>
      <c r="M895" t="s">
        <v>26</v>
      </c>
      <c r="N895">
        <v>0</v>
      </c>
      <c r="O895" t="s">
        <v>26</v>
      </c>
      <c r="P895" t="s">
        <v>26</v>
      </c>
      <c r="Q895" t="s">
        <v>26</v>
      </c>
      <c r="R895" t="s">
        <v>26</v>
      </c>
      <c r="S895" t="s">
        <v>26</v>
      </c>
      <c r="T895" t="s">
        <v>26</v>
      </c>
      <c r="U895" t="s">
        <v>26</v>
      </c>
      <c r="V895">
        <v>0</v>
      </c>
      <c r="W895">
        <f>E895/100</f>
        <v>0.01</v>
      </c>
      <c r="X895">
        <f>F895/1000000</f>
        <v>0.02</v>
      </c>
      <c r="Y895">
        <f>IF(D895="C",1,0)</f>
        <v>1</v>
      </c>
      <c r="Z895">
        <f>IF(G895="C",1,0)</f>
        <v>0</v>
      </c>
      <c r="AA895">
        <f>IF(G895="S",1,0)</f>
        <v>0</v>
      </c>
      <c r="AB895">
        <f>IF(G895="U",1,0)</f>
        <v>0</v>
      </c>
      <c r="AC895" s="5">
        <f>IF(AND(ISNUMBER(H895),NOT(ISNUMBER(P895))),1,0)</f>
        <v>1</v>
      </c>
      <c r="AD895" s="5">
        <f>IF(AND(ISNUMBER(H895),ISNUMBER(P895)),1,0)</f>
        <v>0</v>
      </c>
      <c r="AE895" s="5">
        <f>W895</f>
        <v>0.01</v>
      </c>
      <c r="AF895" s="5">
        <f>X895</f>
        <v>0.02</v>
      </c>
      <c r="AG895" s="5">
        <f>Y895</f>
        <v>1</v>
      </c>
      <c r="AH895" s="5">
        <f>IF(OR(G895="C",G895="S",G895="U"),1,0)</f>
        <v>0</v>
      </c>
      <c r="AI895" s="5">
        <f>IF(ISNUMBER(H895),1,0)</f>
        <v>1</v>
      </c>
      <c r="AJ895" s="5">
        <f>IF(ISNUMBER(P895),1,0)</f>
        <v>0</v>
      </c>
      <c r="AK895" s="5">
        <f>IF(AI895=1,IF(J895&gt;0,1,0),"")</f>
        <v>0</v>
      </c>
      <c r="AL895" s="5" t="str">
        <f>IF(AJ895=1,IF(OR(Q895&gt;0,R895&gt;0),1,0),"")</f>
        <v/>
      </c>
    </row>
    <row r="896" spans="1:38">
      <c r="A896">
        <v>2171081</v>
      </c>
      <c r="B896" t="s">
        <v>963</v>
      </c>
      <c r="C896" t="s">
        <v>23</v>
      </c>
      <c r="D896" t="s">
        <v>24</v>
      </c>
      <c r="E896">
        <v>7</v>
      </c>
      <c r="F896">
        <v>134000</v>
      </c>
      <c r="H896">
        <v>1</v>
      </c>
      <c r="I896">
        <v>0</v>
      </c>
      <c r="J896">
        <v>0</v>
      </c>
      <c r="K896">
        <v>0</v>
      </c>
      <c r="L896" t="s">
        <v>26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  <c r="S896" t="s">
        <v>26</v>
      </c>
      <c r="T896" t="s">
        <v>26</v>
      </c>
      <c r="U896" t="s">
        <v>26</v>
      </c>
      <c r="V896">
        <v>0</v>
      </c>
      <c r="W896">
        <f>E896/100</f>
        <v>7.0000000000000007E-2</v>
      </c>
      <c r="X896">
        <f>F896/1000000</f>
        <v>0.13400000000000001</v>
      </c>
      <c r="Y896">
        <f>IF(D896="C",1,0)</f>
        <v>0</v>
      </c>
      <c r="Z896">
        <f>IF(G896="C",1,0)</f>
        <v>0</v>
      </c>
      <c r="AA896">
        <f>IF(G896="S",1,0)</f>
        <v>0</v>
      </c>
      <c r="AB896">
        <f>IF(G896="U",1,0)</f>
        <v>0</v>
      </c>
      <c r="AC896" s="5">
        <f>IF(AND(ISNUMBER(H896),NOT(ISNUMBER(P896))),1,0)</f>
        <v>1</v>
      </c>
      <c r="AD896" s="5">
        <f>IF(AND(ISNUMBER(H896),ISNUMBER(P896)),1,0)</f>
        <v>0</v>
      </c>
      <c r="AE896" s="5">
        <f>W896</f>
        <v>7.0000000000000007E-2</v>
      </c>
      <c r="AF896" s="5">
        <f>X896</f>
        <v>0.13400000000000001</v>
      </c>
      <c r="AG896" s="5">
        <f>Y896</f>
        <v>0</v>
      </c>
      <c r="AH896" s="5">
        <f>IF(OR(G896="C",G896="S",G896="U"),1,0)</f>
        <v>0</v>
      </c>
      <c r="AI896" s="5">
        <f>IF(ISNUMBER(H896),1,0)</f>
        <v>1</v>
      </c>
      <c r="AJ896" s="5">
        <f>IF(ISNUMBER(P896),1,0)</f>
        <v>0</v>
      </c>
      <c r="AK896" s="5">
        <f>IF(AI896=1,IF(J896&gt;0,1,0),"")</f>
        <v>0</v>
      </c>
      <c r="AL896" s="5" t="str">
        <f>IF(AJ896=1,IF(OR(Q896&gt;0,R896&gt;0),1,0),"")</f>
        <v/>
      </c>
    </row>
    <row r="897" spans="1:38">
      <c r="A897">
        <v>2171946</v>
      </c>
      <c r="B897" t="s">
        <v>964</v>
      </c>
      <c r="C897" t="s">
        <v>23</v>
      </c>
      <c r="D897" t="s">
        <v>33</v>
      </c>
      <c r="E897">
        <v>19</v>
      </c>
      <c r="F897">
        <v>100000</v>
      </c>
      <c r="H897">
        <v>2</v>
      </c>
      <c r="I897">
        <v>0</v>
      </c>
      <c r="J897">
        <v>0</v>
      </c>
      <c r="K897">
        <v>0</v>
      </c>
      <c r="L897" t="s">
        <v>26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  <c r="S897" t="s">
        <v>26</v>
      </c>
      <c r="T897" t="s">
        <v>26</v>
      </c>
      <c r="U897" t="s">
        <v>26</v>
      </c>
      <c r="V897">
        <v>0</v>
      </c>
      <c r="W897">
        <f>E897/100</f>
        <v>0.19</v>
      </c>
      <c r="X897">
        <f>F897/1000000</f>
        <v>0.1</v>
      </c>
      <c r="Y897">
        <f>IF(D897="C",1,0)</f>
        <v>1</v>
      </c>
      <c r="Z897">
        <f>IF(G897="C",1,0)</f>
        <v>0</v>
      </c>
      <c r="AA897">
        <f>IF(G897="S",1,0)</f>
        <v>0</v>
      </c>
      <c r="AB897">
        <f>IF(G897="U",1,0)</f>
        <v>0</v>
      </c>
      <c r="AC897" s="5">
        <f>IF(AND(ISNUMBER(H897),NOT(ISNUMBER(P897))),1,0)</f>
        <v>1</v>
      </c>
      <c r="AD897" s="5">
        <f>IF(AND(ISNUMBER(H897),ISNUMBER(P897)),1,0)</f>
        <v>0</v>
      </c>
      <c r="AE897" s="5">
        <f>W897</f>
        <v>0.19</v>
      </c>
      <c r="AF897" s="5">
        <f>X897</f>
        <v>0.1</v>
      </c>
      <c r="AG897" s="5">
        <f>Y897</f>
        <v>1</v>
      </c>
      <c r="AH897" s="5">
        <f>IF(OR(G897="C",G897="S",G897="U"),1,0)</f>
        <v>0</v>
      </c>
      <c r="AI897" s="5">
        <f>IF(ISNUMBER(H897),1,0)</f>
        <v>1</v>
      </c>
      <c r="AJ897" s="5">
        <f>IF(ISNUMBER(P897),1,0)</f>
        <v>0</v>
      </c>
      <c r="AK897" s="5">
        <f>IF(AI897=1,IF(J897&gt;0,1,0),"")</f>
        <v>0</v>
      </c>
      <c r="AL897" s="5" t="str">
        <f>IF(AJ897=1,IF(OR(Q897&gt;0,R897&gt;0),1,0),"")</f>
        <v/>
      </c>
    </row>
    <row r="898" spans="1:38">
      <c r="A898">
        <v>2175963</v>
      </c>
      <c r="B898" t="s">
        <v>965</v>
      </c>
      <c r="C898" t="s">
        <v>23</v>
      </c>
      <c r="D898" t="s">
        <v>33</v>
      </c>
      <c r="E898">
        <v>20</v>
      </c>
      <c r="F898">
        <v>65000</v>
      </c>
      <c r="H898">
        <v>1</v>
      </c>
      <c r="I898">
        <v>9</v>
      </c>
      <c r="J898">
        <v>2</v>
      </c>
      <c r="K898">
        <v>1</v>
      </c>
      <c r="L898">
        <v>0.22220000000000001</v>
      </c>
      <c r="M898" t="s">
        <v>26</v>
      </c>
      <c r="N898">
        <v>0.22220000000000001</v>
      </c>
      <c r="O898" t="s">
        <v>26</v>
      </c>
      <c r="P898" t="s">
        <v>26</v>
      </c>
      <c r="Q898" t="s">
        <v>26</v>
      </c>
      <c r="R898" t="s">
        <v>26</v>
      </c>
      <c r="S898" t="s">
        <v>26</v>
      </c>
      <c r="T898" t="s">
        <v>26</v>
      </c>
      <c r="U898" t="s">
        <v>26</v>
      </c>
      <c r="V898">
        <v>1</v>
      </c>
      <c r="W898">
        <f>E898/100</f>
        <v>0.2</v>
      </c>
      <c r="X898">
        <f>F898/1000000</f>
        <v>6.5000000000000002E-2</v>
      </c>
      <c r="Y898">
        <f>IF(D898="C",1,0)</f>
        <v>1</v>
      </c>
      <c r="Z898">
        <f>IF(G898="C",1,0)</f>
        <v>0</v>
      </c>
      <c r="AA898">
        <f>IF(G898="S",1,0)</f>
        <v>0</v>
      </c>
      <c r="AB898">
        <f>IF(G898="U",1,0)</f>
        <v>0</v>
      </c>
      <c r="AC898" s="5">
        <f>IF(AND(ISNUMBER(H898),NOT(ISNUMBER(P898))),1,0)</f>
        <v>1</v>
      </c>
      <c r="AD898" s="5">
        <f>IF(AND(ISNUMBER(H898),ISNUMBER(P898)),1,0)</f>
        <v>0</v>
      </c>
      <c r="AE898" s="5">
        <f>W898</f>
        <v>0.2</v>
      </c>
      <c r="AF898" s="5">
        <f>X898</f>
        <v>6.5000000000000002E-2</v>
      </c>
      <c r="AG898" s="5">
        <f>Y898</f>
        <v>1</v>
      </c>
      <c r="AH898" s="5">
        <f>IF(OR(G898="C",G898="S",G898="U"),1,0)</f>
        <v>0</v>
      </c>
      <c r="AI898" s="5">
        <f>IF(ISNUMBER(H898),1,0)</f>
        <v>1</v>
      </c>
      <c r="AJ898" s="5">
        <f>IF(ISNUMBER(P898),1,0)</f>
        <v>0</v>
      </c>
      <c r="AK898" s="5">
        <f>IF(AI898=1,IF(J898&gt;0,1,0),"")</f>
        <v>1</v>
      </c>
      <c r="AL898" s="5" t="str">
        <f>IF(AJ898=1,IF(OR(Q898&gt;0,R898&gt;0),1,0),"")</f>
        <v/>
      </c>
    </row>
    <row r="899" spans="1:38">
      <c r="A899">
        <v>2181665</v>
      </c>
      <c r="B899" t="s">
        <v>966</v>
      </c>
      <c r="C899" t="s">
        <v>23</v>
      </c>
      <c r="D899" t="s">
        <v>33</v>
      </c>
      <c r="E899">
        <v>1</v>
      </c>
      <c r="F899">
        <v>22500</v>
      </c>
      <c r="H899">
        <v>1</v>
      </c>
      <c r="I899">
        <v>1</v>
      </c>
      <c r="J899">
        <v>1</v>
      </c>
      <c r="K899">
        <v>1</v>
      </c>
      <c r="L899">
        <v>1</v>
      </c>
      <c r="M899" t="s">
        <v>26</v>
      </c>
      <c r="N899">
        <v>1</v>
      </c>
      <c r="O899" t="s">
        <v>26</v>
      </c>
      <c r="P899" t="s">
        <v>26</v>
      </c>
      <c r="Q899" t="s">
        <v>26</v>
      </c>
      <c r="R899" t="s">
        <v>26</v>
      </c>
      <c r="S899" t="s">
        <v>26</v>
      </c>
      <c r="T899" t="s">
        <v>26</v>
      </c>
      <c r="U899" t="s">
        <v>26</v>
      </c>
      <c r="V899">
        <v>1</v>
      </c>
      <c r="W899">
        <f>E899/100</f>
        <v>0.01</v>
      </c>
      <c r="X899">
        <f>F899/1000000</f>
        <v>2.2499999999999999E-2</v>
      </c>
      <c r="Y899">
        <f>IF(D899="C",1,0)</f>
        <v>1</v>
      </c>
      <c r="Z899">
        <f>IF(G899="C",1,0)</f>
        <v>0</v>
      </c>
      <c r="AA899">
        <f>IF(G899="S",1,0)</f>
        <v>0</v>
      </c>
      <c r="AB899">
        <f>IF(G899="U",1,0)</f>
        <v>0</v>
      </c>
      <c r="AC899" s="5">
        <f>IF(AND(ISNUMBER(H899),NOT(ISNUMBER(P899))),1,0)</f>
        <v>1</v>
      </c>
      <c r="AD899" s="5">
        <f>IF(AND(ISNUMBER(H899),ISNUMBER(P899)),1,0)</f>
        <v>0</v>
      </c>
      <c r="AE899" s="5">
        <f>W899</f>
        <v>0.01</v>
      </c>
      <c r="AF899" s="5">
        <f>X899</f>
        <v>2.2499999999999999E-2</v>
      </c>
      <c r="AG899" s="5">
        <f>Y899</f>
        <v>1</v>
      </c>
      <c r="AH899" s="5">
        <f>IF(OR(G899="C",G899="S",G899="U"),1,0)</f>
        <v>0</v>
      </c>
      <c r="AI899" s="5">
        <f>IF(ISNUMBER(H899),1,0)</f>
        <v>1</v>
      </c>
      <c r="AJ899" s="5">
        <f>IF(ISNUMBER(P899),1,0)</f>
        <v>0</v>
      </c>
      <c r="AK899" s="5">
        <f>IF(AI899=1,IF(J899&gt;0,1,0),"")</f>
        <v>1</v>
      </c>
      <c r="AL899" s="5" t="str">
        <f>IF(AJ899=1,IF(OR(Q899&gt;0,R899&gt;0),1,0),"")</f>
        <v/>
      </c>
    </row>
    <row r="900" spans="1:38">
      <c r="A900">
        <v>2200154</v>
      </c>
      <c r="B900" t="s">
        <v>967</v>
      </c>
      <c r="C900" t="s">
        <v>135</v>
      </c>
      <c r="D900" t="s">
        <v>24</v>
      </c>
      <c r="E900">
        <v>13</v>
      </c>
      <c r="F900">
        <v>1243800</v>
      </c>
      <c r="H900">
        <v>1</v>
      </c>
      <c r="I900">
        <v>4</v>
      </c>
      <c r="J900">
        <v>0</v>
      </c>
      <c r="K900">
        <v>0</v>
      </c>
      <c r="L900">
        <v>0</v>
      </c>
      <c r="M900">
        <v>0</v>
      </c>
      <c r="N900">
        <v>0</v>
      </c>
      <c r="O900" t="s">
        <v>26</v>
      </c>
      <c r="P900" t="s">
        <v>26</v>
      </c>
      <c r="Q900" t="s">
        <v>26</v>
      </c>
      <c r="R900" t="s">
        <v>26</v>
      </c>
      <c r="S900" t="s">
        <v>26</v>
      </c>
      <c r="T900" t="s">
        <v>26</v>
      </c>
      <c r="U900" t="s">
        <v>26</v>
      </c>
      <c r="V900">
        <v>0</v>
      </c>
      <c r="W900">
        <f>E900/100</f>
        <v>0.13</v>
      </c>
      <c r="X900">
        <f>F900/1000000</f>
        <v>1.2438</v>
      </c>
      <c r="Y900">
        <f>IF(D900="C",1,0)</f>
        <v>0</v>
      </c>
      <c r="Z900">
        <f>IF(G900="C",1,0)</f>
        <v>0</v>
      </c>
      <c r="AA900">
        <f>IF(G900="S",1,0)</f>
        <v>0</v>
      </c>
      <c r="AB900">
        <f>IF(G900="U",1,0)</f>
        <v>0</v>
      </c>
      <c r="AC900" s="5">
        <f>IF(AND(ISNUMBER(H900),NOT(ISNUMBER(P900))),1,0)</f>
        <v>1</v>
      </c>
      <c r="AD900" s="5">
        <f>IF(AND(ISNUMBER(H900),ISNUMBER(P900)),1,0)</f>
        <v>0</v>
      </c>
      <c r="AE900" s="5">
        <f>W900</f>
        <v>0.13</v>
      </c>
      <c r="AF900" s="5">
        <f>X900</f>
        <v>1.2438</v>
      </c>
      <c r="AG900" s="5">
        <f>Y900</f>
        <v>0</v>
      </c>
      <c r="AH900" s="5">
        <f>IF(OR(G900="C",G900="S",G900="U"),1,0)</f>
        <v>0</v>
      </c>
      <c r="AI900" s="5">
        <f>IF(ISNUMBER(H900),1,0)</f>
        <v>1</v>
      </c>
      <c r="AJ900" s="5">
        <f>IF(ISNUMBER(P900),1,0)</f>
        <v>0</v>
      </c>
      <c r="AK900" s="5">
        <f>IF(AI900=1,IF(J900&gt;0,1,0),"")</f>
        <v>0</v>
      </c>
      <c r="AL900" s="5" t="str">
        <f>IF(AJ900=1,IF(OR(Q900&gt;0,R900&gt;0),1,0),"")</f>
        <v/>
      </c>
    </row>
    <row r="901" spans="1:38">
      <c r="A901">
        <v>2203366</v>
      </c>
      <c r="B901" t="s">
        <v>968</v>
      </c>
      <c r="C901" t="s">
        <v>23</v>
      </c>
      <c r="D901" t="s">
        <v>24</v>
      </c>
      <c r="E901">
        <v>15</v>
      </c>
      <c r="F901">
        <v>72000</v>
      </c>
      <c r="H901">
        <v>1</v>
      </c>
      <c r="I901">
        <v>2</v>
      </c>
      <c r="J901">
        <v>0</v>
      </c>
      <c r="K901">
        <v>0</v>
      </c>
      <c r="L901">
        <v>0</v>
      </c>
      <c r="M901">
        <v>0</v>
      </c>
      <c r="N901">
        <v>0</v>
      </c>
      <c r="O901" t="s">
        <v>26</v>
      </c>
      <c r="P901" t="s">
        <v>26</v>
      </c>
      <c r="Q901" t="s">
        <v>26</v>
      </c>
      <c r="R901" t="s">
        <v>26</v>
      </c>
      <c r="S901" t="s">
        <v>26</v>
      </c>
      <c r="T901" t="s">
        <v>26</v>
      </c>
      <c r="U901" t="s">
        <v>26</v>
      </c>
      <c r="V901">
        <v>0</v>
      </c>
      <c r="W901">
        <f>E901/100</f>
        <v>0.15</v>
      </c>
      <c r="X901">
        <f>F901/1000000</f>
        <v>7.1999999999999995E-2</v>
      </c>
      <c r="Y901">
        <f>IF(D901="C",1,0)</f>
        <v>0</v>
      </c>
      <c r="Z901">
        <f>IF(G901="C",1,0)</f>
        <v>0</v>
      </c>
      <c r="AA901">
        <f>IF(G901="S",1,0)</f>
        <v>0</v>
      </c>
      <c r="AB901">
        <f>IF(G901="U",1,0)</f>
        <v>0</v>
      </c>
      <c r="AC901" s="5">
        <f>IF(AND(ISNUMBER(H901),NOT(ISNUMBER(P901))),1,0)</f>
        <v>1</v>
      </c>
      <c r="AD901" s="5">
        <f>IF(AND(ISNUMBER(H901),ISNUMBER(P901)),1,0)</f>
        <v>0</v>
      </c>
      <c r="AE901" s="5">
        <f>W901</f>
        <v>0.15</v>
      </c>
      <c r="AF901" s="5">
        <f>X901</f>
        <v>7.1999999999999995E-2</v>
      </c>
      <c r="AG901" s="5">
        <f>Y901</f>
        <v>0</v>
      </c>
      <c r="AH901" s="5">
        <f>IF(OR(G901="C",G901="S",G901="U"),1,0)</f>
        <v>0</v>
      </c>
      <c r="AI901" s="5">
        <f>IF(ISNUMBER(H901),1,0)</f>
        <v>1</v>
      </c>
      <c r="AJ901" s="5">
        <f>IF(ISNUMBER(P901),1,0)</f>
        <v>0</v>
      </c>
      <c r="AK901" s="5">
        <f>IF(AI901=1,IF(J901&gt;0,1,0),"")</f>
        <v>0</v>
      </c>
      <c r="AL901" s="5" t="str">
        <f>IF(AJ901=1,IF(OR(Q901&gt;0,R901&gt;0),1,0),"")</f>
        <v/>
      </c>
    </row>
    <row r="902" spans="1:38">
      <c r="A902">
        <v>2205089</v>
      </c>
      <c r="B902" t="s">
        <v>969</v>
      </c>
      <c r="C902" t="s">
        <v>82</v>
      </c>
      <c r="D902" t="s">
        <v>24</v>
      </c>
      <c r="E902">
        <v>21</v>
      </c>
      <c r="F902">
        <v>3318294</v>
      </c>
      <c r="H902">
        <v>1</v>
      </c>
      <c r="I902">
        <v>4</v>
      </c>
      <c r="J902">
        <v>0</v>
      </c>
      <c r="K902">
        <v>0</v>
      </c>
      <c r="L902">
        <v>0</v>
      </c>
      <c r="M902">
        <v>0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  <c r="S902" t="s">
        <v>26</v>
      </c>
      <c r="T902" t="s">
        <v>26</v>
      </c>
      <c r="U902" t="s">
        <v>26</v>
      </c>
      <c r="V902">
        <v>0</v>
      </c>
      <c r="W902">
        <f>E902/100</f>
        <v>0.21</v>
      </c>
      <c r="X902">
        <f>F902/1000000</f>
        <v>3.3182939999999999</v>
      </c>
      <c r="Y902">
        <f>IF(D902="C",1,0)</f>
        <v>0</v>
      </c>
      <c r="Z902">
        <f>IF(G902="C",1,0)</f>
        <v>0</v>
      </c>
      <c r="AA902">
        <f>IF(G902="S",1,0)</f>
        <v>0</v>
      </c>
      <c r="AB902">
        <f>IF(G902="U",1,0)</f>
        <v>0</v>
      </c>
      <c r="AC902" s="5">
        <f>IF(AND(ISNUMBER(H902),NOT(ISNUMBER(P902))),1,0)</f>
        <v>1</v>
      </c>
      <c r="AD902" s="5">
        <f>IF(AND(ISNUMBER(H902),ISNUMBER(P902)),1,0)</f>
        <v>0</v>
      </c>
      <c r="AE902" s="5">
        <f>W902</f>
        <v>0.21</v>
      </c>
      <c r="AF902" s="5">
        <f>X902</f>
        <v>3.3182939999999999</v>
      </c>
      <c r="AG902" s="5">
        <f>Y902</f>
        <v>0</v>
      </c>
      <c r="AH902" s="5">
        <f>IF(OR(G902="C",G902="S",G902="U"),1,0)</f>
        <v>0</v>
      </c>
      <c r="AI902" s="5">
        <f>IF(ISNUMBER(H902),1,0)</f>
        <v>1</v>
      </c>
      <c r="AJ902" s="5">
        <f>IF(ISNUMBER(P902),1,0)</f>
        <v>0</v>
      </c>
      <c r="AK902" s="5">
        <f>IF(AI902=1,IF(J902&gt;0,1,0),"")</f>
        <v>0</v>
      </c>
      <c r="AL902" s="5" t="str">
        <f>IF(AJ902=1,IF(OR(Q902&gt;0,R902&gt;0),1,0),"")</f>
        <v/>
      </c>
    </row>
    <row r="903" spans="1:38">
      <c r="A903">
        <v>2256842</v>
      </c>
      <c r="B903" t="s">
        <v>970</v>
      </c>
      <c r="C903" t="s">
        <v>23</v>
      </c>
      <c r="D903" t="s">
        <v>33</v>
      </c>
      <c r="E903">
        <v>47</v>
      </c>
      <c r="F903">
        <v>872000</v>
      </c>
      <c r="H903">
        <v>1</v>
      </c>
      <c r="I903">
        <v>3</v>
      </c>
      <c r="J903">
        <v>0</v>
      </c>
      <c r="K903">
        <v>0</v>
      </c>
      <c r="L903">
        <v>0</v>
      </c>
      <c r="M903" t="s">
        <v>26</v>
      </c>
      <c r="N903">
        <v>0</v>
      </c>
      <c r="O903" t="s">
        <v>26</v>
      </c>
      <c r="P903" t="s">
        <v>26</v>
      </c>
      <c r="Q903" t="s">
        <v>26</v>
      </c>
      <c r="R903" t="s">
        <v>26</v>
      </c>
      <c r="S903" t="s">
        <v>26</v>
      </c>
      <c r="T903" t="s">
        <v>26</v>
      </c>
      <c r="U903" t="s">
        <v>26</v>
      </c>
      <c r="V903">
        <v>0</v>
      </c>
      <c r="W903">
        <f>E903/100</f>
        <v>0.47</v>
      </c>
      <c r="X903">
        <f>F903/1000000</f>
        <v>0.872</v>
      </c>
      <c r="Y903">
        <f>IF(D903="C",1,0)</f>
        <v>1</v>
      </c>
      <c r="Z903">
        <f>IF(G903="C",1,0)</f>
        <v>0</v>
      </c>
      <c r="AA903">
        <f>IF(G903="S",1,0)</f>
        <v>0</v>
      </c>
      <c r="AB903">
        <f>IF(G903="U",1,0)</f>
        <v>0</v>
      </c>
      <c r="AC903" s="5">
        <f>IF(AND(ISNUMBER(H903),NOT(ISNUMBER(P903))),1,0)</f>
        <v>1</v>
      </c>
      <c r="AD903" s="5">
        <f>IF(AND(ISNUMBER(H903),ISNUMBER(P903)),1,0)</f>
        <v>0</v>
      </c>
      <c r="AE903" s="5">
        <f>W903</f>
        <v>0.47</v>
      </c>
      <c r="AF903" s="5">
        <f>X903</f>
        <v>0.872</v>
      </c>
      <c r="AG903" s="5">
        <f>Y903</f>
        <v>1</v>
      </c>
      <c r="AH903" s="5">
        <f>IF(OR(G903="C",G903="S",G903="U"),1,0)</f>
        <v>0</v>
      </c>
      <c r="AI903" s="5">
        <f>IF(ISNUMBER(H903),1,0)</f>
        <v>1</v>
      </c>
      <c r="AJ903" s="5">
        <f>IF(ISNUMBER(P903),1,0)</f>
        <v>0</v>
      </c>
      <c r="AK903" s="5">
        <f>IF(AI903=1,IF(J903&gt;0,1,0),"")</f>
        <v>0</v>
      </c>
      <c r="AL903" s="5" t="str">
        <f>IF(AJ903=1,IF(OR(Q903&gt;0,R903&gt;0),1,0),"")</f>
        <v/>
      </c>
    </row>
    <row r="904" spans="1:38">
      <c r="A904">
        <v>2265564</v>
      </c>
      <c r="B904" t="s">
        <v>971</v>
      </c>
      <c r="C904" t="s">
        <v>23</v>
      </c>
      <c r="D904" t="s">
        <v>24</v>
      </c>
      <c r="E904">
        <v>7</v>
      </c>
      <c r="F904">
        <v>80000</v>
      </c>
      <c r="H904">
        <v>1</v>
      </c>
      <c r="I904">
        <v>0</v>
      </c>
      <c r="J904">
        <v>0</v>
      </c>
      <c r="K904">
        <v>0</v>
      </c>
      <c r="L904" t="s">
        <v>26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  <c r="S904" t="s">
        <v>26</v>
      </c>
      <c r="T904" t="s">
        <v>26</v>
      </c>
      <c r="U904" t="s">
        <v>26</v>
      </c>
      <c r="V904">
        <v>0</v>
      </c>
      <c r="W904">
        <f>E904/100</f>
        <v>7.0000000000000007E-2</v>
      </c>
      <c r="X904">
        <f>F904/1000000</f>
        <v>0.08</v>
      </c>
      <c r="Y904">
        <f>IF(D904="C",1,0)</f>
        <v>0</v>
      </c>
      <c r="Z904">
        <f>IF(G904="C",1,0)</f>
        <v>0</v>
      </c>
      <c r="AA904">
        <f>IF(G904="S",1,0)</f>
        <v>0</v>
      </c>
      <c r="AB904">
        <f>IF(G904="U",1,0)</f>
        <v>0</v>
      </c>
      <c r="AC904" s="5">
        <f>IF(AND(ISNUMBER(H904),NOT(ISNUMBER(P904))),1,0)</f>
        <v>1</v>
      </c>
      <c r="AD904" s="5">
        <f>IF(AND(ISNUMBER(H904),ISNUMBER(P904)),1,0)</f>
        <v>0</v>
      </c>
      <c r="AE904" s="5">
        <f>W904</f>
        <v>7.0000000000000007E-2</v>
      </c>
      <c r="AF904" s="5">
        <f>X904</f>
        <v>0.08</v>
      </c>
      <c r="AG904" s="5">
        <f>Y904</f>
        <v>0</v>
      </c>
      <c r="AH904" s="5">
        <f>IF(OR(G904="C",G904="S",G904="U"),1,0)</f>
        <v>0</v>
      </c>
      <c r="AI904" s="5">
        <f>IF(ISNUMBER(H904),1,0)</f>
        <v>1</v>
      </c>
      <c r="AJ904" s="5">
        <f>IF(ISNUMBER(P904),1,0)</f>
        <v>0</v>
      </c>
      <c r="AK904" s="5">
        <f>IF(AI904=1,IF(J904&gt;0,1,0),"")</f>
        <v>0</v>
      </c>
      <c r="AL904" s="5" t="str">
        <f>IF(AJ904=1,IF(OR(Q904&gt;0,R904&gt;0),1,0),"")</f>
        <v/>
      </c>
    </row>
    <row r="905" spans="1:38">
      <c r="A905">
        <v>2266557</v>
      </c>
      <c r="B905" t="s">
        <v>972</v>
      </c>
      <c r="C905" t="s">
        <v>37</v>
      </c>
      <c r="D905" t="s">
        <v>33</v>
      </c>
      <c r="E905">
        <v>4</v>
      </c>
      <c r="F905">
        <v>30000</v>
      </c>
      <c r="H905">
        <v>1</v>
      </c>
      <c r="I905">
        <v>0</v>
      </c>
      <c r="J905">
        <v>0</v>
      </c>
      <c r="K905">
        <v>0</v>
      </c>
      <c r="L905" t="s">
        <v>26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  <c r="S905" t="s">
        <v>26</v>
      </c>
      <c r="T905" t="s">
        <v>26</v>
      </c>
      <c r="U905" t="s">
        <v>26</v>
      </c>
      <c r="V905">
        <v>0</v>
      </c>
      <c r="W905">
        <f>E905/100</f>
        <v>0.04</v>
      </c>
      <c r="X905">
        <f>F905/1000000</f>
        <v>0.03</v>
      </c>
      <c r="Y905">
        <f>IF(D905="C",1,0)</f>
        <v>1</v>
      </c>
      <c r="Z905">
        <f>IF(G905="C",1,0)</f>
        <v>0</v>
      </c>
      <c r="AA905">
        <f>IF(G905="S",1,0)</f>
        <v>0</v>
      </c>
      <c r="AB905">
        <f>IF(G905="U",1,0)</f>
        <v>0</v>
      </c>
      <c r="AC905" s="5">
        <f>IF(AND(ISNUMBER(H905),NOT(ISNUMBER(P905))),1,0)</f>
        <v>1</v>
      </c>
      <c r="AD905" s="5">
        <f>IF(AND(ISNUMBER(H905),ISNUMBER(P905)),1,0)</f>
        <v>0</v>
      </c>
      <c r="AE905" s="5">
        <f>W905</f>
        <v>0.04</v>
      </c>
      <c r="AF905" s="5">
        <f>X905</f>
        <v>0.03</v>
      </c>
      <c r="AG905" s="5">
        <f>Y905</f>
        <v>1</v>
      </c>
      <c r="AH905" s="5">
        <f>IF(OR(G905="C",G905="S",G905="U"),1,0)</f>
        <v>0</v>
      </c>
      <c r="AI905" s="5">
        <f>IF(ISNUMBER(H905),1,0)</f>
        <v>1</v>
      </c>
      <c r="AJ905" s="5">
        <f>IF(ISNUMBER(P905),1,0)</f>
        <v>0</v>
      </c>
      <c r="AK905" s="5">
        <f>IF(AI905=1,IF(J905&gt;0,1,0),"")</f>
        <v>0</v>
      </c>
      <c r="AL905" s="5" t="str">
        <f>IF(AJ905=1,IF(OR(Q905&gt;0,R905&gt;0),1,0),"")</f>
        <v/>
      </c>
    </row>
    <row r="906" spans="1:38">
      <c r="A906">
        <v>2283400</v>
      </c>
      <c r="B906" t="s">
        <v>973</v>
      </c>
      <c r="C906" t="s">
        <v>37</v>
      </c>
      <c r="D906" t="s">
        <v>24</v>
      </c>
      <c r="E906">
        <v>147</v>
      </c>
      <c r="F906">
        <v>6585055</v>
      </c>
      <c r="G906" t="s">
        <v>33</v>
      </c>
      <c r="H906">
        <v>2</v>
      </c>
      <c r="I906">
        <v>0</v>
      </c>
      <c r="J906">
        <v>0</v>
      </c>
      <c r="K906">
        <v>0</v>
      </c>
      <c r="L906" t="s">
        <v>26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  <c r="S906" t="s">
        <v>26</v>
      </c>
      <c r="T906" t="s">
        <v>26</v>
      </c>
      <c r="U906" t="s">
        <v>26</v>
      </c>
      <c r="V906">
        <v>0</v>
      </c>
      <c r="W906">
        <f>E906/100</f>
        <v>1.47</v>
      </c>
      <c r="X906">
        <f>F906/1000000</f>
        <v>6.5850549999999997</v>
      </c>
      <c r="Y906">
        <f>IF(D906="C",1,0)</f>
        <v>0</v>
      </c>
      <c r="Z906">
        <f>IF(G906="C",1,0)</f>
        <v>1</v>
      </c>
      <c r="AA906">
        <f>IF(G906="S",1,0)</f>
        <v>0</v>
      </c>
      <c r="AB906">
        <f>IF(G906="U",1,0)</f>
        <v>0</v>
      </c>
      <c r="AC906" s="5">
        <f>IF(AND(ISNUMBER(H906),NOT(ISNUMBER(P906))),1,0)</f>
        <v>1</v>
      </c>
      <c r="AD906" s="5">
        <f>IF(AND(ISNUMBER(H906),ISNUMBER(P906)),1,0)</f>
        <v>0</v>
      </c>
      <c r="AE906" s="5">
        <f>W906</f>
        <v>1.47</v>
      </c>
      <c r="AF906" s="5">
        <f>X906</f>
        <v>6.5850549999999997</v>
      </c>
      <c r="AG906" s="5">
        <f>Y906</f>
        <v>0</v>
      </c>
      <c r="AH906" s="5">
        <f>IF(OR(G906="C",G906="S",G906="U"),1,0)</f>
        <v>1</v>
      </c>
      <c r="AI906" s="5">
        <f>IF(ISNUMBER(H906),1,0)</f>
        <v>1</v>
      </c>
      <c r="AJ906" s="5">
        <f>IF(ISNUMBER(P906),1,0)</f>
        <v>0</v>
      </c>
      <c r="AK906" s="5">
        <f>IF(AI906=1,IF(J906&gt;0,1,0),"")</f>
        <v>0</v>
      </c>
      <c r="AL906" s="5" t="str">
        <f>IF(AJ906=1,IF(OR(Q906&gt;0,R906&gt;0),1,0),"")</f>
        <v/>
      </c>
    </row>
    <row r="907" spans="1:38">
      <c r="A907">
        <v>2287947</v>
      </c>
      <c r="B907" t="s">
        <v>974</v>
      </c>
      <c r="C907" t="s">
        <v>37</v>
      </c>
      <c r="D907" t="s">
        <v>24</v>
      </c>
      <c r="E907">
        <v>8</v>
      </c>
      <c r="F907">
        <v>280000</v>
      </c>
      <c r="G907" t="s">
        <v>25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  <c r="S907" t="s">
        <v>26</v>
      </c>
      <c r="T907" t="s">
        <v>26</v>
      </c>
      <c r="U907" t="s">
        <v>26</v>
      </c>
      <c r="V907">
        <v>0</v>
      </c>
      <c r="W907">
        <f>E907/100</f>
        <v>0.08</v>
      </c>
      <c r="X907">
        <f>F907/1000000</f>
        <v>0.28000000000000003</v>
      </c>
      <c r="Y907">
        <f>IF(D907="C",1,0)</f>
        <v>0</v>
      </c>
      <c r="Z907">
        <f>IF(G907="C",1,0)</f>
        <v>0</v>
      </c>
      <c r="AA907">
        <f>IF(G907="S",1,0)</f>
        <v>1</v>
      </c>
      <c r="AB907">
        <f>IF(G907="U",1,0)</f>
        <v>0</v>
      </c>
      <c r="AC907" s="5">
        <f>IF(AND(ISNUMBER(H907),NOT(ISNUMBER(P907))),1,0)</f>
        <v>1</v>
      </c>
      <c r="AD907" s="5">
        <f>IF(AND(ISNUMBER(H907),ISNUMBER(P907)),1,0)</f>
        <v>0</v>
      </c>
      <c r="AE907" s="5">
        <f>W907</f>
        <v>0.08</v>
      </c>
      <c r="AF907" s="5">
        <f>X907</f>
        <v>0.28000000000000003</v>
      </c>
      <c r="AG907" s="5">
        <f>Y907</f>
        <v>0</v>
      </c>
      <c r="AH907" s="5">
        <f>IF(OR(G907="C",G907="S",G907="U"),1,0)</f>
        <v>1</v>
      </c>
      <c r="AI907" s="5">
        <f>IF(ISNUMBER(H907),1,0)</f>
        <v>1</v>
      </c>
      <c r="AJ907" s="5">
        <f>IF(ISNUMBER(P907),1,0)</f>
        <v>0</v>
      </c>
      <c r="AK907" s="5">
        <f>IF(AI907=1,IF(J907&gt;0,1,0),"")</f>
        <v>0</v>
      </c>
      <c r="AL907" s="5" t="str">
        <f>IF(AJ907=1,IF(OR(Q907&gt;0,R907&gt;0),1,0),"")</f>
        <v/>
      </c>
    </row>
    <row r="908" spans="1:38">
      <c r="A908">
        <v>2292403</v>
      </c>
      <c r="B908" t="s">
        <v>975</v>
      </c>
      <c r="C908" t="s">
        <v>23</v>
      </c>
      <c r="D908" t="s">
        <v>24</v>
      </c>
      <c r="E908">
        <v>16</v>
      </c>
      <c r="F908">
        <v>800000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  <c r="S908" t="s">
        <v>26</v>
      </c>
      <c r="T908" t="s">
        <v>26</v>
      </c>
      <c r="U908" t="s">
        <v>26</v>
      </c>
      <c r="V908">
        <v>0</v>
      </c>
      <c r="W908">
        <f>E908/100</f>
        <v>0.16</v>
      </c>
      <c r="X908">
        <f>F908/1000000</f>
        <v>0.8</v>
      </c>
      <c r="Y908">
        <f>IF(D908="C",1,0)</f>
        <v>0</v>
      </c>
      <c r="Z908">
        <f>IF(G908="C",1,0)</f>
        <v>0</v>
      </c>
      <c r="AA908">
        <f>IF(G908="S",1,0)</f>
        <v>0</v>
      </c>
      <c r="AB908">
        <f>IF(G908="U",1,0)</f>
        <v>0</v>
      </c>
      <c r="AC908" s="5">
        <f>IF(AND(ISNUMBER(H908),NOT(ISNUMBER(P908))),1,0)</f>
        <v>1</v>
      </c>
      <c r="AD908" s="5">
        <f>IF(AND(ISNUMBER(H908),ISNUMBER(P908)),1,0)</f>
        <v>0</v>
      </c>
      <c r="AE908" s="5">
        <f>W908</f>
        <v>0.16</v>
      </c>
      <c r="AF908" s="5">
        <f>X908</f>
        <v>0.8</v>
      </c>
      <c r="AG908" s="5">
        <f>Y908</f>
        <v>0</v>
      </c>
      <c r="AH908" s="5">
        <f>IF(OR(G908="C",G908="S",G908="U"),1,0)</f>
        <v>0</v>
      </c>
      <c r="AI908" s="5">
        <f>IF(ISNUMBER(H908),1,0)</f>
        <v>1</v>
      </c>
      <c r="AJ908" s="5">
        <f>IF(ISNUMBER(P908),1,0)</f>
        <v>0</v>
      </c>
      <c r="AK908" s="5">
        <f>IF(AI908=1,IF(J908&gt;0,1,0),"")</f>
        <v>0</v>
      </c>
      <c r="AL908" s="5" t="str">
        <f>IF(AJ908=1,IF(OR(Q908&gt;0,R908&gt;0),1,0),"")</f>
        <v/>
      </c>
    </row>
    <row r="909" spans="1:38">
      <c r="A909">
        <v>2295635</v>
      </c>
      <c r="B909" t="s">
        <v>976</v>
      </c>
      <c r="C909" t="s">
        <v>23</v>
      </c>
      <c r="D909" t="s">
        <v>24</v>
      </c>
      <c r="E909">
        <v>4</v>
      </c>
      <c r="F909">
        <v>137596</v>
      </c>
      <c r="H909">
        <v>1</v>
      </c>
      <c r="I909">
        <v>0</v>
      </c>
      <c r="J909">
        <v>0</v>
      </c>
      <c r="K909">
        <v>0</v>
      </c>
      <c r="L909" t="s">
        <v>26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  <c r="S909" t="s">
        <v>26</v>
      </c>
      <c r="T909" t="s">
        <v>26</v>
      </c>
      <c r="U909" t="s">
        <v>26</v>
      </c>
      <c r="V909">
        <v>0</v>
      </c>
      <c r="W909">
        <f>E909/100</f>
        <v>0.04</v>
      </c>
      <c r="X909">
        <f>F909/1000000</f>
        <v>0.137596</v>
      </c>
      <c r="Y909">
        <f>IF(D909="C",1,0)</f>
        <v>0</v>
      </c>
      <c r="Z909">
        <f>IF(G909="C",1,0)</f>
        <v>0</v>
      </c>
      <c r="AA909">
        <f>IF(G909="S",1,0)</f>
        <v>0</v>
      </c>
      <c r="AB909">
        <f>IF(G909="U",1,0)</f>
        <v>0</v>
      </c>
      <c r="AC909" s="5">
        <f>IF(AND(ISNUMBER(H909),NOT(ISNUMBER(P909))),1,0)</f>
        <v>1</v>
      </c>
      <c r="AD909" s="5">
        <f>IF(AND(ISNUMBER(H909),ISNUMBER(P909)),1,0)</f>
        <v>0</v>
      </c>
      <c r="AE909" s="5">
        <f>W909</f>
        <v>0.04</v>
      </c>
      <c r="AF909" s="5">
        <f>X909</f>
        <v>0.137596</v>
      </c>
      <c r="AG909" s="5">
        <f>Y909</f>
        <v>0</v>
      </c>
      <c r="AH909" s="5">
        <f>IF(OR(G909="C",G909="S",G909="U"),1,0)</f>
        <v>0</v>
      </c>
      <c r="AI909" s="5">
        <f>IF(ISNUMBER(H909),1,0)</f>
        <v>1</v>
      </c>
      <c r="AJ909" s="5">
        <f>IF(ISNUMBER(P909),1,0)</f>
        <v>0</v>
      </c>
      <c r="AK909" s="5">
        <f>IF(AI909=1,IF(J909&gt;0,1,0),"")</f>
        <v>0</v>
      </c>
      <c r="AL909" s="5" t="str">
        <f>IF(AJ909=1,IF(OR(Q909&gt;0,R909&gt;0),1,0),"")</f>
        <v/>
      </c>
    </row>
    <row r="910" spans="1:38">
      <c r="A910">
        <v>2295923</v>
      </c>
      <c r="B910" t="s">
        <v>977</v>
      </c>
      <c r="C910" t="s">
        <v>23</v>
      </c>
      <c r="D910" t="s">
        <v>24</v>
      </c>
      <c r="E910">
        <v>69</v>
      </c>
      <c r="F910">
        <v>4730900</v>
      </c>
      <c r="H910">
        <v>1</v>
      </c>
      <c r="I910">
        <v>0</v>
      </c>
      <c r="J910">
        <v>0</v>
      </c>
      <c r="K910">
        <v>0</v>
      </c>
      <c r="L910" t="s">
        <v>26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  <c r="S910" t="s">
        <v>26</v>
      </c>
      <c r="T910" t="s">
        <v>26</v>
      </c>
      <c r="U910" t="s">
        <v>26</v>
      </c>
      <c r="V910">
        <v>0</v>
      </c>
      <c r="W910">
        <f>E910/100</f>
        <v>0.69</v>
      </c>
      <c r="X910">
        <f>F910/1000000</f>
        <v>4.7309000000000001</v>
      </c>
      <c r="Y910">
        <f>IF(D910="C",1,0)</f>
        <v>0</v>
      </c>
      <c r="Z910">
        <f>IF(G910="C",1,0)</f>
        <v>0</v>
      </c>
      <c r="AA910">
        <f>IF(G910="S",1,0)</f>
        <v>0</v>
      </c>
      <c r="AB910">
        <f>IF(G910="U",1,0)</f>
        <v>0</v>
      </c>
      <c r="AC910" s="5">
        <f>IF(AND(ISNUMBER(H910),NOT(ISNUMBER(P910))),1,0)</f>
        <v>1</v>
      </c>
      <c r="AD910" s="5">
        <f>IF(AND(ISNUMBER(H910),ISNUMBER(P910)),1,0)</f>
        <v>0</v>
      </c>
      <c r="AE910" s="5">
        <f>W910</f>
        <v>0.69</v>
      </c>
      <c r="AF910" s="5">
        <f>X910</f>
        <v>4.7309000000000001</v>
      </c>
      <c r="AG910" s="5">
        <f>Y910</f>
        <v>0</v>
      </c>
      <c r="AH910" s="5">
        <f>IF(OR(G910="C",G910="S",G910="U"),1,0)</f>
        <v>0</v>
      </c>
      <c r="AI910" s="5">
        <f>IF(ISNUMBER(H910),1,0)</f>
        <v>1</v>
      </c>
      <c r="AJ910" s="5">
        <f>IF(ISNUMBER(P910),1,0)</f>
        <v>0</v>
      </c>
      <c r="AK910" s="5">
        <f>IF(AI910=1,IF(J910&gt;0,1,0),"")</f>
        <v>0</v>
      </c>
      <c r="AL910" s="5" t="str">
        <f>IF(AJ910=1,IF(OR(Q910&gt;0,R910&gt;0),1,0),"")</f>
        <v/>
      </c>
    </row>
    <row r="911" spans="1:38">
      <c r="A911">
        <v>2305916</v>
      </c>
      <c r="B911" t="s">
        <v>978</v>
      </c>
      <c r="C911" t="s">
        <v>302</v>
      </c>
      <c r="D911" t="s">
        <v>24</v>
      </c>
      <c r="E911">
        <v>2</v>
      </c>
      <c r="F911">
        <v>60000</v>
      </c>
      <c r="H911">
        <v>1</v>
      </c>
      <c r="I911">
        <v>0</v>
      </c>
      <c r="J911">
        <v>0</v>
      </c>
      <c r="K911">
        <v>0</v>
      </c>
      <c r="L911" t="s">
        <v>26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  <c r="S911" t="s">
        <v>26</v>
      </c>
      <c r="T911" t="s">
        <v>26</v>
      </c>
      <c r="U911" t="s">
        <v>26</v>
      </c>
      <c r="V911">
        <v>0</v>
      </c>
      <c r="W911">
        <f>E911/100</f>
        <v>0.02</v>
      </c>
      <c r="X911">
        <f>F911/1000000</f>
        <v>0.06</v>
      </c>
      <c r="Y911">
        <f>IF(D911="C",1,0)</f>
        <v>0</v>
      </c>
      <c r="Z911">
        <f>IF(G911="C",1,0)</f>
        <v>0</v>
      </c>
      <c r="AA911">
        <f>IF(G911="S",1,0)</f>
        <v>0</v>
      </c>
      <c r="AB911">
        <f>IF(G911="U",1,0)</f>
        <v>0</v>
      </c>
      <c r="AC911" s="5">
        <f>IF(AND(ISNUMBER(H911),NOT(ISNUMBER(P911))),1,0)</f>
        <v>1</v>
      </c>
      <c r="AD911" s="5">
        <f>IF(AND(ISNUMBER(H911),ISNUMBER(P911)),1,0)</f>
        <v>0</v>
      </c>
      <c r="AE911" s="5">
        <f>W911</f>
        <v>0.02</v>
      </c>
      <c r="AF911" s="5">
        <f>X911</f>
        <v>0.06</v>
      </c>
      <c r="AG911" s="5">
        <f>Y911</f>
        <v>0</v>
      </c>
      <c r="AH911" s="5">
        <f>IF(OR(G911="C",G911="S",G911="U"),1,0)</f>
        <v>0</v>
      </c>
      <c r="AI911" s="5">
        <f>IF(ISNUMBER(H911),1,0)</f>
        <v>1</v>
      </c>
      <c r="AJ911" s="5">
        <f>IF(ISNUMBER(P911),1,0)</f>
        <v>0</v>
      </c>
      <c r="AK911" s="5">
        <f>IF(AI911=1,IF(J911&gt;0,1,0),"")</f>
        <v>0</v>
      </c>
      <c r="AL911" s="5" t="str">
        <f>IF(AJ911=1,IF(OR(Q911&gt;0,R911&gt;0),1,0),"")</f>
        <v/>
      </c>
    </row>
    <row r="912" spans="1:38">
      <c r="A912">
        <v>2308144</v>
      </c>
      <c r="B912" t="s">
        <v>979</v>
      </c>
      <c r="C912" t="s">
        <v>23</v>
      </c>
      <c r="D912" t="s">
        <v>33</v>
      </c>
      <c r="E912">
        <v>3</v>
      </c>
      <c r="F912">
        <v>10000</v>
      </c>
      <c r="H912">
        <v>1</v>
      </c>
      <c r="I912">
        <v>3</v>
      </c>
      <c r="J912">
        <v>1</v>
      </c>
      <c r="K912">
        <v>1</v>
      </c>
      <c r="L912">
        <v>0.33329999999999999</v>
      </c>
      <c r="M912" t="s">
        <v>26</v>
      </c>
      <c r="N912">
        <v>0.33329999999999999</v>
      </c>
      <c r="O912" t="s">
        <v>26</v>
      </c>
      <c r="P912" t="s">
        <v>26</v>
      </c>
      <c r="Q912" t="s">
        <v>26</v>
      </c>
      <c r="R912" t="s">
        <v>26</v>
      </c>
      <c r="S912" t="s">
        <v>26</v>
      </c>
      <c r="T912" t="s">
        <v>26</v>
      </c>
      <c r="U912" t="s">
        <v>26</v>
      </c>
      <c r="V912">
        <v>1</v>
      </c>
      <c r="W912">
        <f>E912/100</f>
        <v>0.03</v>
      </c>
      <c r="X912">
        <f>F912/1000000</f>
        <v>0.01</v>
      </c>
      <c r="Y912">
        <f>IF(D912="C",1,0)</f>
        <v>1</v>
      </c>
      <c r="Z912">
        <f>IF(G912="C",1,0)</f>
        <v>0</v>
      </c>
      <c r="AA912">
        <f>IF(G912="S",1,0)</f>
        <v>0</v>
      </c>
      <c r="AB912">
        <f>IF(G912="U",1,0)</f>
        <v>0</v>
      </c>
      <c r="AC912" s="5">
        <f>IF(AND(ISNUMBER(H912),NOT(ISNUMBER(P912))),1,0)</f>
        <v>1</v>
      </c>
      <c r="AD912" s="5">
        <f>IF(AND(ISNUMBER(H912),ISNUMBER(P912)),1,0)</f>
        <v>0</v>
      </c>
      <c r="AE912" s="5">
        <f>W912</f>
        <v>0.03</v>
      </c>
      <c r="AF912" s="5">
        <f>X912</f>
        <v>0.01</v>
      </c>
      <c r="AG912" s="5">
        <f>Y912</f>
        <v>1</v>
      </c>
      <c r="AH912" s="5">
        <f>IF(OR(G912="C",G912="S",G912="U"),1,0)</f>
        <v>0</v>
      </c>
      <c r="AI912" s="5">
        <f>IF(ISNUMBER(H912),1,0)</f>
        <v>1</v>
      </c>
      <c r="AJ912" s="5">
        <f>IF(ISNUMBER(P912),1,0)</f>
        <v>0</v>
      </c>
      <c r="AK912" s="5">
        <f>IF(AI912=1,IF(J912&gt;0,1,0),"")</f>
        <v>1</v>
      </c>
      <c r="AL912" s="5" t="str">
        <f>IF(AJ912=1,IF(OR(Q912&gt;0,R912&gt;0),1,0),"")</f>
        <v/>
      </c>
    </row>
    <row r="913" spans="1:38">
      <c r="A913">
        <v>2308558</v>
      </c>
      <c r="B913" t="s">
        <v>980</v>
      </c>
      <c r="C913" t="s">
        <v>23</v>
      </c>
      <c r="D913" t="s">
        <v>33</v>
      </c>
      <c r="E913">
        <v>2</v>
      </c>
      <c r="F913">
        <v>1237630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  <c r="S913" t="s">
        <v>26</v>
      </c>
      <c r="T913" t="s">
        <v>26</v>
      </c>
      <c r="U913" t="s">
        <v>26</v>
      </c>
      <c r="V913">
        <v>0</v>
      </c>
      <c r="W913">
        <f>E913/100</f>
        <v>0.02</v>
      </c>
      <c r="X913">
        <f>F913/1000000</f>
        <v>1.23763</v>
      </c>
      <c r="Y913">
        <f>IF(D913="C",1,0)</f>
        <v>1</v>
      </c>
      <c r="Z913">
        <f>IF(G913="C",1,0)</f>
        <v>0</v>
      </c>
      <c r="AA913">
        <f>IF(G913="S",1,0)</f>
        <v>0</v>
      </c>
      <c r="AB913">
        <f>IF(G913="U",1,0)</f>
        <v>0</v>
      </c>
      <c r="AC913" s="5">
        <f>IF(AND(ISNUMBER(H913),NOT(ISNUMBER(P913))),1,0)</f>
        <v>1</v>
      </c>
      <c r="AD913" s="5">
        <f>IF(AND(ISNUMBER(H913),ISNUMBER(P913)),1,0)</f>
        <v>0</v>
      </c>
      <c r="AE913" s="5">
        <f>W913</f>
        <v>0.02</v>
      </c>
      <c r="AF913" s="5">
        <f>X913</f>
        <v>1.23763</v>
      </c>
      <c r="AG913" s="5">
        <f>Y913</f>
        <v>1</v>
      </c>
      <c r="AH913" s="5">
        <f>IF(OR(G913="C",G913="S",G913="U"),1,0)</f>
        <v>0</v>
      </c>
      <c r="AI913" s="5">
        <f>IF(ISNUMBER(H913),1,0)</f>
        <v>1</v>
      </c>
      <c r="AJ913" s="5">
        <f>IF(ISNUMBER(P913),1,0)</f>
        <v>0</v>
      </c>
      <c r="AK913" s="5">
        <f>IF(AI913=1,IF(J913&gt;0,1,0),"")</f>
        <v>0</v>
      </c>
      <c r="AL913" s="5" t="str">
        <f>IF(AJ913=1,IF(OR(Q913&gt;0,R913&gt;0),1,0),"")</f>
        <v/>
      </c>
    </row>
    <row r="914" spans="1:38">
      <c r="A914">
        <v>2315749</v>
      </c>
      <c r="B914" t="s">
        <v>981</v>
      </c>
      <c r="C914" t="s">
        <v>23</v>
      </c>
      <c r="D914" t="s">
        <v>33</v>
      </c>
      <c r="E914">
        <v>1</v>
      </c>
      <c r="F914">
        <v>19000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  <c r="S914" t="s">
        <v>26</v>
      </c>
      <c r="T914" t="s">
        <v>26</v>
      </c>
      <c r="U914" t="s">
        <v>26</v>
      </c>
      <c r="V914">
        <v>0</v>
      </c>
      <c r="W914">
        <f>E914/100</f>
        <v>0.01</v>
      </c>
      <c r="X914">
        <f>F914/1000000</f>
        <v>1.9E-2</v>
      </c>
      <c r="Y914">
        <f>IF(D914="C",1,0)</f>
        <v>1</v>
      </c>
      <c r="Z914">
        <f>IF(G914="C",1,0)</f>
        <v>0</v>
      </c>
      <c r="AA914">
        <f>IF(G914="S",1,0)</f>
        <v>0</v>
      </c>
      <c r="AB914">
        <f>IF(G914="U",1,0)</f>
        <v>0</v>
      </c>
      <c r="AC914" s="5">
        <f>IF(AND(ISNUMBER(H914),NOT(ISNUMBER(P914))),1,0)</f>
        <v>1</v>
      </c>
      <c r="AD914" s="5">
        <f>IF(AND(ISNUMBER(H914),ISNUMBER(P914)),1,0)</f>
        <v>0</v>
      </c>
      <c r="AE914" s="5">
        <f>W914</f>
        <v>0.01</v>
      </c>
      <c r="AF914" s="5">
        <f>X914</f>
        <v>1.9E-2</v>
      </c>
      <c r="AG914" s="5">
        <f>Y914</f>
        <v>1</v>
      </c>
      <c r="AH914" s="5">
        <f>IF(OR(G914="C",G914="S",G914="U"),1,0)</f>
        <v>0</v>
      </c>
      <c r="AI914" s="5">
        <f>IF(ISNUMBER(H914),1,0)</f>
        <v>1</v>
      </c>
      <c r="AJ914" s="5">
        <f>IF(ISNUMBER(P914),1,0)</f>
        <v>0</v>
      </c>
      <c r="AK914" s="5">
        <f>IF(AI914=1,IF(J914&gt;0,1,0),"")</f>
        <v>0</v>
      </c>
      <c r="AL914" s="5" t="str">
        <f>IF(AJ914=1,IF(OR(Q914&gt;0,R914&gt;0),1,0),"")</f>
        <v/>
      </c>
    </row>
    <row r="915" spans="1:38">
      <c r="A915">
        <v>2316982</v>
      </c>
      <c r="B915" t="s">
        <v>982</v>
      </c>
      <c r="C915" t="s">
        <v>174</v>
      </c>
      <c r="D915" t="s">
        <v>24</v>
      </c>
      <c r="E915">
        <v>1</v>
      </c>
      <c r="F915">
        <v>20000</v>
      </c>
      <c r="H915">
        <v>1</v>
      </c>
      <c r="I915">
        <v>5</v>
      </c>
      <c r="J915">
        <v>1</v>
      </c>
      <c r="K915">
        <v>1</v>
      </c>
      <c r="L915">
        <v>0.2</v>
      </c>
      <c r="M915">
        <v>0.25</v>
      </c>
      <c r="N915">
        <v>0</v>
      </c>
      <c r="O915" t="s">
        <v>26</v>
      </c>
      <c r="P915" t="s">
        <v>26</v>
      </c>
      <c r="Q915" t="s">
        <v>26</v>
      </c>
      <c r="R915" t="s">
        <v>26</v>
      </c>
      <c r="S915" t="s">
        <v>26</v>
      </c>
      <c r="T915" t="s">
        <v>26</v>
      </c>
      <c r="U915" t="s">
        <v>26</v>
      </c>
      <c r="V915">
        <v>1</v>
      </c>
      <c r="W915">
        <f>E915/100</f>
        <v>0.01</v>
      </c>
      <c r="X915">
        <f>F915/1000000</f>
        <v>0.02</v>
      </c>
      <c r="Y915">
        <f>IF(D915="C",1,0)</f>
        <v>0</v>
      </c>
      <c r="Z915">
        <f>IF(G915="C",1,0)</f>
        <v>0</v>
      </c>
      <c r="AA915">
        <f>IF(G915="S",1,0)</f>
        <v>0</v>
      </c>
      <c r="AB915">
        <f>IF(G915="U",1,0)</f>
        <v>0</v>
      </c>
      <c r="AC915" s="5">
        <f>IF(AND(ISNUMBER(H915),NOT(ISNUMBER(P915))),1,0)</f>
        <v>1</v>
      </c>
      <c r="AD915" s="5">
        <f>IF(AND(ISNUMBER(H915),ISNUMBER(P915)),1,0)</f>
        <v>0</v>
      </c>
      <c r="AE915" s="5">
        <f>W915</f>
        <v>0.01</v>
      </c>
      <c r="AF915" s="5">
        <f>X915</f>
        <v>0.02</v>
      </c>
      <c r="AG915" s="5">
        <f>Y915</f>
        <v>0</v>
      </c>
      <c r="AH915" s="5">
        <f>IF(OR(G915="C",G915="S",G915="U"),1,0)</f>
        <v>0</v>
      </c>
      <c r="AI915" s="5">
        <f>IF(ISNUMBER(H915),1,0)</f>
        <v>1</v>
      </c>
      <c r="AJ915" s="5">
        <f>IF(ISNUMBER(P915),1,0)</f>
        <v>0</v>
      </c>
      <c r="AK915" s="5">
        <f>IF(AI915=1,IF(J915&gt;0,1,0),"")</f>
        <v>1</v>
      </c>
      <c r="AL915" s="5" t="str">
        <f>IF(AJ915=1,IF(OR(Q915&gt;0,R915&gt;0),1,0),"")</f>
        <v/>
      </c>
    </row>
    <row r="916" spans="1:38">
      <c r="A916">
        <v>2318309</v>
      </c>
      <c r="B916" t="s">
        <v>983</v>
      </c>
      <c r="C916" t="s">
        <v>23</v>
      </c>
      <c r="D916" t="s">
        <v>33</v>
      </c>
      <c r="E916">
        <v>1</v>
      </c>
      <c r="F916">
        <v>9000</v>
      </c>
      <c r="H916">
        <v>1</v>
      </c>
      <c r="I916">
        <v>1</v>
      </c>
      <c r="J916">
        <v>0</v>
      </c>
      <c r="K916">
        <v>0</v>
      </c>
      <c r="L916">
        <v>0</v>
      </c>
      <c r="M916" t="s">
        <v>26</v>
      </c>
      <c r="N916">
        <v>0</v>
      </c>
      <c r="O916" t="s">
        <v>26</v>
      </c>
      <c r="P916" t="s">
        <v>26</v>
      </c>
      <c r="Q916" t="s">
        <v>26</v>
      </c>
      <c r="R916" t="s">
        <v>26</v>
      </c>
      <c r="S916" t="s">
        <v>26</v>
      </c>
      <c r="T916" t="s">
        <v>26</v>
      </c>
      <c r="U916" t="s">
        <v>26</v>
      </c>
      <c r="V916">
        <v>0</v>
      </c>
      <c r="W916">
        <f>E916/100</f>
        <v>0.01</v>
      </c>
      <c r="X916">
        <f>F916/1000000</f>
        <v>8.9999999999999993E-3</v>
      </c>
      <c r="Y916">
        <f>IF(D916="C",1,0)</f>
        <v>1</v>
      </c>
      <c r="Z916">
        <f>IF(G916="C",1,0)</f>
        <v>0</v>
      </c>
      <c r="AA916">
        <f>IF(G916="S",1,0)</f>
        <v>0</v>
      </c>
      <c r="AB916">
        <f>IF(G916="U",1,0)</f>
        <v>0</v>
      </c>
      <c r="AC916" s="5">
        <f>IF(AND(ISNUMBER(H916),NOT(ISNUMBER(P916))),1,0)</f>
        <v>1</v>
      </c>
      <c r="AD916" s="5">
        <f>IF(AND(ISNUMBER(H916),ISNUMBER(P916)),1,0)</f>
        <v>0</v>
      </c>
      <c r="AE916" s="5">
        <f>W916</f>
        <v>0.01</v>
      </c>
      <c r="AF916" s="5">
        <f>X916</f>
        <v>8.9999999999999993E-3</v>
      </c>
      <c r="AG916" s="5">
        <f>Y916</f>
        <v>1</v>
      </c>
      <c r="AH916" s="5">
        <f>IF(OR(G916="C",G916="S",G916="U"),1,0)</f>
        <v>0</v>
      </c>
      <c r="AI916" s="5">
        <f>IF(ISNUMBER(H916),1,0)</f>
        <v>1</v>
      </c>
      <c r="AJ916" s="5">
        <f>IF(ISNUMBER(P916),1,0)</f>
        <v>0</v>
      </c>
      <c r="AK916" s="5">
        <f>IF(AI916=1,IF(J916&gt;0,1,0),"")</f>
        <v>0</v>
      </c>
      <c r="AL916" s="5" t="str">
        <f>IF(AJ916=1,IF(OR(Q916&gt;0,R916&gt;0),1,0),"")</f>
        <v/>
      </c>
    </row>
    <row r="917" spans="1:38">
      <c r="A917">
        <v>2324301</v>
      </c>
      <c r="B917" t="s">
        <v>984</v>
      </c>
      <c r="C917" t="s">
        <v>23</v>
      </c>
      <c r="D917" t="s">
        <v>33</v>
      </c>
      <c r="E917">
        <v>2</v>
      </c>
      <c r="F917">
        <v>50000</v>
      </c>
      <c r="H917">
        <v>1</v>
      </c>
      <c r="I917">
        <v>2</v>
      </c>
      <c r="J917">
        <v>0</v>
      </c>
      <c r="K917">
        <v>0</v>
      </c>
      <c r="L917">
        <v>0</v>
      </c>
      <c r="M917" t="s">
        <v>26</v>
      </c>
      <c r="N917">
        <v>0</v>
      </c>
      <c r="O917" t="s">
        <v>26</v>
      </c>
      <c r="P917" t="s">
        <v>26</v>
      </c>
      <c r="Q917" t="s">
        <v>26</v>
      </c>
      <c r="R917" t="s">
        <v>26</v>
      </c>
      <c r="S917" t="s">
        <v>26</v>
      </c>
      <c r="T917" t="s">
        <v>26</v>
      </c>
      <c r="U917" t="s">
        <v>26</v>
      </c>
      <c r="V917">
        <v>0</v>
      </c>
      <c r="W917">
        <f>E917/100</f>
        <v>0.02</v>
      </c>
      <c r="X917">
        <f>F917/1000000</f>
        <v>0.05</v>
      </c>
      <c r="Y917">
        <f>IF(D917="C",1,0)</f>
        <v>1</v>
      </c>
      <c r="Z917">
        <f>IF(G917="C",1,0)</f>
        <v>0</v>
      </c>
      <c r="AA917">
        <f>IF(G917="S",1,0)</f>
        <v>0</v>
      </c>
      <c r="AB917">
        <f>IF(G917="U",1,0)</f>
        <v>0</v>
      </c>
      <c r="AC917" s="5">
        <f>IF(AND(ISNUMBER(H917),NOT(ISNUMBER(P917))),1,0)</f>
        <v>1</v>
      </c>
      <c r="AD917" s="5">
        <f>IF(AND(ISNUMBER(H917),ISNUMBER(P917)),1,0)</f>
        <v>0</v>
      </c>
      <c r="AE917" s="5">
        <f>W917</f>
        <v>0.02</v>
      </c>
      <c r="AF917" s="5">
        <f>X917</f>
        <v>0.05</v>
      </c>
      <c r="AG917" s="5">
        <f>Y917</f>
        <v>1</v>
      </c>
      <c r="AH917" s="5">
        <f>IF(OR(G917="C",G917="S",G917="U"),1,0)</f>
        <v>0</v>
      </c>
      <c r="AI917" s="5">
        <f>IF(ISNUMBER(H917),1,0)</f>
        <v>1</v>
      </c>
      <c r="AJ917" s="5">
        <f>IF(ISNUMBER(P917),1,0)</f>
        <v>0</v>
      </c>
      <c r="AK917" s="5">
        <f>IF(AI917=1,IF(J917&gt;0,1,0),"")</f>
        <v>0</v>
      </c>
      <c r="AL917" s="5" t="str">
        <f>IF(AJ917=1,IF(OR(Q917&gt;0,R917&gt;0),1,0),"")</f>
        <v/>
      </c>
    </row>
    <row r="918" spans="1:38">
      <c r="A918">
        <v>2331061</v>
      </c>
      <c r="B918" t="s">
        <v>985</v>
      </c>
      <c r="C918" t="s">
        <v>23</v>
      </c>
      <c r="D918" t="s">
        <v>33</v>
      </c>
      <c r="E918">
        <v>3</v>
      </c>
      <c r="F918">
        <v>52656</v>
      </c>
      <c r="H918">
        <v>1</v>
      </c>
      <c r="I918">
        <v>6</v>
      </c>
      <c r="J918">
        <v>2</v>
      </c>
      <c r="K918">
        <v>1</v>
      </c>
      <c r="L918">
        <v>0.33329999999999999</v>
      </c>
      <c r="M918" t="s">
        <v>26</v>
      </c>
      <c r="N918">
        <v>0.33329999999999999</v>
      </c>
      <c r="O918" t="s">
        <v>26</v>
      </c>
      <c r="P918" t="s">
        <v>26</v>
      </c>
      <c r="Q918" t="s">
        <v>26</v>
      </c>
      <c r="R918" t="s">
        <v>26</v>
      </c>
      <c r="S918" t="s">
        <v>26</v>
      </c>
      <c r="T918" t="s">
        <v>26</v>
      </c>
      <c r="U918" t="s">
        <v>26</v>
      </c>
      <c r="V918">
        <v>1</v>
      </c>
      <c r="W918">
        <f>E918/100</f>
        <v>0.03</v>
      </c>
      <c r="X918">
        <f>F918/1000000</f>
        <v>5.2656000000000001E-2</v>
      </c>
      <c r="Y918">
        <f>IF(D918="C",1,0)</f>
        <v>1</v>
      </c>
      <c r="Z918">
        <f>IF(G918="C",1,0)</f>
        <v>0</v>
      </c>
      <c r="AA918">
        <f>IF(G918="S",1,0)</f>
        <v>0</v>
      </c>
      <c r="AB918">
        <f>IF(G918="U",1,0)</f>
        <v>0</v>
      </c>
      <c r="AC918" s="5">
        <f>IF(AND(ISNUMBER(H918),NOT(ISNUMBER(P918))),1,0)</f>
        <v>1</v>
      </c>
      <c r="AD918" s="5">
        <f>IF(AND(ISNUMBER(H918),ISNUMBER(P918)),1,0)</f>
        <v>0</v>
      </c>
      <c r="AE918" s="5">
        <f>W918</f>
        <v>0.03</v>
      </c>
      <c r="AF918" s="5">
        <f>X918</f>
        <v>5.2656000000000001E-2</v>
      </c>
      <c r="AG918" s="5">
        <f>Y918</f>
        <v>1</v>
      </c>
      <c r="AH918" s="5">
        <f>IF(OR(G918="C",G918="S",G918="U"),1,0)</f>
        <v>0</v>
      </c>
      <c r="AI918" s="5">
        <f>IF(ISNUMBER(H918),1,0)</f>
        <v>1</v>
      </c>
      <c r="AJ918" s="5">
        <f>IF(ISNUMBER(P918),1,0)</f>
        <v>0</v>
      </c>
      <c r="AK918" s="5">
        <f>IF(AI918=1,IF(J918&gt;0,1,0),"")</f>
        <v>1</v>
      </c>
      <c r="AL918" s="5" t="str">
        <f>IF(AJ918=1,IF(OR(Q918&gt;0,R918&gt;0),1,0),"")</f>
        <v/>
      </c>
    </row>
    <row r="919" spans="1:38">
      <c r="A919">
        <v>2334826</v>
      </c>
      <c r="B919" t="s">
        <v>986</v>
      </c>
      <c r="C919" t="s">
        <v>23</v>
      </c>
      <c r="D919" t="s">
        <v>24</v>
      </c>
      <c r="E919">
        <v>23</v>
      </c>
      <c r="F919">
        <v>347345</v>
      </c>
      <c r="H919">
        <v>1</v>
      </c>
      <c r="I919">
        <v>1</v>
      </c>
      <c r="J919">
        <v>0</v>
      </c>
      <c r="K919">
        <v>0</v>
      </c>
      <c r="L919">
        <v>0</v>
      </c>
      <c r="M919" t="s">
        <v>26</v>
      </c>
      <c r="N919">
        <v>0</v>
      </c>
      <c r="O919" t="s">
        <v>26</v>
      </c>
      <c r="P919" t="s">
        <v>26</v>
      </c>
      <c r="Q919" t="s">
        <v>26</v>
      </c>
      <c r="R919" t="s">
        <v>26</v>
      </c>
      <c r="S919" t="s">
        <v>26</v>
      </c>
      <c r="T919" t="s">
        <v>26</v>
      </c>
      <c r="U919" t="s">
        <v>26</v>
      </c>
      <c r="V919">
        <v>0</v>
      </c>
      <c r="W919">
        <f>E919/100</f>
        <v>0.23</v>
      </c>
      <c r="X919">
        <f>F919/1000000</f>
        <v>0.34734500000000001</v>
      </c>
      <c r="Y919">
        <f>IF(D919="C",1,0)</f>
        <v>0</v>
      </c>
      <c r="Z919">
        <f>IF(G919="C",1,0)</f>
        <v>0</v>
      </c>
      <c r="AA919">
        <f>IF(G919="S",1,0)</f>
        <v>0</v>
      </c>
      <c r="AB919">
        <f>IF(G919="U",1,0)</f>
        <v>0</v>
      </c>
      <c r="AC919" s="5">
        <f>IF(AND(ISNUMBER(H919),NOT(ISNUMBER(P919))),1,0)</f>
        <v>1</v>
      </c>
      <c r="AD919" s="5">
        <f>IF(AND(ISNUMBER(H919),ISNUMBER(P919)),1,0)</f>
        <v>0</v>
      </c>
      <c r="AE919" s="5">
        <f>W919</f>
        <v>0.23</v>
      </c>
      <c r="AF919" s="5">
        <f>X919</f>
        <v>0.34734500000000001</v>
      </c>
      <c r="AG919" s="5">
        <f>Y919</f>
        <v>0</v>
      </c>
      <c r="AH919" s="5">
        <f>IF(OR(G919="C",G919="S",G919="U"),1,0)</f>
        <v>0</v>
      </c>
      <c r="AI919" s="5">
        <f>IF(ISNUMBER(H919),1,0)</f>
        <v>1</v>
      </c>
      <c r="AJ919" s="5">
        <f>IF(ISNUMBER(P919),1,0)</f>
        <v>0</v>
      </c>
      <c r="AK919" s="5">
        <f>IF(AI919=1,IF(J919&gt;0,1,0),"")</f>
        <v>0</v>
      </c>
      <c r="AL919" s="5" t="str">
        <f>IF(AJ919=1,IF(OR(Q919&gt;0,R919&gt;0),1,0),"")</f>
        <v/>
      </c>
    </row>
    <row r="920" spans="1:38">
      <c r="A920">
        <v>2352540</v>
      </c>
      <c r="B920" t="s">
        <v>987</v>
      </c>
      <c r="C920" t="s">
        <v>42</v>
      </c>
      <c r="D920" t="s">
        <v>24</v>
      </c>
      <c r="E920">
        <v>10</v>
      </c>
      <c r="F920">
        <v>100000</v>
      </c>
      <c r="H920">
        <v>1</v>
      </c>
      <c r="I920">
        <v>5</v>
      </c>
      <c r="J920">
        <v>0</v>
      </c>
      <c r="K920">
        <v>0</v>
      </c>
      <c r="L920">
        <v>0</v>
      </c>
      <c r="M920" t="s">
        <v>26</v>
      </c>
      <c r="N920">
        <v>0</v>
      </c>
      <c r="O920" t="s">
        <v>26</v>
      </c>
      <c r="P920" t="s">
        <v>26</v>
      </c>
      <c r="Q920" t="s">
        <v>26</v>
      </c>
      <c r="R920" t="s">
        <v>26</v>
      </c>
      <c r="S920" t="s">
        <v>26</v>
      </c>
      <c r="T920" t="s">
        <v>26</v>
      </c>
      <c r="U920" t="s">
        <v>26</v>
      </c>
      <c r="V920">
        <v>0</v>
      </c>
      <c r="W920">
        <f>E920/100</f>
        <v>0.1</v>
      </c>
      <c r="X920">
        <f>F920/1000000</f>
        <v>0.1</v>
      </c>
      <c r="Y920">
        <f>IF(D920="C",1,0)</f>
        <v>0</v>
      </c>
      <c r="Z920">
        <f>IF(G920="C",1,0)</f>
        <v>0</v>
      </c>
      <c r="AA920">
        <f>IF(G920="S",1,0)</f>
        <v>0</v>
      </c>
      <c r="AB920">
        <f>IF(G920="U",1,0)</f>
        <v>0</v>
      </c>
      <c r="AC920" s="5">
        <f>IF(AND(ISNUMBER(H920),NOT(ISNUMBER(P920))),1,0)</f>
        <v>1</v>
      </c>
      <c r="AD920" s="5">
        <f>IF(AND(ISNUMBER(H920),ISNUMBER(P920)),1,0)</f>
        <v>0</v>
      </c>
      <c r="AE920" s="5">
        <f>W920</f>
        <v>0.1</v>
      </c>
      <c r="AF920" s="5">
        <f>X920</f>
        <v>0.1</v>
      </c>
      <c r="AG920" s="5">
        <f>Y920</f>
        <v>0</v>
      </c>
      <c r="AH920" s="5">
        <f>IF(OR(G920="C",G920="S",G920="U"),1,0)</f>
        <v>0</v>
      </c>
      <c r="AI920" s="5">
        <f>IF(ISNUMBER(H920),1,0)</f>
        <v>1</v>
      </c>
      <c r="AJ920" s="5">
        <f>IF(ISNUMBER(P920),1,0)</f>
        <v>0</v>
      </c>
      <c r="AK920" s="5">
        <f>IF(AI920=1,IF(J920&gt;0,1,0),"")</f>
        <v>0</v>
      </c>
      <c r="AL920" s="5" t="str">
        <f>IF(AJ920=1,IF(OR(Q920&gt;0,R920&gt;0),1,0),"")</f>
        <v/>
      </c>
    </row>
    <row r="921" spans="1:38">
      <c r="A921">
        <v>2356196</v>
      </c>
      <c r="B921" t="s">
        <v>988</v>
      </c>
      <c r="C921" t="s">
        <v>159</v>
      </c>
      <c r="D921" t="s">
        <v>24</v>
      </c>
      <c r="E921">
        <v>73</v>
      </c>
      <c r="F921">
        <v>9371849</v>
      </c>
      <c r="H921">
        <v>1</v>
      </c>
      <c r="I921">
        <v>0</v>
      </c>
      <c r="J921">
        <v>0</v>
      </c>
      <c r="K921">
        <v>0</v>
      </c>
      <c r="L921" t="s">
        <v>26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  <c r="S921" t="s">
        <v>26</v>
      </c>
      <c r="T921" t="s">
        <v>26</v>
      </c>
      <c r="U921" t="s">
        <v>26</v>
      </c>
      <c r="V921">
        <v>0</v>
      </c>
      <c r="W921">
        <f>E921/100</f>
        <v>0.73</v>
      </c>
      <c r="X921">
        <f>F921/1000000</f>
        <v>9.3718489999999992</v>
      </c>
      <c r="Y921">
        <f>IF(D921="C",1,0)</f>
        <v>0</v>
      </c>
      <c r="Z921">
        <f>IF(G921="C",1,0)</f>
        <v>0</v>
      </c>
      <c r="AA921">
        <f>IF(G921="S",1,0)</f>
        <v>0</v>
      </c>
      <c r="AB921">
        <f>IF(G921="U",1,0)</f>
        <v>0</v>
      </c>
      <c r="AC921" s="5">
        <f>IF(AND(ISNUMBER(H921),NOT(ISNUMBER(P921))),1,0)</f>
        <v>1</v>
      </c>
      <c r="AD921" s="5">
        <f>IF(AND(ISNUMBER(H921),ISNUMBER(P921)),1,0)</f>
        <v>0</v>
      </c>
      <c r="AE921" s="5">
        <f>W921</f>
        <v>0.73</v>
      </c>
      <c r="AF921" s="5">
        <f>X921</f>
        <v>9.3718489999999992</v>
      </c>
      <c r="AG921" s="5">
        <f>Y921</f>
        <v>0</v>
      </c>
      <c r="AH921" s="5">
        <f>IF(OR(G921="C",G921="S",G921="U"),1,0)</f>
        <v>0</v>
      </c>
      <c r="AI921" s="5">
        <f>IF(ISNUMBER(H921),1,0)</f>
        <v>1</v>
      </c>
      <c r="AJ921" s="5">
        <f>IF(ISNUMBER(P921),1,0)</f>
        <v>0</v>
      </c>
      <c r="AK921" s="5">
        <f>IF(AI921=1,IF(J921&gt;0,1,0),"")</f>
        <v>0</v>
      </c>
      <c r="AL921" s="5" t="str">
        <f>IF(AJ921=1,IF(OR(Q921&gt;0,R921&gt;0),1,0),"")</f>
        <v/>
      </c>
    </row>
    <row r="922" spans="1:38">
      <c r="A922">
        <v>2361185</v>
      </c>
      <c r="B922" t="s">
        <v>989</v>
      </c>
      <c r="C922" t="s">
        <v>183</v>
      </c>
      <c r="D922" t="s">
        <v>24</v>
      </c>
      <c r="E922">
        <v>20</v>
      </c>
      <c r="F922">
        <v>1940000</v>
      </c>
      <c r="H922">
        <v>1</v>
      </c>
      <c r="I922">
        <v>1</v>
      </c>
      <c r="J922">
        <v>0</v>
      </c>
      <c r="K922">
        <v>0</v>
      </c>
      <c r="L922">
        <v>0</v>
      </c>
      <c r="M922">
        <v>0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  <c r="S922" t="s">
        <v>26</v>
      </c>
      <c r="T922" t="s">
        <v>26</v>
      </c>
      <c r="U922" t="s">
        <v>26</v>
      </c>
      <c r="V922">
        <v>0</v>
      </c>
      <c r="W922">
        <f>E922/100</f>
        <v>0.2</v>
      </c>
      <c r="X922">
        <f>F922/1000000</f>
        <v>1.94</v>
      </c>
      <c r="Y922">
        <f>IF(D922="C",1,0)</f>
        <v>0</v>
      </c>
      <c r="Z922">
        <f>IF(G922="C",1,0)</f>
        <v>0</v>
      </c>
      <c r="AA922">
        <f>IF(G922="S",1,0)</f>
        <v>0</v>
      </c>
      <c r="AB922">
        <f>IF(G922="U",1,0)</f>
        <v>0</v>
      </c>
      <c r="AC922" s="5">
        <f>IF(AND(ISNUMBER(H922),NOT(ISNUMBER(P922))),1,0)</f>
        <v>1</v>
      </c>
      <c r="AD922" s="5">
        <f>IF(AND(ISNUMBER(H922),ISNUMBER(P922)),1,0)</f>
        <v>0</v>
      </c>
      <c r="AE922" s="5">
        <f>W922</f>
        <v>0.2</v>
      </c>
      <c r="AF922" s="5">
        <f>X922</f>
        <v>1.94</v>
      </c>
      <c r="AG922" s="5">
        <f>Y922</f>
        <v>0</v>
      </c>
      <c r="AH922" s="5">
        <f>IF(OR(G922="C",G922="S",G922="U"),1,0)</f>
        <v>0</v>
      </c>
      <c r="AI922" s="5">
        <f>IF(ISNUMBER(H922),1,0)</f>
        <v>1</v>
      </c>
      <c r="AJ922" s="5">
        <f>IF(ISNUMBER(P922),1,0)</f>
        <v>0</v>
      </c>
      <c r="AK922" s="5">
        <f>IF(AI922=1,IF(J922&gt;0,1,0),"")</f>
        <v>0</v>
      </c>
      <c r="AL922" s="5" t="str">
        <f>IF(AJ922=1,IF(OR(Q922&gt;0,R922&gt;0),1,0),"")</f>
        <v/>
      </c>
    </row>
    <row r="923" spans="1:38">
      <c r="A923">
        <v>2368495</v>
      </c>
      <c r="B923" t="s">
        <v>990</v>
      </c>
      <c r="C923" t="s">
        <v>23</v>
      </c>
      <c r="D923" t="s">
        <v>24</v>
      </c>
      <c r="E923">
        <v>153</v>
      </c>
      <c r="F923">
        <v>7597450</v>
      </c>
      <c r="H923">
        <v>1</v>
      </c>
      <c r="I923">
        <v>1</v>
      </c>
      <c r="J923">
        <v>1</v>
      </c>
      <c r="K923">
        <v>1</v>
      </c>
      <c r="L923">
        <v>1</v>
      </c>
      <c r="M923" t="s">
        <v>26</v>
      </c>
      <c r="N923">
        <v>1</v>
      </c>
      <c r="O923" t="s">
        <v>26</v>
      </c>
      <c r="P923" t="s">
        <v>26</v>
      </c>
      <c r="Q923" t="s">
        <v>26</v>
      </c>
      <c r="R923" t="s">
        <v>26</v>
      </c>
      <c r="S923" t="s">
        <v>26</v>
      </c>
      <c r="T923" t="s">
        <v>26</v>
      </c>
      <c r="U923" t="s">
        <v>26</v>
      </c>
      <c r="V923">
        <v>1</v>
      </c>
      <c r="W923">
        <f>E923/100</f>
        <v>1.53</v>
      </c>
      <c r="X923">
        <f>F923/1000000</f>
        <v>7.5974500000000003</v>
      </c>
      <c r="Y923">
        <f>IF(D923="C",1,0)</f>
        <v>0</v>
      </c>
      <c r="Z923">
        <f>IF(G923="C",1,0)</f>
        <v>0</v>
      </c>
      <c r="AA923">
        <f>IF(G923="S",1,0)</f>
        <v>0</v>
      </c>
      <c r="AB923">
        <f>IF(G923="U",1,0)</f>
        <v>0</v>
      </c>
      <c r="AC923" s="5">
        <f>IF(AND(ISNUMBER(H923),NOT(ISNUMBER(P923))),1,0)</f>
        <v>1</v>
      </c>
      <c r="AD923" s="5">
        <f>IF(AND(ISNUMBER(H923),ISNUMBER(P923)),1,0)</f>
        <v>0</v>
      </c>
      <c r="AE923" s="5">
        <f>W923</f>
        <v>1.53</v>
      </c>
      <c r="AF923" s="5">
        <f>X923</f>
        <v>7.5974500000000003</v>
      </c>
      <c r="AG923" s="5">
        <f>Y923</f>
        <v>0</v>
      </c>
      <c r="AH923" s="5">
        <f>IF(OR(G923="C",G923="S",G923="U"),1,0)</f>
        <v>0</v>
      </c>
      <c r="AI923" s="5">
        <f>IF(ISNUMBER(H923),1,0)</f>
        <v>1</v>
      </c>
      <c r="AJ923" s="5">
        <f>IF(ISNUMBER(P923),1,0)</f>
        <v>0</v>
      </c>
      <c r="AK923" s="5">
        <f>IF(AI923=1,IF(J923&gt;0,1,0),"")</f>
        <v>1</v>
      </c>
      <c r="AL923" s="5" t="str">
        <f>IF(AJ923=1,IF(OR(Q923&gt;0,R923&gt;0),1,0),"")</f>
        <v/>
      </c>
    </row>
    <row r="924" spans="1:38">
      <c r="A924">
        <v>2379271</v>
      </c>
      <c r="B924" t="s">
        <v>991</v>
      </c>
      <c r="C924" t="s">
        <v>190</v>
      </c>
      <c r="D924" t="s">
        <v>24</v>
      </c>
      <c r="E924">
        <v>1</v>
      </c>
      <c r="F924">
        <v>170050</v>
      </c>
      <c r="H924">
        <v>1</v>
      </c>
      <c r="I924">
        <v>4</v>
      </c>
      <c r="J924">
        <v>1</v>
      </c>
      <c r="K924">
        <v>1</v>
      </c>
      <c r="L924">
        <v>0.25</v>
      </c>
      <c r="M924">
        <v>1</v>
      </c>
      <c r="N924">
        <v>0</v>
      </c>
      <c r="O924" t="s">
        <v>26</v>
      </c>
      <c r="P924" t="s">
        <v>26</v>
      </c>
      <c r="Q924" t="s">
        <v>26</v>
      </c>
      <c r="R924" t="s">
        <v>26</v>
      </c>
      <c r="S924" t="s">
        <v>26</v>
      </c>
      <c r="T924" t="s">
        <v>26</v>
      </c>
      <c r="U924" t="s">
        <v>26</v>
      </c>
      <c r="V924">
        <v>1</v>
      </c>
      <c r="W924">
        <f>E924/100</f>
        <v>0.01</v>
      </c>
      <c r="X924">
        <f>F924/1000000</f>
        <v>0.17005000000000001</v>
      </c>
      <c r="Y924">
        <f>IF(D924="C",1,0)</f>
        <v>0</v>
      </c>
      <c r="Z924">
        <f>IF(G924="C",1,0)</f>
        <v>0</v>
      </c>
      <c r="AA924">
        <f>IF(G924="S",1,0)</f>
        <v>0</v>
      </c>
      <c r="AB924">
        <f>IF(G924="U",1,0)</f>
        <v>0</v>
      </c>
      <c r="AC924" s="5">
        <f>IF(AND(ISNUMBER(H924),NOT(ISNUMBER(P924))),1,0)</f>
        <v>1</v>
      </c>
      <c r="AD924" s="5">
        <f>IF(AND(ISNUMBER(H924),ISNUMBER(P924)),1,0)</f>
        <v>0</v>
      </c>
      <c r="AE924" s="5">
        <f>W924</f>
        <v>0.01</v>
      </c>
      <c r="AF924" s="5">
        <f>X924</f>
        <v>0.17005000000000001</v>
      </c>
      <c r="AG924" s="5">
        <f>Y924</f>
        <v>0</v>
      </c>
      <c r="AH924" s="5">
        <f>IF(OR(G924="C",G924="S",G924="U"),1,0)</f>
        <v>0</v>
      </c>
      <c r="AI924" s="5">
        <f>IF(ISNUMBER(H924),1,0)</f>
        <v>1</v>
      </c>
      <c r="AJ924" s="5">
        <f>IF(ISNUMBER(P924),1,0)</f>
        <v>0</v>
      </c>
      <c r="AK924" s="5">
        <f>IF(AI924=1,IF(J924&gt;0,1,0),"")</f>
        <v>1</v>
      </c>
      <c r="AL924" s="5" t="str">
        <f>IF(AJ924=1,IF(OR(Q924&gt;0,R924&gt;0),1,0),"")</f>
        <v/>
      </c>
    </row>
    <row r="925" spans="1:38">
      <c r="A925">
        <v>2380570</v>
      </c>
      <c r="B925" t="s">
        <v>992</v>
      </c>
      <c r="C925" t="s">
        <v>23</v>
      </c>
      <c r="D925" t="s">
        <v>24</v>
      </c>
      <c r="E925">
        <v>12</v>
      </c>
      <c r="F925">
        <v>531161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  <c r="S925" t="s">
        <v>26</v>
      </c>
      <c r="T925" t="s">
        <v>26</v>
      </c>
      <c r="U925" t="s">
        <v>26</v>
      </c>
      <c r="V925">
        <v>0</v>
      </c>
      <c r="W925">
        <f>E925/100</f>
        <v>0.12</v>
      </c>
      <c r="X925">
        <f>F925/1000000</f>
        <v>0.53116099999999999</v>
      </c>
      <c r="Y925">
        <f>IF(D925="C",1,0)</f>
        <v>0</v>
      </c>
      <c r="Z925">
        <f>IF(G925="C",1,0)</f>
        <v>0</v>
      </c>
      <c r="AA925">
        <f>IF(G925="S",1,0)</f>
        <v>0</v>
      </c>
      <c r="AB925">
        <f>IF(G925="U",1,0)</f>
        <v>0</v>
      </c>
      <c r="AC925" s="5">
        <f>IF(AND(ISNUMBER(H925),NOT(ISNUMBER(P925))),1,0)</f>
        <v>1</v>
      </c>
      <c r="AD925" s="5">
        <f>IF(AND(ISNUMBER(H925),ISNUMBER(P925)),1,0)</f>
        <v>0</v>
      </c>
      <c r="AE925" s="5">
        <f>W925</f>
        <v>0.12</v>
      </c>
      <c r="AF925" s="5">
        <f>X925</f>
        <v>0.53116099999999999</v>
      </c>
      <c r="AG925" s="5">
        <f>Y925</f>
        <v>0</v>
      </c>
      <c r="AH925" s="5">
        <f>IF(OR(G925="C",G925="S",G925="U"),1,0)</f>
        <v>0</v>
      </c>
      <c r="AI925" s="5">
        <f>IF(ISNUMBER(H925),1,0)</f>
        <v>1</v>
      </c>
      <c r="AJ925" s="5">
        <f>IF(ISNUMBER(P925),1,0)</f>
        <v>0</v>
      </c>
      <c r="AK925" s="5">
        <f>IF(AI925=1,IF(J925&gt;0,1,0),"")</f>
        <v>0</v>
      </c>
      <c r="AL925" s="5" t="str">
        <f>IF(AJ925=1,IF(OR(Q925&gt;0,R925&gt;0),1,0),"")</f>
        <v/>
      </c>
    </row>
    <row r="926" spans="1:38">
      <c r="A926">
        <v>2384021</v>
      </c>
      <c r="B926" t="s">
        <v>993</v>
      </c>
      <c r="C926" t="s">
        <v>37</v>
      </c>
      <c r="D926" t="s">
        <v>24</v>
      </c>
      <c r="E926">
        <v>3</v>
      </c>
      <c r="F926">
        <v>158080</v>
      </c>
      <c r="H926">
        <v>1</v>
      </c>
      <c r="I926">
        <v>1</v>
      </c>
      <c r="J926">
        <v>0</v>
      </c>
      <c r="K926">
        <v>0</v>
      </c>
      <c r="L926">
        <v>0</v>
      </c>
      <c r="M926" t="s">
        <v>26</v>
      </c>
      <c r="N926">
        <v>0</v>
      </c>
      <c r="O926" t="s">
        <v>26</v>
      </c>
      <c r="P926" t="s">
        <v>26</v>
      </c>
      <c r="Q926" t="s">
        <v>26</v>
      </c>
      <c r="R926" t="s">
        <v>26</v>
      </c>
      <c r="S926" t="s">
        <v>26</v>
      </c>
      <c r="T926" t="s">
        <v>26</v>
      </c>
      <c r="U926" t="s">
        <v>26</v>
      </c>
      <c r="V926">
        <v>0</v>
      </c>
      <c r="W926">
        <f>E926/100</f>
        <v>0.03</v>
      </c>
      <c r="X926">
        <f>F926/1000000</f>
        <v>0.15808</v>
      </c>
      <c r="Y926">
        <f>IF(D926="C",1,0)</f>
        <v>0</v>
      </c>
      <c r="Z926">
        <f>IF(G926="C",1,0)</f>
        <v>0</v>
      </c>
      <c r="AA926">
        <f>IF(G926="S",1,0)</f>
        <v>0</v>
      </c>
      <c r="AB926">
        <f>IF(G926="U",1,0)</f>
        <v>0</v>
      </c>
      <c r="AC926" s="5">
        <f>IF(AND(ISNUMBER(H926),NOT(ISNUMBER(P926))),1,0)</f>
        <v>1</v>
      </c>
      <c r="AD926" s="5">
        <f>IF(AND(ISNUMBER(H926),ISNUMBER(P926)),1,0)</f>
        <v>0</v>
      </c>
      <c r="AE926" s="5">
        <f>W926</f>
        <v>0.03</v>
      </c>
      <c r="AF926" s="5">
        <f>X926</f>
        <v>0.15808</v>
      </c>
      <c r="AG926" s="5">
        <f>Y926</f>
        <v>0</v>
      </c>
      <c r="AH926" s="5">
        <f>IF(OR(G926="C",G926="S",G926="U"),1,0)</f>
        <v>0</v>
      </c>
      <c r="AI926" s="5">
        <f>IF(ISNUMBER(H926),1,0)</f>
        <v>1</v>
      </c>
      <c r="AJ926" s="5">
        <f>IF(ISNUMBER(P926),1,0)</f>
        <v>0</v>
      </c>
      <c r="AK926" s="5">
        <f>IF(AI926=1,IF(J926&gt;0,1,0),"")</f>
        <v>0</v>
      </c>
      <c r="AL926" s="5" t="str">
        <f>IF(AJ926=1,IF(OR(Q926&gt;0,R926&gt;0),1,0),"")</f>
        <v/>
      </c>
    </row>
    <row r="927" spans="1:38">
      <c r="A927">
        <v>2393241</v>
      </c>
      <c r="B927" t="s">
        <v>994</v>
      </c>
      <c r="C927" t="s">
        <v>30</v>
      </c>
      <c r="D927" t="s">
        <v>24</v>
      </c>
      <c r="E927">
        <v>3</v>
      </c>
      <c r="F927">
        <v>1700000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  <c r="S927" t="s">
        <v>26</v>
      </c>
      <c r="T927" t="s">
        <v>26</v>
      </c>
      <c r="U927" t="s">
        <v>26</v>
      </c>
      <c r="V927">
        <v>0</v>
      </c>
      <c r="W927">
        <f>E927/100</f>
        <v>0.03</v>
      </c>
      <c r="X927">
        <f>F927/1000000</f>
        <v>1.7</v>
      </c>
      <c r="Y927">
        <f>IF(D927="C",1,0)</f>
        <v>0</v>
      </c>
      <c r="Z927">
        <f>IF(G927="C",1,0)</f>
        <v>0</v>
      </c>
      <c r="AA927">
        <f>IF(G927="S",1,0)</f>
        <v>0</v>
      </c>
      <c r="AB927">
        <f>IF(G927="U",1,0)</f>
        <v>0</v>
      </c>
      <c r="AC927" s="5">
        <f>IF(AND(ISNUMBER(H927),NOT(ISNUMBER(P927))),1,0)</f>
        <v>1</v>
      </c>
      <c r="AD927" s="5">
        <f>IF(AND(ISNUMBER(H927),ISNUMBER(P927)),1,0)</f>
        <v>0</v>
      </c>
      <c r="AE927" s="5">
        <f>W927</f>
        <v>0.03</v>
      </c>
      <c r="AF927" s="5">
        <f>X927</f>
        <v>1.7</v>
      </c>
      <c r="AG927" s="5">
        <f>Y927</f>
        <v>0</v>
      </c>
      <c r="AH927" s="5">
        <f>IF(OR(G927="C",G927="S",G927="U"),1,0)</f>
        <v>0</v>
      </c>
      <c r="AI927" s="5">
        <f>IF(ISNUMBER(H927),1,0)</f>
        <v>1</v>
      </c>
      <c r="AJ927" s="5">
        <f>IF(ISNUMBER(P927),1,0)</f>
        <v>0</v>
      </c>
      <c r="AK927" s="5">
        <f>IF(AI927=1,IF(J927&gt;0,1,0),"")</f>
        <v>0</v>
      </c>
      <c r="AL927" s="5" t="str">
        <f>IF(AJ927=1,IF(OR(Q927&gt;0,R927&gt;0),1,0),"")</f>
        <v/>
      </c>
    </row>
    <row r="928" spans="1:38">
      <c r="A928">
        <v>2393885</v>
      </c>
      <c r="B928" t="s">
        <v>995</v>
      </c>
      <c r="C928" t="s">
        <v>190</v>
      </c>
      <c r="D928" t="s">
        <v>24</v>
      </c>
      <c r="E928">
        <v>34</v>
      </c>
      <c r="F928">
        <v>1215500</v>
      </c>
      <c r="H928">
        <v>1</v>
      </c>
      <c r="I928">
        <v>3</v>
      </c>
      <c r="J928">
        <v>0</v>
      </c>
      <c r="K928">
        <v>0</v>
      </c>
      <c r="L928">
        <v>0</v>
      </c>
      <c r="M928">
        <v>0</v>
      </c>
      <c r="N928">
        <v>0</v>
      </c>
      <c r="O928" t="s">
        <v>26</v>
      </c>
      <c r="P928" t="s">
        <v>26</v>
      </c>
      <c r="Q928" t="s">
        <v>26</v>
      </c>
      <c r="R928" t="s">
        <v>26</v>
      </c>
      <c r="S928" t="s">
        <v>26</v>
      </c>
      <c r="T928" t="s">
        <v>26</v>
      </c>
      <c r="U928" t="s">
        <v>26</v>
      </c>
      <c r="V928">
        <v>0</v>
      </c>
      <c r="W928">
        <f>E928/100</f>
        <v>0.34</v>
      </c>
      <c r="X928">
        <f>F928/1000000</f>
        <v>1.2155</v>
      </c>
      <c r="Y928">
        <f>IF(D928="C",1,0)</f>
        <v>0</v>
      </c>
      <c r="Z928">
        <f>IF(G928="C",1,0)</f>
        <v>0</v>
      </c>
      <c r="AA928">
        <f>IF(G928="S",1,0)</f>
        <v>0</v>
      </c>
      <c r="AB928">
        <f>IF(G928="U",1,0)</f>
        <v>0</v>
      </c>
      <c r="AC928" s="5">
        <f>IF(AND(ISNUMBER(H928),NOT(ISNUMBER(P928))),1,0)</f>
        <v>1</v>
      </c>
      <c r="AD928" s="5">
        <f>IF(AND(ISNUMBER(H928),ISNUMBER(P928)),1,0)</f>
        <v>0</v>
      </c>
      <c r="AE928" s="5">
        <f>W928</f>
        <v>0.34</v>
      </c>
      <c r="AF928" s="5">
        <f>X928</f>
        <v>1.2155</v>
      </c>
      <c r="AG928" s="5">
        <f>Y928</f>
        <v>0</v>
      </c>
      <c r="AH928" s="5">
        <f>IF(OR(G928="C",G928="S",G928="U"),1,0)</f>
        <v>0</v>
      </c>
      <c r="AI928" s="5">
        <f>IF(ISNUMBER(H928),1,0)</f>
        <v>1</v>
      </c>
      <c r="AJ928" s="5">
        <f>IF(ISNUMBER(P928),1,0)</f>
        <v>0</v>
      </c>
      <c r="AK928" s="5">
        <f>IF(AI928=1,IF(J928&gt;0,1,0),"")</f>
        <v>0</v>
      </c>
      <c r="AL928" s="5" t="str">
        <f>IF(AJ928=1,IF(OR(Q928&gt;0,R928&gt;0),1,0),"")</f>
        <v/>
      </c>
    </row>
    <row r="929" spans="1:38">
      <c r="A929">
        <v>2394642</v>
      </c>
      <c r="B929" t="s">
        <v>996</v>
      </c>
      <c r="C929" t="s">
        <v>23</v>
      </c>
      <c r="D929" t="s">
        <v>24</v>
      </c>
      <c r="E929">
        <v>13</v>
      </c>
      <c r="F929">
        <v>375000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  <c r="S929" t="s">
        <v>26</v>
      </c>
      <c r="T929" t="s">
        <v>26</v>
      </c>
      <c r="U929" t="s">
        <v>26</v>
      </c>
      <c r="V929">
        <v>0</v>
      </c>
      <c r="W929">
        <f>E929/100</f>
        <v>0.13</v>
      </c>
      <c r="X929">
        <f>F929/1000000</f>
        <v>0.375</v>
      </c>
      <c r="Y929">
        <f>IF(D929="C",1,0)</f>
        <v>0</v>
      </c>
      <c r="Z929">
        <f>IF(G929="C",1,0)</f>
        <v>0</v>
      </c>
      <c r="AA929">
        <f>IF(G929="S",1,0)</f>
        <v>0</v>
      </c>
      <c r="AB929">
        <f>IF(G929="U",1,0)</f>
        <v>0</v>
      </c>
      <c r="AC929" s="5">
        <f>IF(AND(ISNUMBER(H929),NOT(ISNUMBER(P929))),1,0)</f>
        <v>1</v>
      </c>
      <c r="AD929" s="5">
        <f>IF(AND(ISNUMBER(H929),ISNUMBER(P929)),1,0)</f>
        <v>0</v>
      </c>
      <c r="AE929" s="5">
        <f>W929</f>
        <v>0.13</v>
      </c>
      <c r="AF929" s="5">
        <f>X929</f>
        <v>0.375</v>
      </c>
      <c r="AG929" s="5">
        <f>Y929</f>
        <v>0</v>
      </c>
      <c r="AH929" s="5">
        <f>IF(OR(G929="C",G929="S",G929="U"),1,0)</f>
        <v>0</v>
      </c>
      <c r="AI929" s="5">
        <f>IF(ISNUMBER(H929),1,0)</f>
        <v>1</v>
      </c>
      <c r="AJ929" s="5">
        <f>IF(ISNUMBER(P929),1,0)</f>
        <v>0</v>
      </c>
      <c r="AK929" s="5">
        <f>IF(AI929=1,IF(J929&gt;0,1,0),"")</f>
        <v>0</v>
      </c>
      <c r="AL929" s="5" t="str">
        <f>IF(AJ929=1,IF(OR(Q929&gt;0,R929&gt;0),1,0),"")</f>
        <v/>
      </c>
    </row>
    <row r="930" spans="1:38">
      <c r="A930">
        <v>2406298</v>
      </c>
      <c r="B930" t="s">
        <v>997</v>
      </c>
      <c r="C930" t="s">
        <v>23</v>
      </c>
      <c r="D930" t="s">
        <v>24</v>
      </c>
      <c r="E930">
        <v>6</v>
      </c>
      <c r="F930">
        <v>40901</v>
      </c>
      <c r="H930">
        <v>1</v>
      </c>
      <c r="I930">
        <v>4</v>
      </c>
      <c r="J930">
        <v>1</v>
      </c>
      <c r="K930">
        <v>1</v>
      </c>
      <c r="L930">
        <v>0.25</v>
      </c>
      <c r="M930" t="s">
        <v>26</v>
      </c>
      <c r="N930">
        <v>0.25</v>
      </c>
      <c r="O930" t="s">
        <v>26</v>
      </c>
      <c r="P930" t="s">
        <v>26</v>
      </c>
      <c r="Q930" t="s">
        <v>26</v>
      </c>
      <c r="R930" t="s">
        <v>26</v>
      </c>
      <c r="S930" t="s">
        <v>26</v>
      </c>
      <c r="T930" t="s">
        <v>26</v>
      </c>
      <c r="U930" t="s">
        <v>26</v>
      </c>
      <c r="V930">
        <v>1</v>
      </c>
      <c r="W930">
        <f>E930/100</f>
        <v>0.06</v>
      </c>
      <c r="X930">
        <f>F930/1000000</f>
        <v>4.0901E-2</v>
      </c>
      <c r="Y930">
        <f>IF(D930="C",1,0)</f>
        <v>0</v>
      </c>
      <c r="Z930">
        <f>IF(G930="C",1,0)</f>
        <v>0</v>
      </c>
      <c r="AA930">
        <f>IF(G930="S",1,0)</f>
        <v>0</v>
      </c>
      <c r="AB930">
        <f>IF(G930="U",1,0)</f>
        <v>0</v>
      </c>
      <c r="AC930" s="5">
        <f>IF(AND(ISNUMBER(H930),NOT(ISNUMBER(P930))),1,0)</f>
        <v>1</v>
      </c>
      <c r="AD930" s="5">
        <f>IF(AND(ISNUMBER(H930),ISNUMBER(P930)),1,0)</f>
        <v>0</v>
      </c>
      <c r="AE930" s="5">
        <f>W930</f>
        <v>0.06</v>
      </c>
      <c r="AF930" s="5">
        <f>X930</f>
        <v>4.0901E-2</v>
      </c>
      <c r="AG930" s="5">
        <f>Y930</f>
        <v>0</v>
      </c>
      <c r="AH930" s="5">
        <f>IF(OR(G930="C",G930="S",G930="U"),1,0)</f>
        <v>0</v>
      </c>
      <c r="AI930" s="5">
        <f>IF(ISNUMBER(H930),1,0)</f>
        <v>1</v>
      </c>
      <c r="AJ930" s="5">
        <f>IF(ISNUMBER(P930),1,0)</f>
        <v>0</v>
      </c>
      <c r="AK930" s="5">
        <f>IF(AI930=1,IF(J930&gt;0,1,0),"")</f>
        <v>1</v>
      </c>
      <c r="AL930" s="5" t="str">
        <f>IF(AJ930=1,IF(OR(Q930&gt;0,R930&gt;0),1,0),"")</f>
        <v/>
      </c>
    </row>
    <row r="931" spans="1:38">
      <c r="A931">
        <v>2413420</v>
      </c>
      <c r="B931" t="s">
        <v>998</v>
      </c>
      <c r="C931" t="s">
        <v>23</v>
      </c>
      <c r="D931" t="s">
        <v>24</v>
      </c>
      <c r="E931">
        <v>4</v>
      </c>
      <c r="F931">
        <v>40000</v>
      </c>
      <c r="H931">
        <v>1</v>
      </c>
      <c r="I931">
        <v>0</v>
      </c>
      <c r="J931">
        <v>0</v>
      </c>
      <c r="K931">
        <v>0</v>
      </c>
      <c r="L931" t="s">
        <v>26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  <c r="S931" t="s">
        <v>26</v>
      </c>
      <c r="T931" t="s">
        <v>26</v>
      </c>
      <c r="U931" t="s">
        <v>26</v>
      </c>
      <c r="V931">
        <v>0</v>
      </c>
      <c r="W931">
        <f>E931/100</f>
        <v>0.04</v>
      </c>
      <c r="X931">
        <f>F931/1000000</f>
        <v>0.04</v>
      </c>
      <c r="Y931">
        <f>IF(D931="C",1,0)</f>
        <v>0</v>
      </c>
      <c r="Z931">
        <f>IF(G931="C",1,0)</f>
        <v>0</v>
      </c>
      <c r="AA931">
        <f>IF(G931="S",1,0)</f>
        <v>0</v>
      </c>
      <c r="AB931">
        <f>IF(G931="U",1,0)</f>
        <v>0</v>
      </c>
      <c r="AC931" s="5">
        <f>IF(AND(ISNUMBER(H931),NOT(ISNUMBER(P931))),1,0)</f>
        <v>1</v>
      </c>
      <c r="AD931" s="5">
        <f>IF(AND(ISNUMBER(H931),ISNUMBER(P931)),1,0)</f>
        <v>0</v>
      </c>
      <c r="AE931" s="5">
        <f>W931</f>
        <v>0.04</v>
      </c>
      <c r="AF931" s="5">
        <f>X931</f>
        <v>0.04</v>
      </c>
      <c r="AG931" s="5">
        <f>Y931</f>
        <v>0</v>
      </c>
      <c r="AH931" s="5">
        <f>IF(OR(G931="C",G931="S",G931="U"),1,0)</f>
        <v>0</v>
      </c>
      <c r="AI931" s="5">
        <f>IF(ISNUMBER(H931),1,0)</f>
        <v>1</v>
      </c>
      <c r="AJ931" s="5">
        <f>IF(ISNUMBER(P931),1,0)</f>
        <v>0</v>
      </c>
      <c r="AK931" s="5">
        <f>IF(AI931=1,IF(J931&gt;0,1,0),"")</f>
        <v>0</v>
      </c>
      <c r="AL931" s="5" t="str">
        <f>IF(AJ931=1,IF(OR(Q931&gt;0,R931&gt;0),1,0),"")</f>
        <v/>
      </c>
    </row>
    <row r="932" spans="1:38">
      <c r="A932">
        <v>2416284</v>
      </c>
      <c r="B932" t="s">
        <v>999</v>
      </c>
      <c r="C932" t="s">
        <v>101</v>
      </c>
      <c r="D932" t="s">
        <v>24</v>
      </c>
      <c r="E932">
        <v>15</v>
      </c>
      <c r="F932">
        <v>1275200</v>
      </c>
      <c r="G932" t="s">
        <v>25</v>
      </c>
      <c r="H932">
        <v>1</v>
      </c>
      <c r="I932">
        <v>24</v>
      </c>
      <c r="J932">
        <v>2</v>
      </c>
      <c r="K932">
        <v>1</v>
      </c>
      <c r="L932">
        <v>8.3299999999999999E-2</v>
      </c>
      <c r="M932">
        <v>0</v>
      </c>
      <c r="N932">
        <v>0.1053</v>
      </c>
      <c r="O932" t="s">
        <v>26</v>
      </c>
      <c r="P932" t="s">
        <v>26</v>
      </c>
      <c r="Q932" t="s">
        <v>26</v>
      </c>
      <c r="R932" t="s">
        <v>26</v>
      </c>
      <c r="S932" t="s">
        <v>26</v>
      </c>
      <c r="T932" t="s">
        <v>26</v>
      </c>
      <c r="U932" t="s">
        <v>26</v>
      </c>
      <c r="V932">
        <v>1</v>
      </c>
      <c r="W932">
        <f>E932/100</f>
        <v>0.15</v>
      </c>
      <c r="X932">
        <f>F932/1000000</f>
        <v>1.2751999999999999</v>
      </c>
      <c r="Y932">
        <f>IF(D932="C",1,0)</f>
        <v>0</v>
      </c>
      <c r="Z932">
        <f>IF(G932="C",1,0)</f>
        <v>0</v>
      </c>
      <c r="AA932">
        <f>IF(G932="S",1,0)</f>
        <v>1</v>
      </c>
      <c r="AB932">
        <f>IF(G932="U",1,0)</f>
        <v>0</v>
      </c>
      <c r="AC932" s="5">
        <f>IF(AND(ISNUMBER(H932),NOT(ISNUMBER(P932))),1,0)</f>
        <v>1</v>
      </c>
      <c r="AD932" s="5">
        <f>IF(AND(ISNUMBER(H932),ISNUMBER(P932)),1,0)</f>
        <v>0</v>
      </c>
      <c r="AE932" s="5">
        <f>W932</f>
        <v>0.15</v>
      </c>
      <c r="AF932" s="5">
        <f>X932</f>
        <v>1.2751999999999999</v>
      </c>
      <c r="AG932" s="5">
        <f>Y932</f>
        <v>0</v>
      </c>
      <c r="AH932" s="5">
        <f>IF(OR(G932="C",G932="S",G932="U"),1,0)</f>
        <v>1</v>
      </c>
      <c r="AI932" s="5">
        <f>IF(ISNUMBER(H932),1,0)</f>
        <v>1</v>
      </c>
      <c r="AJ932" s="5">
        <f>IF(ISNUMBER(P932),1,0)</f>
        <v>0</v>
      </c>
      <c r="AK932" s="5">
        <f>IF(AI932=1,IF(J932&gt;0,1,0),"")</f>
        <v>1</v>
      </c>
      <c r="AL932" s="5" t="str">
        <f>IF(AJ932=1,IF(OR(Q932&gt;0,R932&gt;0),1,0),"")</f>
        <v/>
      </c>
    </row>
    <row r="933" spans="1:38">
      <c r="A933">
        <v>2420569</v>
      </c>
      <c r="B933" t="s">
        <v>1000</v>
      </c>
      <c r="C933" t="s">
        <v>23</v>
      </c>
      <c r="D933" t="s">
        <v>24</v>
      </c>
      <c r="E933">
        <v>424</v>
      </c>
      <c r="F933">
        <v>6500000</v>
      </c>
      <c r="H933">
        <v>7</v>
      </c>
      <c r="I933">
        <v>0</v>
      </c>
      <c r="J933">
        <v>0</v>
      </c>
      <c r="K933">
        <v>0</v>
      </c>
      <c r="L933" t="s">
        <v>26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  <c r="S933" t="s">
        <v>26</v>
      </c>
      <c r="T933" t="s">
        <v>26</v>
      </c>
      <c r="U933" t="s">
        <v>26</v>
      </c>
      <c r="V933">
        <v>0</v>
      </c>
      <c r="W933">
        <f>E933/100</f>
        <v>4.24</v>
      </c>
      <c r="X933">
        <f>F933/1000000</f>
        <v>6.5</v>
      </c>
      <c r="Y933">
        <f>IF(D933="C",1,0)</f>
        <v>0</v>
      </c>
      <c r="Z933">
        <f>IF(G933="C",1,0)</f>
        <v>0</v>
      </c>
      <c r="AA933">
        <f>IF(G933="S",1,0)</f>
        <v>0</v>
      </c>
      <c r="AB933">
        <f>IF(G933="U",1,0)</f>
        <v>0</v>
      </c>
      <c r="AC933" s="5">
        <f>IF(AND(ISNUMBER(H933),NOT(ISNUMBER(P933))),1,0)</f>
        <v>1</v>
      </c>
      <c r="AD933" s="5">
        <f>IF(AND(ISNUMBER(H933),ISNUMBER(P933)),1,0)</f>
        <v>0</v>
      </c>
      <c r="AE933" s="5">
        <f>W933</f>
        <v>4.24</v>
      </c>
      <c r="AF933" s="5">
        <f>X933</f>
        <v>6.5</v>
      </c>
      <c r="AG933" s="5">
        <f>Y933</f>
        <v>0</v>
      </c>
      <c r="AH933" s="5">
        <f>IF(OR(G933="C",G933="S",G933="U"),1,0)</f>
        <v>0</v>
      </c>
      <c r="AI933" s="5">
        <f>IF(ISNUMBER(H933),1,0)</f>
        <v>1</v>
      </c>
      <c r="AJ933" s="5">
        <f>IF(ISNUMBER(P933),1,0)</f>
        <v>0</v>
      </c>
      <c r="AK933" s="5">
        <f>IF(AI933=1,IF(J933&gt;0,1,0),"")</f>
        <v>0</v>
      </c>
      <c r="AL933" s="5" t="str">
        <f>IF(AJ933=1,IF(OR(Q933&gt;0,R933&gt;0),1,0),"")</f>
        <v/>
      </c>
    </row>
    <row r="934" spans="1:38">
      <c r="A934">
        <v>2440672</v>
      </c>
      <c r="B934" t="s">
        <v>1001</v>
      </c>
      <c r="C934" t="s">
        <v>190</v>
      </c>
      <c r="D934" t="s">
        <v>24</v>
      </c>
      <c r="E934">
        <v>255</v>
      </c>
      <c r="F934">
        <v>9200000</v>
      </c>
      <c r="G934" t="s">
        <v>25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  <c r="S934" t="s">
        <v>26</v>
      </c>
      <c r="T934" t="s">
        <v>26</v>
      </c>
      <c r="U934" t="s">
        <v>26</v>
      </c>
      <c r="V934">
        <v>0</v>
      </c>
      <c r="W934">
        <f>E934/100</f>
        <v>2.5499999999999998</v>
      </c>
      <c r="X934">
        <f>F934/1000000</f>
        <v>9.1999999999999993</v>
      </c>
      <c r="Y934">
        <f>IF(D934="C",1,0)</f>
        <v>0</v>
      </c>
      <c r="Z934">
        <f>IF(G934="C",1,0)</f>
        <v>0</v>
      </c>
      <c r="AA934">
        <f>IF(G934="S",1,0)</f>
        <v>1</v>
      </c>
      <c r="AB934">
        <f>IF(G934="U",1,0)</f>
        <v>0</v>
      </c>
      <c r="AC934" s="5">
        <f>IF(AND(ISNUMBER(H934),NOT(ISNUMBER(P934))),1,0)</f>
        <v>1</v>
      </c>
      <c r="AD934" s="5">
        <f>IF(AND(ISNUMBER(H934),ISNUMBER(P934)),1,0)</f>
        <v>0</v>
      </c>
      <c r="AE934" s="5">
        <f>W934</f>
        <v>2.5499999999999998</v>
      </c>
      <c r="AF934" s="5">
        <f>X934</f>
        <v>9.1999999999999993</v>
      </c>
      <c r="AG934" s="5">
        <f>Y934</f>
        <v>0</v>
      </c>
      <c r="AH934" s="5">
        <f>IF(OR(G934="C",G934="S",G934="U"),1,0)</f>
        <v>1</v>
      </c>
      <c r="AI934" s="5">
        <f>IF(ISNUMBER(H934),1,0)</f>
        <v>1</v>
      </c>
      <c r="AJ934" s="5">
        <f>IF(ISNUMBER(P934),1,0)</f>
        <v>0</v>
      </c>
      <c r="AK934" s="5">
        <f>IF(AI934=1,IF(J934&gt;0,1,0),"")</f>
        <v>0</v>
      </c>
      <c r="AL934" s="5" t="str">
        <f>IF(AJ934=1,IF(OR(Q934&gt;0,R934&gt;0),1,0),"")</f>
        <v/>
      </c>
    </row>
    <row r="935" spans="1:38">
      <c r="A935">
        <v>2443026</v>
      </c>
      <c r="B935" t="s">
        <v>1002</v>
      </c>
      <c r="C935" t="s">
        <v>23</v>
      </c>
      <c r="D935" t="s">
        <v>33</v>
      </c>
      <c r="E935">
        <v>1</v>
      </c>
      <c r="F935">
        <v>10000</v>
      </c>
      <c r="H935">
        <v>1</v>
      </c>
      <c r="I935">
        <v>0</v>
      </c>
      <c r="J935">
        <v>0</v>
      </c>
      <c r="K935">
        <v>0</v>
      </c>
      <c r="L935" t="s">
        <v>26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  <c r="S935" t="s">
        <v>26</v>
      </c>
      <c r="T935" t="s">
        <v>26</v>
      </c>
      <c r="U935" t="s">
        <v>26</v>
      </c>
      <c r="V935">
        <v>0</v>
      </c>
      <c r="W935">
        <f>E935/100</f>
        <v>0.01</v>
      </c>
      <c r="X935">
        <f>F935/1000000</f>
        <v>0.01</v>
      </c>
      <c r="Y935">
        <f>IF(D935="C",1,0)</f>
        <v>1</v>
      </c>
      <c r="Z935">
        <f>IF(G935="C",1,0)</f>
        <v>0</v>
      </c>
      <c r="AA935">
        <f>IF(G935="S",1,0)</f>
        <v>0</v>
      </c>
      <c r="AB935">
        <f>IF(G935="U",1,0)</f>
        <v>0</v>
      </c>
      <c r="AC935" s="5">
        <f>IF(AND(ISNUMBER(H935),NOT(ISNUMBER(P935))),1,0)</f>
        <v>1</v>
      </c>
      <c r="AD935" s="5">
        <f>IF(AND(ISNUMBER(H935),ISNUMBER(P935)),1,0)</f>
        <v>0</v>
      </c>
      <c r="AE935" s="5">
        <f>W935</f>
        <v>0.01</v>
      </c>
      <c r="AF935" s="5">
        <f>X935</f>
        <v>0.01</v>
      </c>
      <c r="AG935" s="5">
        <f>Y935</f>
        <v>1</v>
      </c>
      <c r="AH935" s="5">
        <f>IF(OR(G935="C",G935="S",G935="U"),1,0)</f>
        <v>0</v>
      </c>
      <c r="AI935" s="5">
        <f>IF(ISNUMBER(H935),1,0)</f>
        <v>1</v>
      </c>
      <c r="AJ935" s="5">
        <f>IF(ISNUMBER(P935),1,0)</f>
        <v>0</v>
      </c>
      <c r="AK935" s="5">
        <f>IF(AI935=1,IF(J935&gt;0,1,0),"")</f>
        <v>0</v>
      </c>
      <c r="AL935" s="5" t="str">
        <f>IF(AJ935=1,IF(OR(Q935&gt;0,R935&gt;0),1,0),"")</f>
        <v/>
      </c>
    </row>
    <row r="936" spans="1:38">
      <c r="A936">
        <v>2447892</v>
      </c>
      <c r="B936" t="s">
        <v>1003</v>
      </c>
      <c r="C936" t="s">
        <v>135</v>
      </c>
      <c r="D936" t="s">
        <v>33</v>
      </c>
      <c r="E936">
        <v>2</v>
      </c>
      <c r="F936">
        <v>145265</v>
      </c>
      <c r="H936">
        <v>1</v>
      </c>
      <c r="I936">
        <v>3</v>
      </c>
      <c r="J936">
        <v>0</v>
      </c>
      <c r="K936">
        <v>0</v>
      </c>
      <c r="L936">
        <v>0</v>
      </c>
      <c r="M936" t="s">
        <v>26</v>
      </c>
      <c r="N936">
        <v>0</v>
      </c>
      <c r="O936" t="s">
        <v>26</v>
      </c>
      <c r="P936" t="s">
        <v>26</v>
      </c>
      <c r="Q936" t="s">
        <v>26</v>
      </c>
      <c r="R936" t="s">
        <v>26</v>
      </c>
      <c r="S936" t="s">
        <v>26</v>
      </c>
      <c r="T936" t="s">
        <v>26</v>
      </c>
      <c r="U936" t="s">
        <v>26</v>
      </c>
      <c r="V936">
        <v>0</v>
      </c>
      <c r="W936">
        <f>E936/100</f>
        <v>0.02</v>
      </c>
      <c r="X936">
        <f>F936/1000000</f>
        <v>0.14526500000000001</v>
      </c>
      <c r="Y936">
        <f>IF(D936="C",1,0)</f>
        <v>1</v>
      </c>
      <c r="Z936">
        <f>IF(G936="C",1,0)</f>
        <v>0</v>
      </c>
      <c r="AA936">
        <f>IF(G936="S",1,0)</f>
        <v>0</v>
      </c>
      <c r="AB936">
        <f>IF(G936="U",1,0)</f>
        <v>0</v>
      </c>
      <c r="AC936" s="5">
        <f>IF(AND(ISNUMBER(H936),NOT(ISNUMBER(P936))),1,0)</f>
        <v>1</v>
      </c>
      <c r="AD936" s="5">
        <f>IF(AND(ISNUMBER(H936),ISNUMBER(P936)),1,0)</f>
        <v>0</v>
      </c>
      <c r="AE936" s="5">
        <f>W936</f>
        <v>0.02</v>
      </c>
      <c r="AF936" s="5">
        <f>X936</f>
        <v>0.14526500000000001</v>
      </c>
      <c r="AG936" s="5">
        <f>Y936</f>
        <v>1</v>
      </c>
      <c r="AH936" s="5">
        <f>IF(OR(G936="C",G936="S",G936="U"),1,0)</f>
        <v>0</v>
      </c>
      <c r="AI936" s="5">
        <f>IF(ISNUMBER(H936),1,0)</f>
        <v>1</v>
      </c>
      <c r="AJ936" s="5">
        <f>IF(ISNUMBER(P936),1,0)</f>
        <v>0</v>
      </c>
      <c r="AK936" s="5">
        <f>IF(AI936=1,IF(J936&gt;0,1,0),"")</f>
        <v>0</v>
      </c>
      <c r="AL936" s="5" t="str">
        <f>IF(AJ936=1,IF(OR(Q936&gt;0,R936&gt;0),1,0),"")</f>
        <v/>
      </c>
    </row>
    <row r="937" spans="1:38">
      <c r="A937">
        <v>2464374</v>
      </c>
      <c r="B937" t="s">
        <v>1004</v>
      </c>
      <c r="C937" t="s">
        <v>23</v>
      </c>
      <c r="D937" t="s">
        <v>24</v>
      </c>
      <c r="E937">
        <v>5</v>
      </c>
      <c r="F937">
        <v>22000</v>
      </c>
      <c r="H937">
        <v>1</v>
      </c>
      <c r="I937">
        <v>4</v>
      </c>
      <c r="J937">
        <v>0</v>
      </c>
      <c r="K937">
        <v>0</v>
      </c>
      <c r="L937">
        <v>0</v>
      </c>
      <c r="M937" t="s">
        <v>26</v>
      </c>
      <c r="N937">
        <v>0</v>
      </c>
      <c r="O937" t="s">
        <v>26</v>
      </c>
      <c r="P937" t="s">
        <v>26</v>
      </c>
      <c r="Q937" t="s">
        <v>26</v>
      </c>
      <c r="R937" t="s">
        <v>26</v>
      </c>
      <c r="S937" t="s">
        <v>26</v>
      </c>
      <c r="T937" t="s">
        <v>26</v>
      </c>
      <c r="U937" t="s">
        <v>26</v>
      </c>
      <c r="V937">
        <v>0</v>
      </c>
      <c r="W937">
        <f>E937/100</f>
        <v>0.05</v>
      </c>
      <c r="X937">
        <f>F937/1000000</f>
        <v>2.1999999999999999E-2</v>
      </c>
      <c r="Y937">
        <f>IF(D937="C",1,0)</f>
        <v>0</v>
      </c>
      <c r="Z937">
        <f>IF(G937="C",1,0)</f>
        <v>0</v>
      </c>
      <c r="AA937">
        <f>IF(G937="S",1,0)</f>
        <v>0</v>
      </c>
      <c r="AB937">
        <f>IF(G937="U",1,0)</f>
        <v>0</v>
      </c>
      <c r="AC937" s="5">
        <f>IF(AND(ISNUMBER(H937),NOT(ISNUMBER(P937))),1,0)</f>
        <v>1</v>
      </c>
      <c r="AD937" s="5">
        <f>IF(AND(ISNUMBER(H937),ISNUMBER(P937)),1,0)</f>
        <v>0</v>
      </c>
      <c r="AE937" s="5">
        <f>W937</f>
        <v>0.05</v>
      </c>
      <c r="AF937" s="5">
        <f>X937</f>
        <v>2.1999999999999999E-2</v>
      </c>
      <c r="AG937" s="5">
        <f>Y937</f>
        <v>0</v>
      </c>
      <c r="AH937" s="5">
        <f>IF(OR(G937="C",G937="S",G937="U"),1,0)</f>
        <v>0</v>
      </c>
      <c r="AI937" s="5">
        <f>IF(ISNUMBER(H937),1,0)</f>
        <v>1</v>
      </c>
      <c r="AJ937" s="5">
        <f>IF(ISNUMBER(P937),1,0)</f>
        <v>0</v>
      </c>
      <c r="AK937" s="5">
        <f>IF(AI937=1,IF(J937&gt;0,1,0),"")</f>
        <v>0</v>
      </c>
      <c r="AL937" s="5" t="str">
        <f>IF(AJ937=1,IF(OR(Q937&gt;0,R937&gt;0),1,0),"")</f>
        <v/>
      </c>
    </row>
    <row r="938" spans="1:38">
      <c r="A938">
        <v>2467226</v>
      </c>
      <c r="B938" t="s">
        <v>1005</v>
      </c>
      <c r="C938" t="s">
        <v>23</v>
      </c>
      <c r="D938" t="s">
        <v>24</v>
      </c>
      <c r="E938">
        <v>15</v>
      </c>
      <c r="F938">
        <v>568452</v>
      </c>
      <c r="H938">
        <v>1</v>
      </c>
      <c r="I938">
        <v>6</v>
      </c>
      <c r="J938">
        <v>3</v>
      </c>
      <c r="K938">
        <v>1</v>
      </c>
      <c r="L938">
        <v>0.5</v>
      </c>
      <c r="M938" t="s">
        <v>26</v>
      </c>
      <c r="N938">
        <v>0.5</v>
      </c>
      <c r="O938" t="s">
        <v>26</v>
      </c>
      <c r="P938" t="s">
        <v>26</v>
      </c>
      <c r="Q938" t="s">
        <v>26</v>
      </c>
      <c r="R938" t="s">
        <v>26</v>
      </c>
      <c r="S938" t="s">
        <v>26</v>
      </c>
      <c r="T938" t="s">
        <v>26</v>
      </c>
      <c r="U938" t="s">
        <v>26</v>
      </c>
      <c r="V938">
        <v>1</v>
      </c>
      <c r="W938">
        <f>E938/100</f>
        <v>0.15</v>
      </c>
      <c r="X938">
        <f>F938/1000000</f>
        <v>0.56845199999999996</v>
      </c>
      <c r="Y938">
        <f>IF(D938="C",1,0)</f>
        <v>0</v>
      </c>
      <c r="Z938">
        <f>IF(G938="C",1,0)</f>
        <v>0</v>
      </c>
      <c r="AA938">
        <f>IF(G938="S",1,0)</f>
        <v>0</v>
      </c>
      <c r="AB938">
        <f>IF(G938="U",1,0)</f>
        <v>0</v>
      </c>
      <c r="AC938" s="5">
        <f>IF(AND(ISNUMBER(H938),NOT(ISNUMBER(P938))),1,0)</f>
        <v>1</v>
      </c>
      <c r="AD938" s="5">
        <f>IF(AND(ISNUMBER(H938),ISNUMBER(P938)),1,0)</f>
        <v>0</v>
      </c>
      <c r="AE938" s="5">
        <f>W938</f>
        <v>0.15</v>
      </c>
      <c r="AF938" s="5">
        <f>X938</f>
        <v>0.56845199999999996</v>
      </c>
      <c r="AG938" s="5">
        <f>Y938</f>
        <v>0</v>
      </c>
      <c r="AH938" s="5">
        <f>IF(OR(G938="C",G938="S",G938="U"),1,0)</f>
        <v>0</v>
      </c>
      <c r="AI938" s="5">
        <f>IF(ISNUMBER(H938),1,0)</f>
        <v>1</v>
      </c>
      <c r="AJ938" s="5">
        <f>IF(ISNUMBER(P938),1,0)</f>
        <v>0</v>
      </c>
      <c r="AK938" s="5">
        <f>IF(AI938=1,IF(J938&gt;0,1,0),"")</f>
        <v>1</v>
      </c>
      <c r="AL938" s="5" t="str">
        <f>IF(AJ938=1,IF(OR(Q938&gt;0,R938&gt;0),1,0),"")</f>
        <v/>
      </c>
    </row>
    <row r="939" spans="1:38">
      <c r="A939">
        <v>2467646</v>
      </c>
      <c r="B939" t="s">
        <v>1006</v>
      </c>
      <c r="C939" t="s">
        <v>23</v>
      </c>
      <c r="D939" t="s">
        <v>24</v>
      </c>
      <c r="E939">
        <v>4</v>
      </c>
      <c r="F939">
        <v>2014</v>
      </c>
      <c r="H939">
        <v>1</v>
      </c>
      <c r="I939">
        <v>1</v>
      </c>
      <c r="J939">
        <v>0</v>
      </c>
      <c r="K939">
        <v>0</v>
      </c>
      <c r="L939">
        <v>0</v>
      </c>
      <c r="M939" t="s">
        <v>26</v>
      </c>
      <c r="N939">
        <v>0</v>
      </c>
      <c r="O939" t="s">
        <v>26</v>
      </c>
      <c r="P939" t="s">
        <v>26</v>
      </c>
      <c r="Q939" t="s">
        <v>26</v>
      </c>
      <c r="R939" t="s">
        <v>26</v>
      </c>
      <c r="S939" t="s">
        <v>26</v>
      </c>
      <c r="T939" t="s">
        <v>26</v>
      </c>
      <c r="U939" t="s">
        <v>26</v>
      </c>
      <c r="V939">
        <v>0</v>
      </c>
      <c r="W939">
        <f>E939/100</f>
        <v>0.04</v>
      </c>
      <c r="X939">
        <f>F939/1000000</f>
        <v>2.0140000000000002E-3</v>
      </c>
      <c r="Y939">
        <f>IF(D939="C",1,0)</f>
        <v>0</v>
      </c>
      <c r="Z939">
        <f>IF(G939="C",1,0)</f>
        <v>0</v>
      </c>
      <c r="AA939">
        <f>IF(G939="S",1,0)</f>
        <v>0</v>
      </c>
      <c r="AB939">
        <f>IF(G939="U",1,0)</f>
        <v>0</v>
      </c>
      <c r="AC939" s="5">
        <f>IF(AND(ISNUMBER(H939),NOT(ISNUMBER(P939))),1,0)</f>
        <v>1</v>
      </c>
      <c r="AD939" s="5">
        <f>IF(AND(ISNUMBER(H939),ISNUMBER(P939)),1,0)</f>
        <v>0</v>
      </c>
      <c r="AE939" s="5">
        <f>W939</f>
        <v>0.04</v>
      </c>
      <c r="AF939" s="5">
        <f>X939</f>
        <v>2.0140000000000002E-3</v>
      </c>
      <c r="AG939" s="5">
        <f>Y939</f>
        <v>0</v>
      </c>
      <c r="AH939" s="5">
        <f>IF(OR(G939="C",G939="S",G939="U"),1,0)</f>
        <v>0</v>
      </c>
      <c r="AI939" s="5">
        <f>IF(ISNUMBER(H939),1,0)</f>
        <v>1</v>
      </c>
      <c r="AJ939" s="5">
        <f>IF(ISNUMBER(P939),1,0)</f>
        <v>0</v>
      </c>
      <c r="AK939" s="5">
        <f>IF(AI939=1,IF(J939&gt;0,1,0),"")</f>
        <v>0</v>
      </c>
      <c r="AL939" s="5" t="str">
        <f>IF(AJ939=1,IF(OR(Q939&gt;0,R939&gt;0),1,0),"")</f>
        <v/>
      </c>
    </row>
    <row r="940" spans="1:38">
      <c r="A940">
        <v>2467830</v>
      </c>
      <c r="B940" t="s">
        <v>1007</v>
      </c>
      <c r="C940" t="s">
        <v>101</v>
      </c>
      <c r="D940" t="s">
        <v>24</v>
      </c>
      <c r="E940">
        <v>2</v>
      </c>
      <c r="F940">
        <v>60000</v>
      </c>
      <c r="H940">
        <v>1</v>
      </c>
      <c r="I940">
        <v>3</v>
      </c>
      <c r="J940">
        <v>2</v>
      </c>
      <c r="K940">
        <v>1</v>
      </c>
      <c r="L940">
        <v>0.66669999999999996</v>
      </c>
      <c r="M940">
        <v>0.66669999999999996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  <c r="S940" t="s">
        <v>26</v>
      </c>
      <c r="T940" t="s">
        <v>26</v>
      </c>
      <c r="U940" t="s">
        <v>26</v>
      </c>
      <c r="V940">
        <v>1</v>
      </c>
      <c r="W940">
        <f>E940/100</f>
        <v>0.02</v>
      </c>
      <c r="X940">
        <f>F940/1000000</f>
        <v>0.06</v>
      </c>
      <c r="Y940">
        <f>IF(D940="C",1,0)</f>
        <v>0</v>
      </c>
      <c r="Z940">
        <f>IF(G940="C",1,0)</f>
        <v>0</v>
      </c>
      <c r="AA940">
        <f>IF(G940="S",1,0)</f>
        <v>0</v>
      </c>
      <c r="AB940">
        <f>IF(G940="U",1,0)</f>
        <v>0</v>
      </c>
      <c r="AC940" s="5">
        <f>IF(AND(ISNUMBER(H940),NOT(ISNUMBER(P940))),1,0)</f>
        <v>1</v>
      </c>
      <c r="AD940" s="5">
        <f>IF(AND(ISNUMBER(H940),ISNUMBER(P940)),1,0)</f>
        <v>0</v>
      </c>
      <c r="AE940" s="5">
        <f>W940</f>
        <v>0.02</v>
      </c>
      <c r="AF940" s="5">
        <f>X940</f>
        <v>0.06</v>
      </c>
      <c r="AG940" s="5">
        <f>Y940</f>
        <v>0</v>
      </c>
      <c r="AH940" s="5">
        <f>IF(OR(G940="C",G940="S",G940="U"),1,0)</f>
        <v>0</v>
      </c>
      <c r="AI940" s="5">
        <f>IF(ISNUMBER(H940),1,0)</f>
        <v>1</v>
      </c>
      <c r="AJ940" s="5">
        <f>IF(ISNUMBER(P940),1,0)</f>
        <v>0</v>
      </c>
      <c r="AK940" s="5">
        <f>IF(AI940=1,IF(J940&gt;0,1,0),"")</f>
        <v>1</v>
      </c>
      <c r="AL940" s="5" t="str">
        <f>IF(AJ940=1,IF(OR(Q940&gt;0,R940&gt;0),1,0),"")</f>
        <v/>
      </c>
    </row>
    <row r="941" spans="1:38">
      <c r="A941">
        <v>2486746</v>
      </c>
      <c r="B941" t="s">
        <v>1008</v>
      </c>
      <c r="C941" t="s">
        <v>183</v>
      </c>
      <c r="D941" t="s">
        <v>24</v>
      </c>
      <c r="E941">
        <v>2</v>
      </c>
      <c r="F941">
        <v>380000</v>
      </c>
      <c r="H941">
        <v>1</v>
      </c>
      <c r="I941">
        <v>3</v>
      </c>
      <c r="J941">
        <v>0</v>
      </c>
      <c r="K941">
        <v>0</v>
      </c>
      <c r="L941">
        <v>0</v>
      </c>
      <c r="M941">
        <v>0</v>
      </c>
      <c r="N941">
        <v>0</v>
      </c>
      <c r="O941" t="s">
        <v>26</v>
      </c>
      <c r="P941" t="s">
        <v>26</v>
      </c>
      <c r="Q941" t="s">
        <v>26</v>
      </c>
      <c r="R941" t="s">
        <v>26</v>
      </c>
      <c r="S941" t="s">
        <v>26</v>
      </c>
      <c r="T941" t="s">
        <v>26</v>
      </c>
      <c r="U941" t="s">
        <v>26</v>
      </c>
      <c r="V941">
        <v>0</v>
      </c>
      <c r="W941">
        <f>E941/100</f>
        <v>0.02</v>
      </c>
      <c r="X941">
        <f>F941/1000000</f>
        <v>0.38</v>
      </c>
      <c r="Y941">
        <f>IF(D941="C",1,0)</f>
        <v>0</v>
      </c>
      <c r="Z941">
        <f>IF(G941="C",1,0)</f>
        <v>0</v>
      </c>
      <c r="AA941">
        <f>IF(G941="S",1,0)</f>
        <v>0</v>
      </c>
      <c r="AB941">
        <f>IF(G941="U",1,0)</f>
        <v>0</v>
      </c>
      <c r="AC941" s="5">
        <f>IF(AND(ISNUMBER(H941),NOT(ISNUMBER(P941))),1,0)</f>
        <v>1</v>
      </c>
      <c r="AD941" s="5">
        <f>IF(AND(ISNUMBER(H941),ISNUMBER(P941)),1,0)</f>
        <v>0</v>
      </c>
      <c r="AE941" s="5">
        <f>W941</f>
        <v>0.02</v>
      </c>
      <c r="AF941" s="5">
        <f>X941</f>
        <v>0.38</v>
      </c>
      <c r="AG941" s="5">
        <f>Y941</f>
        <v>0</v>
      </c>
      <c r="AH941" s="5">
        <f>IF(OR(G941="C",G941="S",G941="U"),1,0)</f>
        <v>0</v>
      </c>
      <c r="AI941" s="5">
        <f>IF(ISNUMBER(H941),1,0)</f>
        <v>1</v>
      </c>
      <c r="AJ941" s="5">
        <f>IF(ISNUMBER(P941),1,0)</f>
        <v>0</v>
      </c>
      <c r="AK941" s="5">
        <f>IF(AI941=1,IF(J941&gt;0,1,0),"")</f>
        <v>0</v>
      </c>
      <c r="AL941" s="5" t="str">
        <f>IF(AJ941=1,IF(OR(Q941&gt;0,R941&gt;0),1,0),"")</f>
        <v/>
      </c>
    </row>
    <row r="942" spans="1:38">
      <c r="A942">
        <v>2487952</v>
      </c>
      <c r="B942" t="s">
        <v>1009</v>
      </c>
      <c r="C942" t="s">
        <v>314</v>
      </c>
      <c r="D942" t="s">
        <v>24</v>
      </c>
      <c r="E942">
        <v>1</v>
      </c>
      <c r="F942">
        <v>73993</v>
      </c>
      <c r="H942">
        <v>1</v>
      </c>
      <c r="I942">
        <v>0</v>
      </c>
      <c r="J942">
        <v>0</v>
      </c>
      <c r="K942">
        <v>0</v>
      </c>
      <c r="L942" t="s">
        <v>26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  <c r="S942" t="s">
        <v>26</v>
      </c>
      <c r="T942" t="s">
        <v>26</v>
      </c>
      <c r="U942" t="s">
        <v>26</v>
      </c>
      <c r="V942">
        <v>0</v>
      </c>
      <c r="W942">
        <f>E942/100</f>
        <v>0.01</v>
      </c>
      <c r="X942">
        <f>F942/1000000</f>
        <v>7.3993000000000003E-2</v>
      </c>
      <c r="Y942">
        <f>IF(D942="C",1,0)</f>
        <v>0</v>
      </c>
      <c r="Z942">
        <f>IF(G942="C",1,0)</f>
        <v>0</v>
      </c>
      <c r="AA942">
        <f>IF(G942="S",1,0)</f>
        <v>0</v>
      </c>
      <c r="AB942">
        <f>IF(G942="U",1,0)</f>
        <v>0</v>
      </c>
      <c r="AC942" s="5">
        <f>IF(AND(ISNUMBER(H942),NOT(ISNUMBER(P942))),1,0)</f>
        <v>1</v>
      </c>
      <c r="AD942" s="5">
        <f>IF(AND(ISNUMBER(H942),ISNUMBER(P942)),1,0)</f>
        <v>0</v>
      </c>
      <c r="AE942" s="5">
        <f>W942</f>
        <v>0.01</v>
      </c>
      <c r="AF942" s="5">
        <f>X942</f>
        <v>7.3993000000000003E-2</v>
      </c>
      <c r="AG942" s="5">
        <f>Y942</f>
        <v>0</v>
      </c>
      <c r="AH942" s="5">
        <f>IF(OR(G942="C",G942="S",G942="U"),1,0)</f>
        <v>0</v>
      </c>
      <c r="AI942" s="5">
        <f>IF(ISNUMBER(H942),1,0)</f>
        <v>1</v>
      </c>
      <c r="AJ942" s="5">
        <f>IF(ISNUMBER(P942),1,0)</f>
        <v>0</v>
      </c>
      <c r="AK942" s="5">
        <f>IF(AI942=1,IF(J942&gt;0,1,0),"")</f>
        <v>0</v>
      </c>
      <c r="AL942" s="5" t="str">
        <f>IF(AJ942=1,IF(OR(Q942&gt;0,R942&gt;0),1,0),"")</f>
        <v/>
      </c>
    </row>
    <row r="943" spans="1:38">
      <c r="A943">
        <v>2494340</v>
      </c>
      <c r="B943" t="s">
        <v>1010</v>
      </c>
      <c r="C943" t="s">
        <v>37</v>
      </c>
      <c r="D943" t="s">
        <v>33</v>
      </c>
      <c r="E943">
        <v>2</v>
      </c>
      <c r="F943">
        <v>15000</v>
      </c>
      <c r="H943">
        <v>1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 t="s">
        <v>26</v>
      </c>
      <c r="P943" t="s">
        <v>26</v>
      </c>
      <c r="Q943" t="s">
        <v>26</v>
      </c>
      <c r="R943" t="s">
        <v>26</v>
      </c>
      <c r="S943" t="s">
        <v>26</v>
      </c>
      <c r="T943" t="s">
        <v>26</v>
      </c>
      <c r="U943" t="s">
        <v>26</v>
      </c>
      <c r="V943">
        <v>0</v>
      </c>
      <c r="W943">
        <f>E943/100</f>
        <v>0.02</v>
      </c>
      <c r="X943">
        <f>F943/1000000</f>
        <v>1.4999999999999999E-2</v>
      </c>
      <c r="Y943">
        <f>IF(D943="C",1,0)</f>
        <v>1</v>
      </c>
      <c r="Z943">
        <f>IF(G943="C",1,0)</f>
        <v>0</v>
      </c>
      <c r="AA943">
        <f>IF(G943="S",1,0)</f>
        <v>0</v>
      </c>
      <c r="AB943">
        <f>IF(G943="U",1,0)</f>
        <v>0</v>
      </c>
      <c r="AC943" s="5">
        <f>IF(AND(ISNUMBER(H943),NOT(ISNUMBER(P943))),1,0)</f>
        <v>1</v>
      </c>
      <c r="AD943" s="5">
        <f>IF(AND(ISNUMBER(H943),ISNUMBER(P943)),1,0)</f>
        <v>0</v>
      </c>
      <c r="AE943" s="5">
        <f>W943</f>
        <v>0.02</v>
      </c>
      <c r="AF943" s="5">
        <f>X943</f>
        <v>1.4999999999999999E-2</v>
      </c>
      <c r="AG943" s="5">
        <f>Y943</f>
        <v>1</v>
      </c>
      <c r="AH943" s="5">
        <f>IF(OR(G943="C",G943="S",G943="U"),1,0)</f>
        <v>0</v>
      </c>
      <c r="AI943" s="5">
        <f>IF(ISNUMBER(H943),1,0)</f>
        <v>1</v>
      </c>
      <c r="AJ943" s="5">
        <f>IF(ISNUMBER(P943),1,0)</f>
        <v>0</v>
      </c>
      <c r="AK943" s="5">
        <f>IF(AI943=1,IF(J943&gt;0,1,0),"")</f>
        <v>0</v>
      </c>
      <c r="AL943" s="5" t="str">
        <f>IF(AJ943=1,IF(OR(Q943&gt;0,R943&gt;0),1,0),"")</f>
        <v/>
      </c>
    </row>
    <row r="944" spans="1:38">
      <c r="A944">
        <v>2499674</v>
      </c>
      <c r="B944" t="s">
        <v>1011</v>
      </c>
      <c r="C944" t="s">
        <v>77</v>
      </c>
      <c r="D944" t="s">
        <v>24</v>
      </c>
      <c r="E944">
        <v>399</v>
      </c>
      <c r="F944">
        <v>3430000</v>
      </c>
      <c r="H944">
        <v>1</v>
      </c>
      <c r="I944">
        <v>5</v>
      </c>
      <c r="J944">
        <v>0</v>
      </c>
      <c r="K944">
        <v>0</v>
      </c>
      <c r="L944">
        <v>0</v>
      </c>
      <c r="M944">
        <v>0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  <c r="S944" t="s">
        <v>26</v>
      </c>
      <c r="T944" t="s">
        <v>26</v>
      </c>
      <c r="U944" t="s">
        <v>26</v>
      </c>
      <c r="V944">
        <v>0</v>
      </c>
      <c r="W944">
        <f>E944/100</f>
        <v>3.99</v>
      </c>
      <c r="X944">
        <f>F944/1000000</f>
        <v>3.43</v>
      </c>
      <c r="Y944">
        <f>IF(D944="C",1,0)</f>
        <v>0</v>
      </c>
      <c r="Z944">
        <f>IF(G944="C",1,0)</f>
        <v>0</v>
      </c>
      <c r="AA944">
        <f>IF(G944="S",1,0)</f>
        <v>0</v>
      </c>
      <c r="AB944">
        <f>IF(G944="U",1,0)</f>
        <v>0</v>
      </c>
      <c r="AC944" s="5">
        <f>IF(AND(ISNUMBER(H944),NOT(ISNUMBER(P944))),1,0)</f>
        <v>1</v>
      </c>
      <c r="AD944" s="5">
        <f>IF(AND(ISNUMBER(H944),ISNUMBER(P944)),1,0)</f>
        <v>0</v>
      </c>
      <c r="AE944" s="5">
        <f>W944</f>
        <v>3.99</v>
      </c>
      <c r="AF944" s="5">
        <f>X944</f>
        <v>3.43</v>
      </c>
      <c r="AG944" s="5">
        <f>Y944</f>
        <v>0</v>
      </c>
      <c r="AH944" s="5">
        <f>IF(OR(G944="C",G944="S",G944="U"),1,0)</f>
        <v>0</v>
      </c>
      <c r="AI944" s="5">
        <f>IF(ISNUMBER(H944),1,0)</f>
        <v>1</v>
      </c>
      <c r="AJ944" s="5">
        <f>IF(ISNUMBER(P944),1,0)</f>
        <v>0</v>
      </c>
      <c r="AK944" s="5">
        <f>IF(AI944=1,IF(J944&gt;0,1,0),"")</f>
        <v>0</v>
      </c>
      <c r="AL944" s="5" t="str">
        <f>IF(AJ944=1,IF(OR(Q944&gt;0,R944&gt;0),1,0),"")</f>
        <v/>
      </c>
    </row>
    <row r="945" spans="1:38">
      <c r="A945">
        <v>2500525</v>
      </c>
      <c r="B945" t="s">
        <v>1012</v>
      </c>
      <c r="C945" t="s">
        <v>135</v>
      </c>
      <c r="D945" t="s">
        <v>24</v>
      </c>
      <c r="E945">
        <v>1</v>
      </c>
      <c r="F945">
        <v>78316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  <c r="S945" t="s">
        <v>26</v>
      </c>
      <c r="T945" t="s">
        <v>26</v>
      </c>
      <c r="U945" t="s">
        <v>26</v>
      </c>
      <c r="V945">
        <v>0</v>
      </c>
      <c r="W945">
        <f>E945/100</f>
        <v>0.01</v>
      </c>
      <c r="X945">
        <f>F945/1000000</f>
        <v>7.8315999999999997E-2</v>
      </c>
      <c r="Y945">
        <f>IF(D945="C",1,0)</f>
        <v>0</v>
      </c>
      <c r="Z945">
        <f>IF(G945="C",1,0)</f>
        <v>0</v>
      </c>
      <c r="AA945">
        <f>IF(G945="S",1,0)</f>
        <v>0</v>
      </c>
      <c r="AB945">
        <f>IF(G945="U",1,0)</f>
        <v>0</v>
      </c>
      <c r="AC945" s="5">
        <f>IF(AND(ISNUMBER(H945),NOT(ISNUMBER(P945))),1,0)</f>
        <v>1</v>
      </c>
      <c r="AD945" s="5">
        <f>IF(AND(ISNUMBER(H945),ISNUMBER(P945)),1,0)</f>
        <v>0</v>
      </c>
      <c r="AE945" s="5">
        <f>W945</f>
        <v>0.01</v>
      </c>
      <c r="AF945" s="5">
        <f>X945</f>
        <v>7.8315999999999997E-2</v>
      </c>
      <c r="AG945" s="5">
        <f>Y945</f>
        <v>0</v>
      </c>
      <c r="AH945" s="5">
        <f>IF(OR(G945="C",G945="S",G945="U"),1,0)</f>
        <v>0</v>
      </c>
      <c r="AI945" s="5">
        <f>IF(ISNUMBER(H945),1,0)</f>
        <v>1</v>
      </c>
      <c r="AJ945" s="5">
        <f>IF(ISNUMBER(P945),1,0)</f>
        <v>0</v>
      </c>
      <c r="AK945" s="5">
        <f>IF(AI945=1,IF(J945&gt;0,1,0),"")</f>
        <v>0</v>
      </c>
      <c r="AL945" s="5" t="str">
        <f>IF(AJ945=1,IF(OR(Q945&gt;0,R945&gt;0),1,0),"")</f>
        <v/>
      </c>
    </row>
    <row r="946" spans="1:38">
      <c r="A946">
        <v>2502781</v>
      </c>
      <c r="B946" t="s">
        <v>1013</v>
      </c>
      <c r="C946" t="s">
        <v>135</v>
      </c>
      <c r="D946" t="s">
        <v>24</v>
      </c>
      <c r="E946">
        <v>4</v>
      </c>
      <c r="F946">
        <v>1000183</v>
      </c>
      <c r="H946">
        <v>2</v>
      </c>
      <c r="I946">
        <v>3</v>
      </c>
      <c r="J946">
        <v>0</v>
      </c>
      <c r="K946">
        <v>0</v>
      </c>
      <c r="L946">
        <v>0</v>
      </c>
      <c r="M946">
        <v>0</v>
      </c>
      <c r="N946">
        <v>0</v>
      </c>
      <c r="O946" t="s">
        <v>26</v>
      </c>
      <c r="P946" t="s">
        <v>26</v>
      </c>
      <c r="Q946" t="s">
        <v>26</v>
      </c>
      <c r="R946" t="s">
        <v>26</v>
      </c>
      <c r="S946" t="s">
        <v>26</v>
      </c>
      <c r="T946" t="s">
        <v>26</v>
      </c>
      <c r="U946" t="s">
        <v>26</v>
      </c>
      <c r="V946">
        <v>0</v>
      </c>
      <c r="W946">
        <f>E946/100</f>
        <v>0.04</v>
      </c>
      <c r="X946">
        <f>F946/1000000</f>
        <v>1.000183</v>
      </c>
      <c r="Y946">
        <f>IF(D946="C",1,0)</f>
        <v>0</v>
      </c>
      <c r="Z946">
        <f>IF(G946="C",1,0)</f>
        <v>0</v>
      </c>
      <c r="AA946">
        <f>IF(G946="S",1,0)</f>
        <v>0</v>
      </c>
      <c r="AB946">
        <f>IF(G946="U",1,0)</f>
        <v>0</v>
      </c>
      <c r="AC946" s="5">
        <f>IF(AND(ISNUMBER(H946),NOT(ISNUMBER(P946))),1,0)</f>
        <v>1</v>
      </c>
      <c r="AD946" s="5">
        <f>IF(AND(ISNUMBER(H946),ISNUMBER(P946)),1,0)</f>
        <v>0</v>
      </c>
      <c r="AE946" s="5">
        <f>W946</f>
        <v>0.04</v>
      </c>
      <c r="AF946" s="5">
        <f>X946</f>
        <v>1.000183</v>
      </c>
      <c r="AG946" s="5">
        <f>Y946</f>
        <v>0</v>
      </c>
      <c r="AH946" s="5">
        <f>IF(OR(G946="C",G946="S",G946="U"),1,0)</f>
        <v>0</v>
      </c>
      <c r="AI946" s="5">
        <f>IF(ISNUMBER(H946),1,0)</f>
        <v>1</v>
      </c>
      <c r="AJ946" s="5">
        <f>IF(ISNUMBER(P946),1,0)</f>
        <v>0</v>
      </c>
      <c r="AK946" s="5">
        <f>IF(AI946=1,IF(J946&gt;0,1,0),"")</f>
        <v>0</v>
      </c>
      <c r="AL946" s="5" t="str">
        <f>IF(AJ946=1,IF(OR(Q946&gt;0,R946&gt;0),1,0),"")</f>
        <v/>
      </c>
    </row>
    <row r="947" spans="1:38">
      <c r="A947">
        <v>2502994</v>
      </c>
      <c r="B947" t="s">
        <v>1014</v>
      </c>
      <c r="C947" t="s">
        <v>338</v>
      </c>
      <c r="D947" t="s">
        <v>24</v>
      </c>
      <c r="E947">
        <v>3</v>
      </c>
      <c r="F947">
        <v>296713</v>
      </c>
      <c r="H947">
        <v>1</v>
      </c>
      <c r="I947">
        <v>1</v>
      </c>
      <c r="J947">
        <v>0</v>
      </c>
      <c r="K947">
        <v>0</v>
      </c>
      <c r="L947">
        <v>0</v>
      </c>
      <c r="M947" t="s">
        <v>26</v>
      </c>
      <c r="N947">
        <v>0</v>
      </c>
      <c r="O947" t="s">
        <v>26</v>
      </c>
      <c r="P947" t="s">
        <v>26</v>
      </c>
      <c r="Q947" t="s">
        <v>26</v>
      </c>
      <c r="R947" t="s">
        <v>26</v>
      </c>
      <c r="S947" t="s">
        <v>26</v>
      </c>
      <c r="T947" t="s">
        <v>26</v>
      </c>
      <c r="U947" t="s">
        <v>26</v>
      </c>
      <c r="V947">
        <v>0</v>
      </c>
      <c r="W947">
        <f>E947/100</f>
        <v>0.03</v>
      </c>
      <c r="X947">
        <f>F947/1000000</f>
        <v>0.296713</v>
      </c>
      <c r="Y947">
        <f>IF(D947="C",1,0)</f>
        <v>0</v>
      </c>
      <c r="Z947">
        <f>IF(G947="C",1,0)</f>
        <v>0</v>
      </c>
      <c r="AA947">
        <f>IF(G947="S",1,0)</f>
        <v>0</v>
      </c>
      <c r="AB947">
        <f>IF(G947="U",1,0)</f>
        <v>0</v>
      </c>
      <c r="AC947" s="5">
        <f>IF(AND(ISNUMBER(H947),NOT(ISNUMBER(P947))),1,0)</f>
        <v>1</v>
      </c>
      <c r="AD947" s="5">
        <f>IF(AND(ISNUMBER(H947),ISNUMBER(P947)),1,0)</f>
        <v>0</v>
      </c>
      <c r="AE947" s="5">
        <f>W947</f>
        <v>0.03</v>
      </c>
      <c r="AF947" s="5">
        <f>X947</f>
        <v>0.296713</v>
      </c>
      <c r="AG947" s="5">
        <f>Y947</f>
        <v>0</v>
      </c>
      <c r="AH947" s="5">
        <f>IF(OR(G947="C",G947="S",G947="U"),1,0)</f>
        <v>0</v>
      </c>
      <c r="AI947" s="5">
        <f>IF(ISNUMBER(H947),1,0)</f>
        <v>1</v>
      </c>
      <c r="AJ947" s="5">
        <f>IF(ISNUMBER(P947),1,0)</f>
        <v>0</v>
      </c>
      <c r="AK947" s="5">
        <f>IF(AI947=1,IF(J947&gt;0,1,0),"")</f>
        <v>0</v>
      </c>
      <c r="AL947" s="5" t="str">
        <f>IF(AJ947=1,IF(OR(Q947&gt;0,R947&gt;0),1,0),"")</f>
        <v/>
      </c>
    </row>
    <row r="948" spans="1:38">
      <c r="A948">
        <v>2513299</v>
      </c>
      <c r="B948" t="s">
        <v>1015</v>
      </c>
      <c r="C948" t="s">
        <v>37</v>
      </c>
      <c r="D948" t="s">
        <v>24</v>
      </c>
      <c r="E948">
        <v>4</v>
      </c>
      <c r="F948">
        <v>360628</v>
      </c>
      <c r="H948">
        <v>1</v>
      </c>
      <c r="I948">
        <v>1</v>
      </c>
      <c r="J948">
        <v>0</v>
      </c>
      <c r="K948">
        <v>0</v>
      </c>
      <c r="L948">
        <v>0</v>
      </c>
      <c r="M948" t="s">
        <v>26</v>
      </c>
      <c r="N948">
        <v>0</v>
      </c>
      <c r="O948" t="s">
        <v>26</v>
      </c>
      <c r="P948" t="s">
        <v>26</v>
      </c>
      <c r="Q948" t="s">
        <v>26</v>
      </c>
      <c r="R948" t="s">
        <v>26</v>
      </c>
      <c r="S948" t="s">
        <v>26</v>
      </c>
      <c r="T948" t="s">
        <v>26</v>
      </c>
      <c r="U948" t="s">
        <v>26</v>
      </c>
      <c r="V948">
        <v>0</v>
      </c>
      <c r="W948">
        <f>E948/100</f>
        <v>0.04</v>
      </c>
      <c r="X948">
        <f>F948/1000000</f>
        <v>0.360628</v>
      </c>
      <c r="Y948">
        <f>IF(D948="C",1,0)</f>
        <v>0</v>
      </c>
      <c r="Z948">
        <f>IF(G948="C",1,0)</f>
        <v>0</v>
      </c>
      <c r="AA948">
        <f>IF(G948="S",1,0)</f>
        <v>0</v>
      </c>
      <c r="AB948">
        <f>IF(G948="U",1,0)</f>
        <v>0</v>
      </c>
      <c r="AC948" s="5">
        <f>IF(AND(ISNUMBER(H948),NOT(ISNUMBER(P948))),1,0)</f>
        <v>1</v>
      </c>
      <c r="AD948" s="5">
        <f>IF(AND(ISNUMBER(H948),ISNUMBER(P948)),1,0)</f>
        <v>0</v>
      </c>
      <c r="AE948" s="5">
        <f>W948</f>
        <v>0.04</v>
      </c>
      <c r="AF948" s="5">
        <f>X948</f>
        <v>0.360628</v>
      </c>
      <c r="AG948" s="5">
        <f>Y948</f>
        <v>0</v>
      </c>
      <c r="AH948" s="5">
        <f>IF(OR(G948="C",G948="S",G948="U"),1,0)</f>
        <v>0</v>
      </c>
      <c r="AI948" s="5">
        <f>IF(ISNUMBER(H948),1,0)</f>
        <v>1</v>
      </c>
      <c r="AJ948" s="5">
        <f>IF(ISNUMBER(P948),1,0)</f>
        <v>0</v>
      </c>
      <c r="AK948" s="5">
        <f>IF(AI948=1,IF(J948&gt;0,1,0),"")</f>
        <v>0</v>
      </c>
      <c r="AL948" s="5" t="str">
        <f>IF(AJ948=1,IF(OR(Q948&gt;0,R948&gt;0),1,0),"")</f>
        <v/>
      </c>
    </row>
    <row r="949" spans="1:38">
      <c r="A949">
        <v>2514476</v>
      </c>
      <c r="B949" t="s">
        <v>1016</v>
      </c>
      <c r="C949" t="s">
        <v>23</v>
      </c>
      <c r="D949" t="s">
        <v>33</v>
      </c>
      <c r="E949">
        <v>6</v>
      </c>
      <c r="F949">
        <v>95800</v>
      </c>
      <c r="H949">
        <v>1</v>
      </c>
      <c r="I949">
        <v>1</v>
      </c>
      <c r="J949">
        <v>0</v>
      </c>
      <c r="K949">
        <v>0</v>
      </c>
      <c r="L949">
        <v>0</v>
      </c>
      <c r="M949" t="s">
        <v>26</v>
      </c>
      <c r="N949">
        <v>0</v>
      </c>
      <c r="O949" t="s">
        <v>26</v>
      </c>
      <c r="P949" t="s">
        <v>26</v>
      </c>
      <c r="Q949" t="s">
        <v>26</v>
      </c>
      <c r="R949" t="s">
        <v>26</v>
      </c>
      <c r="S949" t="s">
        <v>26</v>
      </c>
      <c r="T949" t="s">
        <v>26</v>
      </c>
      <c r="U949" t="s">
        <v>26</v>
      </c>
      <c r="V949">
        <v>0</v>
      </c>
      <c r="W949">
        <f>E949/100</f>
        <v>0.06</v>
      </c>
      <c r="X949">
        <f>F949/1000000</f>
        <v>9.5799999999999996E-2</v>
      </c>
      <c r="Y949">
        <f>IF(D949="C",1,0)</f>
        <v>1</v>
      </c>
      <c r="Z949">
        <f>IF(G949="C",1,0)</f>
        <v>0</v>
      </c>
      <c r="AA949">
        <f>IF(G949="S",1,0)</f>
        <v>0</v>
      </c>
      <c r="AB949">
        <f>IF(G949="U",1,0)</f>
        <v>0</v>
      </c>
      <c r="AC949" s="5">
        <f>IF(AND(ISNUMBER(H949),NOT(ISNUMBER(P949))),1,0)</f>
        <v>1</v>
      </c>
      <c r="AD949" s="5">
        <f>IF(AND(ISNUMBER(H949),ISNUMBER(P949)),1,0)</f>
        <v>0</v>
      </c>
      <c r="AE949" s="5">
        <f>W949</f>
        <v>0.06</v>
      </c>
      <c r="AF949" s="5">
        <f>X949</f>
        <v>9.5799999999999996E-2</v>
      </c>
      <c r="AG949" s="5">
        <f>Y949</f>
        <v>1</v>
      </c>
      <c r="AH949" s="5">
        <f>IF(OR(G949="C",G949="S",G949="U"),1,0)</f>
        <v>0</v>
      </c>
      <c r="AI949" s="5">
        <f>IF(ISNUMBER(H949),1,0)</f>
        <v>1</v>
      </c>
      <c r="AJ949" s="5">
        <f>IF(ISNUMBER(P949),1,0)</f>
        <v>0</v>
      </c>
      <c r="AK949" s="5">
        <f>IF(AI949=1,IF(J949&gt;0,1,0),"")</f>
        <v>0</v>
      </c>
      <c r="AL949" s="5" t="str">
        <f>IF(AJ949=1,IF(OR(Q949&gt;0,R949&gt;0),1,0),"")</f>
        <v/>
      </c>
    </row>
    <row r="950" spans="1:38">
      <c r="A950">
        <v>2516354</v>
      </c>
      <c r="B950" t="s">
        <v>1017</v>
      </c>
      <c r="C950" t="s">
        <v>125</v>
      </c>
      <c r="D950" t="s">
        <v>24</v>
      </c>
      <c r="E950">
        <v>51</v>
      </c>
      <c r="F950">
        <v>2509851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  <c r="S950" t="s">
        <v>26</v>
      </c>
      <c r="T950" t="s">
        <v>26</v>
      </c>
      <c r="U950" t="s">
        <v>26</v>
      </c>
      <c r="V950">
        <v>0</v>
      </c>
      <c r="W950">
        <f>E950/100</f>
        <v>0.51</v>
      </c>
      <c r="X950">
        <f>F950/1000000</f>
        <v>2.5098509999999998</v>
      </c>
      <c r="Y950">
        <f>IF(D950="C",1,0)</f>
        <v>0</v>
      </c>
      <c r="Z950">
        <f>IF(G950="C",1,0)</f>
        <v>0</v>
      </c>
      <c r="AA950">
        <f>IF(G950="S",1,0)</f>
        <v>0</v>
      </c>
      <c r="AB950">
        <f>IF(G950="U",1,0)</f>
        <v>0</v>
      </c>
      <c r="AC950" s="5">
        <f>IF(AND(ISNUMBER(H950),NOT(ISNUMBER(P950))),1,0)</f>
        <v>1</v>
      </c>
      <c r="AD950" s="5">
        <f>IF(AND(ISNUMBER(H950),ISNUMBER(P950)),1,0)</f>
        <v>0</v>
      </c>
      <c r="AE950" s="5">
        <f>W950</f>
        <v>0.51</v>
      </c>
      <c r="AF950" s="5">
        <f>X950</f>
        <v>2.5098509999999998</v>
      </c>
      <c r="AG950" s="5">
        <f>Y950</f>
        <v>0</v>
      </c>
      <c r="AH950" s="5">
        <f>IF(OR(G950="C",G950="S",G950="U"),1,0)</f>
        <v>0</v>
      </c>
      <c r="AI950" s="5">
        <f>IF(ISNUMBER(H950),1,0)</f>
        <v>1</v>
      </c>
      <c r="AJ950" s="5">
        <f>IF(ISNUMBER(P950),1,0)</f>
        <v>0</v>
      </c>
      <c r="AK950" s="5">
        <f>IF(AI950=1,IF(J950&gt;0,1,0),"")</f>
        <v>0</v>
      </c>
      <c r="AL950" s="5" t="str">
        <f>IF(AJ950=1,IF(OR(Q950&gt;0,R950&gt;0),1,0),"")</f>
        <v/>
      </c>
    </row>
    <row r="951" spans="1:38">
      <c r="A951">
        <v>2520101</v>
      </c>
      <c r="B951" t="s">
        <v>1018</v>
      </c>
      <c r="C951" t="s">
        <v>42</v>
      </c>
      <c r="D951" t="s">
        <v>24</v>
      </c>
      <c r="E951">
        <v>10</v>
      </c>
      <c r="F951">
        <v>110000</v>
      </c>
      <c r="H951">
        <v>1</v>
      </c>
      <c r="I951">
        <v>0</v>
      </c>
      <c r="J951">
        <v>0</v>
      </c>
      <c r="K951">
        <v>0</v>
      </c>
      <c r="L951" t="s">
        <v>26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  <c r="S951" t="s">
        <v>26</v>
      </c>
      <c r="T951" t="s">
        <v>26</v>
      </c>
      <c r="U951" t="s">
        <v>26</v>
      </c>
      <c r="V951">
        <v>0</v>
      </c>
      <c r="W951">
        <f>E951/100</f>
        <v>0.1</v>
      </c>
      <c r="X951">
        <f>F951/1000000</f>
        <v>0.11</v>
      </c>
      <c r="Y951">
        <f>IF(D951="C",1,0)</f>
        <v>0</v>
      </c>
      <c r="Z951">
        <f>IF(G951="C",1,0)</f>
        <v>0</v>
      </c>
      <c r="AA951">
        <f>IF(G951="S",1,0)</f>
        <v>0</v>
      </c>
      <c r="AB951">
        <f>IF(G951="U",1,0)</f>
        <v>0</v>
      </c>
      <c r="AC951" s="5">
        <f>IF(AND(ISNUMBER(H951),NOT(ISNUMBER(P951))),1,0)</f>
        <v>1</v>
      </c>
      <c r="AD951" s="5">
        <f>IF(AND(ISNUMBER(H951),ISNUMBER(P951)),1,0)</f>
        <v>0</v>
      </c>
      <c r="AE951" s="5">
        <f>W951</f>
        <v>0.1</v>
      </c>
      <c r="AF951" s="5">
        <f>X951</f>
        <v>0.11</v>
      </c>
      <c r="AG951" s="5">
        <f>Y951</f>
        <v>0</v>
      </c>
      <c r="AH951" s="5">
        <f>IF(OR(G951="C",G951="S",G951="U"),1,0)</f>
        <v>0</v>
      </c>
      <c r="AI951" s="5">
        <f>IF(ISNUMBER(H951),1,0)</f>
        <v>1</v>
      </c>
      <c r="AJ951" s="5">
        <f>IF(ISNUMBER(P951),1,0)</f>
        <v>0</v>
      </c>
      <c r="AK951" s="5">
        <f>IF(AI951=1,IF(J951&gt;0,1,0),"")</f>
        <v>0</v>
      </c>
      <c r="AL951" s="5" t="str">
        <f>IF(AJ951=1,IF(OR(Q951&gt;0,R951&gt;0),1,0),"")</f>
        <v/>
      </c>
    </row>
    <row r="952" spans="1:38">
      <c r="A952">
        <v>2529848</v>
      </c>
      <c r="B952" t="s">
        <v>1019</v>
      </c>
      <c r="C952" t="s">
        <v>302</v>
      </c>
      <c r="D952" t="s">
        <v>24</v>
      </c>
      <c r="E952">
        <v>63</v>
      </c>
      <c r="F952">
        <v>7914270</v>
      </c>
      <c r="G952" t="s">
        <v>25</v>
      </c>
      <c r="H952">
        <v>1</v>
      </c>
      <c r="I952">
        <v>0</v>
      </c>
      <c r="J952">
        <v>0</v>
      </c>
      <c r="K952">
        <v>0</v>
      </c>
      <c r="L952" t="s">
        <v>26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  <c r="S952" t="s">
        <v>26</v>
      </c>
      <c r="T952" t="s">
        <v>26</v>
      </c>
      <c r="U952" t="s">
        <v>26</v>
      </c>
      <c r="V952">
        <v>0</v>
      </c>
      <c r="W952">
        <f>E952/100</f>
        <v>0.63</v>
      </c>
      <c r="X952">
        <f>F952/1000000</f>
        <v>7.9142700000000001</v>
      </c>
      <c r="Y952">
        <f>IF(D952="C",1,0)</f>
        <v>0</v>
      </c>
      <c r="Z952">
        <f>IF(G952="C",1,0)</f>
        <v>0</v>
      </c>
      <c r="AA952">
        <f>IF(G952="S",1,0)</f>
        <v>1</v>
      </c>
      <c r="AB952">
        <f>IF(G952="U",1,0)</f>
        <v>0</v>
      </c>
      <c r="AC952" s="5">
        <f>IF(AND(ISNUMBER(H952),NOT(ISNUMBER(P952))),1,0)</f>
        <v>1</v>
      </c>
      <c r="AD952" s="5">
        <f>IF(AND(ISNUMBER(H952),ISNUMBER(P952)),1,0)</f>
        <v>0</v>
      </c>
      <c r="AE952" s="5">
        <f>W952</f>
        <v>0.63</v>
      </c>
      <c r="AF952" s="5">
        <f>X952</f>
        <v>7.9142700000000001</v>
      </c>
      <c r="AG952" s="5">
        <f>Y952</f>
        <v>0</v>
      </c>
      <c r="AH952" s="5">
        <f>IF(OR(G952="C",G952="S",G952="U"),1,0)</f>
        <v>1</v>
      </c>
      <c r="AI952" s="5">
        <f>IF(ISNUMBER(H952),1,0)</f>
        <v>1</v>
      </c>
      <c r="AJ952" s="5">
        <f>IF(ISNUMBER(P952),1,0)</f>
        <v>0</v>
      </c>
      <c r="AK952" s="5">
        <f>IF(AI952=1,IF(J952&gt;0,1,0),"")</f>
        <v>0</v>
      </c>
      <c r="AL952" s="5" t="str">
        <f>IF(AJ952=1,IF(OR(Q952&gt;0,R952&gt;0),1,0),"")</f>
        <v/>
      </c>
    </row>
    <row r="953" spans="1:38">
      <c r="A953">
        <v>2539939</v>
      </c>
      <c r="B953" t="s">
        <v>1020</v>
      </c>
      <c r="C953" t="s">
        <v>23</v>
      </c>
      <c r="D953" t="s">
        <v>33</v>
      </c>
      <c r="E953">
        <v>3</v>
      </c>
      <c r="F953">
        <v>32000</v>
      </c>
      <c r="H953">
        <v>1</v>
      </c>
      <c r="I953">
        <v>1</v>
      </c>
      <c r="J953">
        <v>0</v>
      </c>
      <c r="K953">
        <v>0</v>
      </c>
      <c r="L953">
        <v>0</v>
      </c>
      <c r="M953" t="s">
        <v>26</v>
      </c>
      <c r="N953">
        <v>0</v>
      </c>
      <c r="O953" t="s">
        <v>26</v>
      </c>
      <c r="P953" t="s">
        <v>26</v>
      </c>
      <c r="Q953" t="s">
        <v>26</v>
      </c>
      <c r="R953" t="s">
        <v>26</v>
      </c>
      <c r="S953" t="s">
        <v>26</v>
      </c>
      <c r="T953" t="s">
        <v>26</v>
      </c>
      <c r="U953" t="s">
        <v>26</v>
      </c>
      <c r="V953">
        <v>0</v>
      </c>
      <c r="W953">
        <f>E953/100</f>
        <v>0.03</v>
      </c>
      <c r="X953">
        <f>F953/1000000</f>
        <v>3.2000000000000001E-2</v>
      </c>
      <c r="Y953">
        <f>IF(D953="C",1,0)</f>
        <v>1</v>
      </c>
      <c r="Z953">
        <f>IF(G953="C",1,0)</f>
        <v>0</v>
      </c>
      <c r="AA953">
        <f>IF(G953="S",1,0)</f>
        <v>0</v>
      </c>
      <c r="AB953">
        <f>IF(G953="U",1,0)</f>
        <v>0</v>
      </c>
      <c r="AC953" s="5">
        <f>IF(AND(ISNUMBER(H953),NOT(ISNUMBER(P953))),1,0)</f>
        <v>1</v>
      </c>
      <c r="AD953" s="5">
        <f>IF(AND(ISNUMBER(H953),ISNUMBER(P953)),1,0)</f>
        <v>0</v>
      </c>
      <c r="AE953" s="5">
        <f>W953</f>
        <v>0.03</v>
      </c>
      <c r="AF953" s="5">
        <f>X953</f>
        <v>3.2000000000000001E-2</v>
      </c>
      <c r="AG953" s="5">
        <f>Y953</f>
        <v>1</v>
      </c>
      <c r="AH953" s="5">
        <f>IF(OR(G953="C",G953="S",G953="U"),1,0)</f>
        <v>0</v>
      </c>
      <c r="AI953" s="5">
        <f>IF(ISNUMBER(H953),1,0)</f>
        <v>1</v>
      </c>
      <c r="AJ953" s="5">
        <f>IF(ISNUMBER(P953),1,0)</f>
        <v>0</v>
      </c>
      <c r="AK953" s="5">
        <f>IF(AI953=1,IF(J953&gt;0,1,0),"")</f>
        <v>0</v>
      </c>
      <c r="AL953" s="5" t="str">
        <f>IF(AJ953=1,IF(OR(Q953&gt;0,R953&gt;0),1,0),"")</f>
        <v/>
      </c>
    </row>
    <row r="954" spans="1:38">
      <c r="A954">
        <v>2545721</v>
      </c>
      <c r="B954" t="s">
        <v>1021</v>
      </c>
      <c r="C954" t="s">
        <v>77</v>
      </c>
      <c r="D954" t="s">
        <v>24</v>
      </c>
      <c r="E954">
        <v>1</v>
      </c>
      <c r="F954">
        <v>1150000</v>
      </c>
      <c r="H954">
        <v>1</v>
      </c>
      <c r="I954">
        <v>1</v>
      </c>
      <c r="J954">
        <v>0</v>
      </c>
      <c r="K954">
        <v>0</v>
      </c>
      <c r="L954">
        <v>0</v>
      </c>
      <c r="M954" t="s">
        <v>26</v>
      </c>
      <c r="N954">
        <v>0</v>
      </c>
      <c r="O954" t="s">
        <v>26</v>
      </c>
      <c r="P954" t="s">
        <v>26</v>
      </c>
      <c r="Q954" t="s">
        <v>26</v>
      </c>
      <c r="R954" t="s">
        <v>26</v>
      </c>
      <c r="S954" t="s">
        <v>26</v>
      </c>
      <c r="T954" t="s">
        <v>26</v>
      </c>
      <c r="U954" t="s">
        <v>26</v>
      </c>
      <c r="V954">
        <v>0</v>
      </c>
      <c r="W954">
        <f>E954/100</f>
        <v>0.01</v>
      </c>
      <c r="X954">
        <f>F954/1000000</f>
        <v>1.1499999999999999</v>
      </c>
      <c r="Y954">
        <f>IF(D954="C",1,0)</f>
        <v>0</v>
      </c>
      <c r="Z954">
        <f>IF(G954="C",1,0)</f>
        <v>0</v>
      </c>
      <c r="AA954">
        <f>IF(G954="S",1,0)</f>
        <v>0</v>
      </c>
      <c r="AB954">
        <f>IF(G954="U",1,0)</f>
        <v>0</v>
      </c>
      <c r="AC954" s="5">
        <f>IF(AND(ISNUMBER(H954),NOT(ISNUMBER(P954))),1,0)</f>
        <v>1</v>
      </c>
      <c r="AD954" s="5">
        <f>IF(AND(ISNUMBER(H954),ISNUMBER(P954)),1,0)</f>
        <v>0</v>
      </c>
      <c r="AE954" s="5">
        <f>W954</f>
        <v>0.01</v>
      </c>
      <c r="AF954" s="5">
        <f>X954</f>
        <v>1.1499999999999999</v>
      </c>
      <c r="AG954" s="5">
        <f>Y954</f>
        <v>0</v>
      </c>
      <c r="AH954" s="5">
        <f>IF(OR(G954="C",G954="S",G954="U"),1,0)</f>
        <v>0</v>
      </c>
      <c r="AI954" s="5">
        <f>IF(ISNUMBER(H954),1,0)</f>
        <v>1</v>
      </c>
      <c r="AJ954" s="5">
        <f>IF(ISNUMBER(P954),1,0)</f>
        <v>0</v>
      </c>
      <c r="AK954" s="5">
        <f>IF(AI954=1,IF(J954&gt;0,1,0),"")</f>
        <v>0</v>
      </c>
      <c r="AL954" s="5" t="str">
        <f>IF(AJ954=1,IF(OR(Q954&gt;0,R954&gt;0),1,0),"")</f>
        <v/>
      </c>
    </row>
    <row r="955" spans="1:38">
      <c r="A955">
        <v>2549523</v>
      </c>
      <c r="B955" t="s">
        <v>1022</v>
      </c>
      <c r="C955" t="s">
        <v>42</v>
      </c>
      <c r="D955" t="s">
        <v>24</v>
      </c>
      <c r="E955">
        <v>4</v>
      </c>
      <c r="F955">
        <v>26540</v>
      </c>
      <c r="H955">
        <v>1</v>
      </c>
      <c r="I955">
        <v>7</v>
      </c>
      <c r="J955">
        <v>2</v>
      </c>
      <c r="K955">
        <v>1</v>
      </c>
      <c r="L955">
        <v>0.28570000000000001</v>
      </c>
      <c r="M955">
        <v>0.5</v>
      </c>
      <c r="N955">
        <v>0.2</v>
      </c>
      <c r="O955" t="s">
        <v>26</v>
      </c>
      <c r="P955" t="s">
        <v>26</v>
      </c>
      <c r="Q955" t="s">
        <v>26</v>
      </c>
      <c r="R955" t="s">
        <v>26</v>
      </c>
      <c r="S955" t="s">
        <v>26</v>
      </c>
      <c r="T955" t="s">
        <v>26</v>
      </c>
      <c r="U955" t="s">
        <v>26</v>
      </c>
      <c r="V955">
        <v>1</v>
      </c>
      <c r="W955">
        <f>E955/100</f>
        <v>0.04</v>
      </c>
      <c r="X955">
        <f>F955/1000000</f>
        <v>2.6540000000000001E-2</v>
      </c>
      <c r="Y955">
        <f>IF(D955="C",1,0)</f>
        <v>0</v>
      </c>
      <c r="Z955">
        <f>IF(G955="C",1,0)</f>
        <v>0</v>
      </c>
      <c r="AA955">
        <f>IF(G955="S",1,0)</f>
        <v>0</v>
      </c>
      <c r="AB955">
        <f>IF(G955="U",1,0)</f>
        <v>0</v>
      </c>
      <c r="AC955" s="5">
        <f>IF(AND(ISNUMBER(H955),NOT(ISNUMBER(P955))),1,0)</f>
        <v>1</v>
      </c>
      <c r="AD955" s="5">
        <f>IF(AND(ISNUMBER(H955),ISNUMBER(P955)),1,0)</f>
        <v>0</v>
      </c>
      <c r="AE955" s="5">
        <f>W955</f>
        <v>0.04</v>
      </c>
      <c r="AF955" s="5">
        <f>X955</f>
        <v>2.6540000000000001E-2</v>
      </c>
      <c r="AG955" s="5">
        <f>Y955</f>
        <v>0</v>
      </c>
      <c r="AH955" s="5">
        <f>IF(OR(G955="C",G955="S",G955="U"),1,0)</f>
        <v>0</v>
      </c>
      <c r="AI955" s="5">
        <f>IF(ISNUMBER(H955),1,0)</f>
        <v>1</v>
      </c>
      <c r="AJ955" s="5">
        <f>IF(ISNUMBER(P955),1,0)</f>
        <v>0</v>
      </c>
      <c r="AK955" s="5">
        <f>IF(AI955=1,IF(J955&gt;0,1,0),"")</f>
        <v>1</v>
      </c>
      <c r="AL955" s="5" t="str">
        <f>IF(AJ955=1,IF(OR(Q955&gt;0,R955&gt;0),1,0),"")</f>
        <v/>
      </c>
    </row>
    <row r="956" spans="1:38">
      <c r="A956">
        <v>2559935</v>
      </c>
      <c r="B956" t="s">
        <v>1023</v>
      </c>
      <c r="C956" t="s">
        <v>787</v>
      </c>
      <c r="D956" t="s">
        <v>24</v>
      </c>
      <c r="E956">
        <v>95</v>
      </c>
      <c r="F956">
        <v>9565139</v>
      </c>
      <c r="G956" t="s">
        <v>25</v>
      </c>
      <c r="H956">
        <v>1</v>
      </c>
      <c r="I956">
        <v>1</v>
      </c>
      <c r="J956">
        <v>0</v>
      </c>
      <c r="K956">
        <v>0</v>
      </c>
      <c r="L956">
        <v>0</v>
      </c>
      <c r="M956">
        <v>0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  <c r="S956" t="s">
        <v>26</v>
      </c>
      <c r="T956" t="s">
        <v>26</v>
      </c>
      <c r="U956" t="s">
        <v>26</v>
      </c>
      <c r="V956">
        <v>0</v>
      </c>
      <c r="W956">
        <f>E956/100</f>
        <v>0.95</v>
      </c>
      <c r="X956">
        <f>F956/1000000</f>
        <v>9.5651390000000003</v>
      </c>
      <c r="Y956">
        <f>IF(D956="C",1,0)</f>
        <v>0</v>
      </c>
      <c r="Z956">
        <f>IF(G956="C",1,0)</f>
        <v>0</v>
      </c>
      <c r="AA956">
        <f>IF(G956="S",1,0)</f>
        <v>1</v>
      </c>
      <c r="AB956">
        <f>IF(G956="U",1,0)</f>
        <v>0</v>
      </c>
      <c r="AC956" s="5">
        <f>IF(AND(ISNUMBER(H956),NOT(ISNUMBER(P956))),1,0)</f>
        <v>1</v>
      </c>
      <c r="AD956" s="5">
        <f>IF(AND(ISNUMBER(H956),ISNUMBER(P956)),1,0)</f>
        <v>0</v>
      </c>
      <c r="AE956" s="5">
        <f>W956</f>
        <v>0.95</v>
      </c>
      <c r="AF956" s="5">
        <f>X956</f>
        <v>9.5651390000000003</v>
      </c>
      <c r="AG956" s="5">
        <f>Y956</f>
        <v>0</v>
      </c>
      <c r="AH956" s="5">
        <f>IF(OR(G956="C",G956="S",G956="U"),1,0)</f>
        <v>1</v>
      </c>
      <c r="AI956" s="5">
        <f>IF(ISNUMBER(H956),1,0)</f>
        <v>1</v>
      </c>
      <c r="AJ956" s="5">
        <f>IF(ISNUMBER(P956),1,0)</f>
        <v>0</v>
      </c>
      <c r="AK956" s="5">
        <f>IF(AI956=1,IF(J956&gt;0,1,0),"")</f>
        <v>0</v>
      </c>
      <c r="AL956" s="5" t="str">
        <f>IF(AJ956=1,IF(OR(Q956&gt;0,R956&gt;0),1,0),"")</f>
        <v/>
      </c>
    </row>
    <row r="957" spans="1:38">
      <c r="A957">
        <v>2566125</v>
      </c>
      <c r="B957" t="s">
        <v>1024</v>
      </c>
      <c r="C957" t="s">
        <v>84</v>
      </c>
      <c r="D957" t="s">
        <v>24</v>
      </c>
      <c r="E957">
        <v>10</v>
      </c>
      <c r="F957">
        <v>300000</v>
      </c>
      <c r="G957" t="s">
        <v>25</v>
      </c>
      <c r="H957">
        <v>1</v>
      </c>
      <c r="I957">
        <v>0</v>
      </c>
      <c r="J957">
        <v>0</v>
      </c>
      <c r="K957">
        <v>0</v>
      </c>
      <c r="L957" t="s">
        <v>26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  <c r="S957" t="s">
        <v>26</v>
      </c>
      <c r="T957" t="s">
        <v>26</v>
      </c>
      <c r="U957" t="s">
        <v>26</v>
      </c>
      <c r="V957">
        <v>0</v>
      </c>
      <c r="W957">
        <f>E957/100</f>
        <v>0.1</v>
      </c>
      <c r="X957">
        <f>F957/1000000</f>
        <v>0.3</v>
      </c>
      <c r="Y957">
        <f>IF(D957="C",1,0)</f>
        <v>0</v>
      </c>
      <c r="Z957">
        <f>IF(G957="C",1,0)</f>
        <v>0</v>
      </c>
      <c r="AA957">
        <f>IF(G957="S",1,0)</f>
        <v>1</v>
      </c>
      <c r="AB957">
        <f>IF(G957="U",1,0)</f>
        <v>0</v>
      </c>
      <c r="AC957" s="5">
        <f>IF(AND(ISNUMBER(H957),NOT(ISNUMBER(P957))),1,0)</f>
        <v>1</v>
      </c>
      <c r="AD957" s="5">
        <f>IF(AND(ISNUMBER(H957),ISNUMBER(P957)),1,0)</f>
        <v>0</v>
      </c>
      <c r="AE957" s="5">
        <f>W957</f>
        <v>0.1</v>
      </c>
      <c r="AF957" s="5">
        <f>X957</f>
        <v>0.3</v>
      </c>
      <c r="AG957" s="5">
        <f>Y957</f>
        <v>0</v>
      </c>
      <c r="AH957" s="5">
        <f>IF(OR(G957="C",G957="S",G957="U"),1,0)</f>
        <v>1</v>
      </c>
      <c r="AI957" s="5">
        <f>IF(ISNUMBER(H957),1,0)</f>
        <v>1</v>
      </c>
      <c r="AJ957" s="5">
        <f>IF(ISNUMBER(P957),1,0)</f>
        <v>0</v>
      </c>
      <c r="AK957" s="5">
        <f>IF(AI957=1,IF(J957&gt;0,1,0),"")</f>
        <v>0</v>
      </c>
      <c r="AL957" s="5" t="str">
        <f>IF(AJ957=1,IF(OR(Q957&gt;0,R957&gt;0),1,0),"")</f>
        <v/>
      </c>
    </row>
    <row r="958" spans="1:38">
      <c r="A958">
        <v>2568698</v>
      </c>
      <c r="B958" t="s">
        <v>1025</v>
      </c>
      <c r="C958" t="s">
        <v>23</v>
      </c>
      <c r="D958" t="s">
        <v>24</v>
      </c>
      <c r="E958">
        <v>50</v>
      </c>
      <c r="F958">
        <v>2032919</v>
      </c>
      <c r="G958" t="s">
        <v>25</v>
      </c>
      <c r="H958">
        <v>1</v>
      </c>
      <c r="I958">
        <v>3</v>
      </c>
      <c r="J958">
        <v>0</v>
      </c>
      <c r="K958">
        <v>0</v>
      </c>
      <c r="L958">
        <v>0</v>
      </c>
      <c r="M958" t="s">
        <v>26</v>
      </c>
      <c r="N958">
        <v>0</v>
      </c>
      <c r="O958" t="s">
        <v>26</v>
      </c>
      <c r="P958" t="s">
        <v>26</v>
      </c>
      <c r="Q958" t="s">
        <v>26</v>
      </c>
      <c r="R958" t="s">
        <v>26</v>
      </c>
      <c r="S958" t="s">
        <v>26</v>
      </c>
      <c r="T958" t="s">
        <v>26</v>
      </c>
      <c r="U958" t="s">
        <v>26</v>
      </c>
      <c r="V958">
        <v>0</v>
      </c>
      <c r="W958">
        <f>E958/100</f>
        <v>0.5</v>
      </c>
      <c r="X958">
        <f>F958/1000000</f>
        <v>2.0329190000000001</v>
      </c>
      <c r="Y958">
        <f>IF(D958="C",1,0)</f>
        <v>0</v>
      </c>
      <c r="Z958">
        <f>IF(G958="C",1,0)</f>
        <v>0</v>
      </c>
      <c r="AA958">
        <f>IF(G958="S",1,0)</f>
        <v>1</v>
      </c>
      <c r="AB958">
        <f>IF(G958="U",1,0)</f>
        <v>0</v>
      </c>
      <c r="AC958" s="5">
        <f>IF(AND(ISNUMBER(H958),NOT(ISNUMBER(P958))),1,0)</f>
        <v>1</v>
      </c>
      <c r="AD958" s="5">
        <f>IF(AND(ISNUMBER(H958),ISNUMBER(P958)),1,0)</f>
        <v>0</v>
      </c>
      <c r="AE958" s="5">
        <f>W958</f>
        <v>0.5</v>
      </c>
      <c r="AF958" s="5">
        <f>X958</f>
        <v>2.0329190000000001</v>
      </c>
      <c r="AG958" s="5">
        <f>Y958</f>
        <v>0</v>
      </c>
      <c r="AH958" s="5">
        <f>IF(OR(G958="C",G958="S",G958="U"),1,0)</f>
        <v>1</v>
      </c>
      <c r="AI958" s="5">
        <f>IF(ISNUMBER(H958),1,0)</f>
        <v>1</v>
      </c>
      <c r="AJ958" s="5">
        <f>IF(ISNUMBER(P958),1,0)</f>
        <v>0</v>
      </c>
      <c r="AK958" s="5">
        <f>IF(AI958=1,IF(J958&gt;0,1,0),"")</f>
        <v>0</v>
      </c>
      <c r="AL958" s="5" t="str">
        <f>IF(AJ958=1,IF(OR(Q958&gt;0,R958&gt;0),1,0),"")</f>
        <v/>
      </c>
    </row>
    <row r="959" spans="1:38">
      <c r="A959">
        <v>2576664</v>
      </c>
      <c r="B959" t="s">
        <v>1026</v>
      </c>
      <c r="C959" t="s">
        <v>23</v>
      </c>
      <c r="D959" t="s">
        <v>24</v>
      </c>
      <c r="E959">
        <v>2</v>
      </c>
      <c r="F959">
        <v>122555</v>
      </c>
      <c r="H959">
        <v>1</v>
      </c>
      <c r="I959">
        <v>0</v>
      </c>
      <c r="J959">
        <v>0</v>
      </c>
      <c r="K959">
        <v>0</v>
      </c>
      <c r="L959" t="s">
        <v>26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  <c r="S959" t="s">
        <v>26</v>
      </c>
      <c r="T959" t="s">
        <v>26</v>
      </c>
      <c r="U959" t="s">
        <v>26</v>
      </c>
      <c r="V959">
        <v>0</v>
      </c>
      <c r="W959">
        <f>E959/100</f>
        <v>0.02</v>
      </c>
      <c r="X959">
        <f>F959/1000000</f>
        <v>0.122555</v>
      </c>
      <c r="Y959">
        <f>IF(D959="C",1,0)</f>
        <v>0</v>
      </c>
      <c r="Z959">
        <f>IF(G959="C",1,0)</f>
        <v>0</v>
      </c>
      <c r="AA959">
        <f>IF(G959="S",1,0)</f>
        <v>0</v>
      </c>
      <c r="AB959">
        <f>IF(G959="U",1,0)</f>
        <v>0</v>
      </c>
      <c r="AC959" s="5">
        <f>IF(AND(ISNUMBER(H959),NOT(ISNUMBER(P959))),1,0)</f>
        <v>1</v>
      </c>
      <c r="AD959" s="5">
        <f>IF(AND(ISNUMBER(H959),ISNUMBER(P959)),1,0)</f>
        <v>0</v>
      </c>
      <c r="AE959" s="5">
        <f>W959</f>
        <v>0.02</v>
      </c>
      <c r="AF959" s="5">
        <f>X959</f>
        <v>0.122555</v>
      </c>
      <c r="AG959" s="5">
        <f>Y959</f>
        <v>0</v>
      </c>
      <c r="AH959" s="5">
        <f>IF(OR(G959="C",G959="S",G959="U"),1,0)</f>
        <v>0</v>
      </c>
      <c r="AI959" s="5">
        <f>IF(ISNUMBER(H959),1,0)</f>
        <v>1</v>
      </c>
      <c r="AJ959" s="5">
        <f>IF(ISNUMBER(P959),1,0)</f>
        <v>0</v>
      </c>
      <c r="AK959" s="5">
        <f>IF(AI959=1,IF(J959&gt;0,1,0),"")</f>
        <v>0</v>
      </c>
      <c r="AL959" s="5" t="str">
        <f>IF(AJ959=1,IF(OR(Q959&gt;0,R959&gt;0),1,0),"")</f>
        <v/>
      </c>
    </row>
    <row r="960" spans="1:38">
      <c r="A960">
        <v>2586611</v>
      </c>
      <c r="B960" t="s">
        <v>1027</v>
      </c>
      <c r="C960" t="s">
        <v>37</v>
      </c>
      <c r="D960" t="s">
        <v>24</v>
      </c>
      <c r="E960">
        <v>4</v>
      </c>
      <c r="F960">
        <v>120000</v>
      </c>
      <c r="H960">
        <v>1</v>
      </c>
      <c r="I960">
        <v>2</v>
      </c>
      <c r="J960">
        <v>1</v>
      </c>
      <c r="K960">
        <v>1</v>
      </c>
      <c r="L960">
        <v>0.5</v>
      </c>
      <c r="M960">
        <v>1</v>
      </c>
      <c r="N960">
        <v>0</v>
      </c>
      <c r="O960" t="s">
        <v>26</v>
      </c>
      <c r="P960" t="s">
        <v>26</v>
      </c>
      <c r="Q960" t="s">
        <v>26</v>
      </c>
      <c r="R960" t="s">
        <v>26</v>
      </c>
      <c r="S960" t="s">
        <v>26</v>
      </c>
      <c r="T960" t="s">
        <v>26</v>
      </c>
      <c r="U960" t="s">
        <v>26</v>
      </c>
      <c r="V960">
        <v>1</v>
      </c>
      <c r="W960">
        <f>E960/100</f>
        <v>0.04</v>
      </c>
      <c r="X960">
        <f>F960/1000000</f>
        <v>0.12</v>
      </c>
      <c r="Y960">
        <f>IF(D960="C",1,0)</f>
        <v>0</v>
      </c>
      <c r="Z960">
        <f>IF(G960="C",1,0)</f>
        <v>0</v>
      </c>
      <c r="AA960">
        <f>IF(G960="S",1,0)</f>
        <v>0</v>
      </c>
      <c r="AB960">
        <f>IF(G960="U",1,0)</f>
        <v>0</v>
      </c>
      <c r="AC960" s="5">
        <f>IF(AND(ISNUMBER(H960),NOT(ISNUMBER(P960))),1,0)</f>
        <v>1</v>
      </c>
      <c r="AD960" s="5">
        <f>IF(AND(ISNUMBER(H960),ISNUMBER(P960)),1,0)</f>
        <v>0</v>
      </c>
      <c r="AE960" s="5">
        <f>W960</f>
        <v>0.04</v>
      </c>
      <c r="AF960" s="5">
        <f>X960</f>
        <v>0.12</v>
      </c>
      <c r="AG960" s="5">
        <f>Y960</f>
        <v>0</v>
      </c>
      <c r="AH960" s="5">
        <f>IF(OR(G960="C",G960="S",G960="U"),1,0)</f>
        <v>0</v>
      </c>
      <c r="AI960" s="5">
        <f>IF(ISNUMBER(H960),1,0)</f>
        <v>1</v>
      </c>
      <c r="AJ960" s="5">
        <f>IF(ISNUMBER(P960),1,0)</f>
        <v>0</v>
      </c>
      <c r="AK960" s="5">
        <f>IF(AI960=1,IF(J960&gt;0,1,0),"")</f>
        <v>1</v>
      </c>
      <c r="AL960" s="5" t="str">
        <f>IF(AJ960=1,IF(OR(Q960&gt;0,R960&gt;0),1,0),"")</f>
        <v/>
      </c>
    </row>
    <row r="961" spans="1:38">
      <c r="A961">
        <v>2588025</v>
      </c>
      <c r="B961" t="s">
        <v>1028</v>
      </c>
      <c r="C961" t="s">
        <v>23</v>
      </c>
      <c r="D961" t="s">
        <v>24</v>
      </c>
      <c r="E961">
        <v>63</v>
      </c>
      <c r="F961">
        <v>1200000</v>
      </c>
      <c r="H961">
        <v>1</v>
      </c>
      <c r="I961">
        <v>0</v>
      </c>
      <c r="J961">
        <v>0</v>
      </c>
      <c r="K961">
        <v>0</v>
      </c>
      <c r="L961" t="s">
        <v>26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  <c r="S961" t="s">
        <v>26</v>
      </c>
      <c r="T961" t="s">
        <v>26</v>
      </c>
      <c r="U961" t="s">
        <v>26</v>
      </c>
      <c r="V961">
        <v>0</v>
      </c>
      <c r="W961">
        <f>E961/100</f>
        <v>0.63</v>
      </c>
      <c r="X961">
        <f>F961/1000000</f>
        <v>1.2</v>
      </c>
      <c r="Y961">
        <f>IF(D961="C",1,0)</f>
        <v>0</v>
      </c>
      <c r="Z961">
        <f>IF(G961="C",1,0)</f>
        <v>0</v>
      </c>
      <c r="AA961">
        <f>IF(G961="S",1,0)</f>
        <v>0</v>
      </c>
      <c r="AB961">
        <f>IF(G961="U",1,0)</f>
        <v>0</v>
      </c>
      <c r="AC961" s="5">
        <f>IF(AND(ISNUMBER(H961),NOT(ISNUMBER(P961))),1,0)</f>
        <v>1</v>
      </c>
      <c r="AD961" s="5">
        <f>IF(AND(ISNUMBER(H961),ISNUMBER(P961)),1,0)</f>
        <v>0</v>
      </c>
      <c r="AE961" s="5">
        <f>W961</f>
        <v>0.63</v>
      </c>
      <c r="AF961" s="5">
        <f>X961</f>
        <v>1.2</v>
      </c>
      <c r="AG961" s="5">
        <f>Y961</f>
        <v>0</v>
      </c>
      <c r="AH961" s="5">
        <f>IF(OR(G961="C",G961="S",G961="U"),1,0)</f>
        <v>0</v>
      </c>
      <c r="AI961" s="5">
        <f>IF(ISNUMBER(H961),1,0)</f>
        <v>1</v>
      </c>
      <c r="AJ961" s="5">
        <f>IF(ISNUMBER(P961),1,0)</f>
        <v>0</v>
      </c>
      <c r="AK961" s="5">
        <f>IF(AI961=1,IF(J961&gt;0,1,0),"")</f>
        <v>0</v>
      </c>
      <c r="AL961" s="5" t="str">
        <f>IF(AJ961=1,IF(OR(Q961&gt;0,R961&gt;0),1,0),"")</f>
        <v/>
      </c>
    </row>
    <row r="962" spans="1:38">
      <c r="A962">
        <v>2591257</v>
      </c>
      <c r="B962" t="s">
        <v>1029</v>
      </c>
      <c r="C962" t="s">
        <v>105</v>
      </c>
      <c r="D962" t="s">
        <v>24</v>
      </c>
      <c r="E962">
        <v>45</v>
      </c>
      <c r="F962">
        <v>2810188</v>
      </c>
      <c r="H962">
        <v>1</v>
      </c>
      <c r="I962">
        <v>0</v>
      </c>
      <c r="J962">
        <v>0</v>
      </c>
      <c r="K962">
        <v>0</v>
      </c>
      <c r="L962" t="s">
        <v>26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  <c r="S962" t="s">
        <v>26</v>
      </c>
      <c r="T962" t="s">
        <v>26</v>
      </c>
      <c r="U962" t="s">
        <v>26</v>
      </c>
      <c r="V962">
        <v>0</v>
      </c>
      <c r="W962">
        <f>E962/100</f>
        <v>0.45</v>
      </c>
      <c r="X962">
        <f>F962/1000000</f>
        <v>2.8101880000000001</v>
      </c>
      <c r="Y962">
        <f>IF(D962="C",1,0)</f>
        <v>0</v>
      </c>
      <c r="Z962">
        <f>IF(G962="C",1,0)</f>
        <v>0</v>
      </c>
      <c r="AA962">
        <f>IF(G962="S",1,0)</f>
        <v>0</v>
      </c>
      <c r="AB962">
        <f>IF(G962="U",1,0)</f>
        <v>0</v>
      </c>
      <c r="AC962" s="5">
        <f>IF(AND(ISNUMBER(H962),NOT(ISNUMBER(P962))),1,0)</f>
        <v>1</v>
      </c>
      <c r="AD962" s="5">
        <f>IF(AND(ISNUMBER(H962),ISNUMBER(P962)),1,0)</f>
        <v>0</v>
      </c>
      <c r="AE962" s="5">
        <f>W962</f>
        <v>0.45</v>
      </c>
      <c r="AF962" s="5">
        <f>X962</f>
        <v>2.8101880000000001</v>
      </c>
      <c r="AG962" s="5">
        <f>Y962</f>
        <v>0</v>
      </c>
      <c r="AH962" s="5">
        <f>IF(OR(G962="C",G962="S",G962="U"),1,0)</f>
        <v>0</v>
      </c>
      <c r="AI962" s="5">
        <f>IF(ISNUMBER(H962),1,0)</f>
        <v>1</v>
      </c>
      <c r="AJ962" s="5">
        <f>IF(ISNUMBER(P962),1,0)</f>
        <v>0</v>
      </c>
      <c r="AK962" s="5">
        <f>IF(AI962=1,IF(J962&gt;0,1,0),"")</f>
        <v>0</v>
      </c>
      <c r="AL962" s="5" t="str">
        <f>IF(AJ962=1,IF(OR(Q962&gt;0,R962&gt;0),1,0),"")</f>
        <v/>
      </c>
    </row>
    <row r="963" spans="1:38">
      <c r="A963">
        <v>2595914</v>
      </c>
      <c r="B963" t="s">
        <v>1030</v>
      </c>
      <c r="C963" t="s">
        <v>82</v>
      </c>
      <c r="D963" t="s">
        <v>24</v>
      </c>
      <c r="E963">
        <v>1</v>
      </c>
      <c r="F963">
        <v>341594</v>
      </c>
      <c r="H963">
        <v>3</v>
      </c>
      <c r="I963">
        <v>3</v>
      </c>
      <c r="J963">
        <v>0</v>
      </c>
      <c r="K963">
        <v>0</v>
      </c>
      <c r="L963">
        <v>0</v>
      </c>
      <c r="M963">
        <v>0</v>
      </c>
      <c r="N963">
        <v>0</v>
      </c>
      <c r="O963" t="s">
        <v>26</v>
      </c>
      <c r="P963" t="s">
        <v>26</v>
      </c>
      <c r="Q963" t="s">
        <v>26</v>
      </c>
      <c r="R963" t="s">
        <v>26</v>
      </c>
      <c r="S963" t="s">
        <v>26</v>
      </c>
      <c r="T963" t="s">
        <v>26</v>
      </c>
      <c r="U963" t="s">
        <v>26</v>
      </c>
      <c r="V963">
        <v>0</v>
      </c>
      <c r="W963">
        <f>E963/100</f>
        <v>0.01</v>
      </c>
      <c r="X963">
        <f>F963/1000000</f>
        <v>0.34159400000000001</v>
      </c>
      <c r="Y963">
        <f>IF(D963="C",1,0)</f>
        <v>0</v>
      </c>
      <c r="Z963">
        <f>IF(G963="C",1,0)</f>
        <v>0</v>
      </c>
      <c r="AA963">
        <f>IF(G963="S",1,0)</f>
        <v>0</v>
      </c>
      <c r="AB963">
        <f>IF(G963="U",1,0)</f>
        <v>0</v>
      </c>
      <c r="AC963" s="5">
        <f>IF(AND(ISNUMBER(H963),NOT(ISNUMBER(P963))),1,0)</f>
        <v>1</v>
      </c>
      <c r="AD963" s="5">
        <f>IF(AND(ISNUMBER(H963),ISNUMBER(P963)),1,0)</f>
        <v>0</v>
      </c>
      <c r="AE963" s="5">
        <f>W963</f>
        <v>0.01</v>
      </c>
      <c r="AF963" s="5">
        <f>X963</f>
        <v>0.34159400000000001</v>
      </c>
      <c r="AG963" s="5">
        <f>Y963</f>
        <v>0</v>
      </c>
      <c r="AH963" s="5">
        <f>IF(OR(G963="C",G963="S",G963="U"),1,0)</f>
        <v>0</v>
      </c>
      <c r="AI963" s="5">
        <f>IF(ISNUMBER(H963),1,0)</f>
        <v>1</v>
      </c>
      <c r="AJ963" s="5">
        <f>IF(ISNUMBER(P963),1,0)</f>
        <v>0</v>
      </c>
      <c r="AK963" s="5">
        <f>IF(AI963=1,IF(J963&gt;0,1,0),"")</f>
        <v>0</v>
      </c>
      <c r="AL963" s="5" t="str">
        <f>IF(AJ963=1,IF(OR(Q963&gt;0,R963&gt;0),1,0),"")</f>
        <v/>
      </c>
    </row>
    <row r="964" spans="1:38">
      <c r="A964">
        <v>2604845</v>
      </c>
      <c r="B964" t="s">
        <v>1031</v>
      </c>
      <c r="C964" t="s">
        <v>314</v>
      </c>
      <c r="D964" t="s">
        <v>24</v>
      </c>
      <c r="E964">
        <v>72</v>
      </c>
      <c r="F964">
        <v>7563500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  <c r="S964" t="s">
        <v>26</v>
      </c>
      <c r="T964" t="s">
        <v>26</v>
      </c>
      <c r="U964" t="s">
        <v>26</v>
      </c>
      <c r="V964">
        <v>0</v>
      </c>
      <c r="W964">
        <f>E964/100</f>
        <v>0.72</v>
      </c>
      <c r="X964">
        <f>F964/1000000</f>
        <v>7.5635000000000003</v>
      </c>
      <c r="Y964">
        <f>IF(D964="C",1,0)</f>
        <v>0</v>
      </c>
      <c r="Z964">
        <f>IF(G964="C",1,0)</f>
        <v>0</v>
      </c>
      <c r="AA964">
        <f>IF(G964="S",1,0)</f>
        <v>0</v>
      </c>
      <c r="AB964">
        <f>IF(G964="U",1,0)</f>
        <v>0</v>
      </c>
      <c r="AC964" s="5">
        <f>IF(AND(ISNUMBER(H964),NOT(ISNUMBER(P964))),1,0)</f>
        <v>1</v>
      </c>
      <c r="AD964" s="5">
        <f>IF(AND(ISNUMBER(H964),ISNUMBER(P964)),1,0)</f>
        <v>0</v>
      </c>
      <c r="AE964" s="5">
        <f>W964</f>
        <v>0.72</v>
      </c>
      <c r="AF964" s="5">
        <f>X964</f>
        <v>7.5635000000000003</v>
      </c>
      <c r="AG964" s="5">
        <f>Y964</f>
        <v>0</v>
      </c>
      <c r="AH964" s="5">
        <f>IF(OR(G964="C",G964="S",G964="U"),1,0)</f>
        <v>0</v>
      </c>
      <c r="AI964" s="5">
        <f>IF(ISNUMBER(H964),1,0)</f>
        <v>1</v>
      </c>
      <c r="AJ964" s="5">
        <f>IF(ISNUMBER(P964),1,0)</f>
        <v>0</v>
      </c>
      <c r="AK964" s="5">
        <f>IF(AI964=1,IF(J964&gt;0,1,0),"")</f>
        <v>0</v>
      </c>
      <c r="AL964" s="5" t="str">
        <f>IF(AJ964=1,IF(OR(Q964&gt;0,R964&gt;0),1,0),"")</f>
        <v/>
      </c>
    </row>
    <row r="965" spans="1:38">
      <c r="A965">
        <v>2608924</v>
      </c>
      <c r="B965" t="s">
        <v>1032</v>
      </c>
      <c r="C965" t="s">
        <v>23</v>
      </c>
      <c r="D965" t="s">
        <v>24</v>
      </c>
      <c r="E965">
        <v>36</v>
      </c>
      <c r="F965">
        <v>400500</v>
      </c>
      <c r="H965">
        <v>1</v>
      </c>
      <c r="I965">
        <v>0</v>
      </c>
      <c r="J965">
        <v>0</v>
      </c>
      <c r="K965">
        <v>0</v>
      </c>
      <c r="L965" t="s">
        <v>26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  <c r="S965" t="s">
        <v>26</v>
      </c>
      <c r="T965" t="s">
        <v>26</v>
      </c>
      <c r="U965" t="s">
        <v>26</v>
      </c>
      <c r="V965">
        <v>0</v>
      </c>
      <c r="W965">
        <f>E965/100</f>
        <v>0.36</v>
      </c>
      <c r="X965">
        <f>F965/1000000</f>
        <v>0.40050000000000002</v>
      </c>
      <c r="Y965">
        <f>IF(D965="C",1,0)</f>
        <v>0</v>
      </c>
      <c r="Z965">
        <f>IF(G965="C",1,0)</f>
        <v>0</v>
      </c>
      <c r="AA965">
        <f>IF(G965="S",1,0)</f>
        <v>0</v>
      </c>
      <c r="AB965">
        <f>IF(G965="U",1,0)</f>
        <v>0</v>
      </c>
      <c r="AC965" s="5">
        <f>IF(AND(ISNUMBER(H965),NOT(ISNUMBER(P965))),1,0)</f>
        <v>1</v>
      </c>
      <c r="AD965" s="5">
        <f>IF(AND(ISNUMBER(H965),ISNUMBER(P965)),1,0)</f>
        <v>0</v>
      </c>
      <c r="AE965" s="5">
        <f>W965</f>
        <v>0.36</v>
      </c>
      <c r="AF965" s="5">
        <f>X965</f>
        <v>0.40050000000000002</v>
      </c>
      <c r="AG965" s="5">
        <f>Y965</f>
        <v>0</v>
      </c>
      <c r="AH965" s="5">
        <f>IF(OR(G965="C",G965="S",G965="U"),1,0)</f>
        <v>0</v>
      </c>
      <c r="AI965" s="5">
        <f>IF(ISNUMBER(H965),1,0)</f>
        <v>1</v>
      </c>
      <c r="AJ965" s="5">
        <f>IF(ISNUMBER(P965),1,0)</f>
        <v>0</v>
      </c>
      <c r="AK965" s="5">
        <f>IF(AI965=1,IF(J965&gt;0,1,0),"")</f>
        <v>0</v>
      </c>
      <c r="AL965" s="5" t="str">
        <f>IF(AJ965=1,IF(OR(Q965&gt;0,R965&gt;0),1,0),"")</f>
        <v/>
      </c>
    </row>
    <row r="966" spans="1:38">
      <c r="A966">
        <v>2609046</v>
      </c>
      <c r="B966" t="s">
        <v>1033</v>
      </c>
      <c r="C966" t="s">
        <v>23</v>
      </c>
      <c r="D966" t="s">
        <v>24</v>
      </c>
      <c r="E966">
        <v>10</v>
      </c>
      <c r="F966">
        <v>1000000</v>
      </c>
      <c r="H966">
        <v>1</v>
      </c>
      <c r="I966">
        <v>4</v>
      </c>
      <c r="J966">
        <v>0</v>
      </c>
      <c r="K966">
        <v>0</v>
      </c>
      <c r="L966">
        <v>0</v>
      </c>
      <c r="M966" t="s">
        <v>26</v>
      </c>
      <c r="N966">
        <v>0</v>
      </c>
      <c r="O966" t="s">
        <v>26</v>
      </c>
      <c r="P966" t="s">
        <v>26</v>
      </c>
      <c r="Q966" t="s">
        <v>26</v>
      </c>
      <c r="R966" t="s">
        <v>26</v>
      </c>
      <c r="S966" t="s">
        <v>26</v>
      </c>
      <c r="T966" t="s">
        <v>26</v>
      </c>
      <c r="U966" t="s">
        <v>26</v>
      </c>
      <c r="V966">
        <v>0</v>
      </c>
      <c r="W966">
        <f>E966/100</f>
        <v>0.1</v>
      </c>
      <c r="X966">
        <f>F966/1000000</f>
        <v>1</v>
      </c>
      <c r="Y966">
        <f>IF(D966="C",1,0)</f>
        <v>0</v>
      </c>
      <c r="Z966">
        <f>IF(G966="C",1,0)</f>
        <v>0</v>
      </c>
      <c r="AA966">
        <f>IF(G966="S",1,0)</f>
        <v>0</v>
      </c>
      <c r="AB966">
        <f>IF(G966="U",1,0)</f>
        <v>0</v>
      </c>
      <c r="AC966" s="5">
        <f>IF(AND(ISNUMBER(H966),NOT(ISNUMBER(P966))),1,0)</f>
        <v>1</v>
      </c>
      <c r="AD966" s="5">
        <f>IF(AND(ISNUMBER(H966),ISNUMBER(P966)),1,0)</f>
        <v>0</v>
      </c>
      <c r="AE966" s="5">
        <f>W966</f>
        <v>0.1</v>
      </c>
      <c r="AF966" s="5">
        <f>X966</f>
        <v>1</v>
      </c>
      <c r="AG966" s="5">
        <f>Y966</f>
        <v>0</v>
      </c>
      <c r="AH966" s="5">
        <f>IF(OR(G966="C",G966="S",G966="U"),1,0)</f>
        <v>0</v>
      </c>
      <c r="AI966" s="5">
        <f>IF(ISNUMBER(H966),1,0)</f>
        <v>1</v>
      </c>
      <c r="AJ966" s="5">
        <f>IF(ISNUMBER(P966),1,0)</f>
        <v>0</v>
      </c>
      <c r="AK966" s="5">
        <f>IF(AI966=1,IF(J966&gt;0,1,0),"")</f>
        <v>0</v>
      </c>
      <c r="AL966" s="5" t="str">
        <f>IF(AJ966=1,IF(OR(Q966&gt;0,R966&gt;0),1,0),"")</f>
        <v/>
      </c>
    </row>
    <row r="967" spans="1:38">
      <c r="A967">
        <v>2637880</v>
      </c>
      <c r="B967" t="s">
        <v>1034</v>
      </c>
      <c r="C967" t="s">
        <v>23</v>
      </c>
      <c r="D967" t="s">
        <v>33</v>
      </c>
      <c r="E967">
        <v>3</v>
      </c>
      <c r="F967">
        <v>11410</v>
      </c>
      <c r="H967">
        <v>1</v>
      </c>
      <c r="I967">
        <v>0</v>
      </c>
      <c r="J967">
        <v>0</v>
      </c>
      <c r="K967">
        <v>0</v>
      </c>
      <c r="L967" t="s">
        <v>26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  <c r="S967" t="s">
        <v>26</v>
      </c>
      <c r="T967" t="s">
        <v>26</v>
      </c>
      <c r="U967" t="s">
        <v>26</v>
      </c>
      <c r="V967">
        <v>0</v>
      </c>
      <c r="W967">
        <f>E967/100</f>
        <v>0.03</v>
      </c>
      <c r="X967">
        <f>F967/1000000</f>
        <v>1.141E-2</v>
      </c>
      <c r="Y967">
        <f>IF(D967="C",1,0)</f>
        <v>1</v>
      </c>
      <c r="Z967">
        <f>IF(G967="C",1,0)</f>
        <v>0</v>
      </c>
      <c r="AA967">
        <f>IF(G967="S",1,0)</f>
        <v>0</v>
      </c>
      <c r="AB967">
        <f>IF(G967="U",1,0)</f>
        <v>0</v>
      </c>
      <c r="AC967" s="5">
        <f>IF(AND(ISNUMBER(H967),NOT(ISNUMBER(P967))),1,0)</f>
        <v>1</v>
      </c>
      <c r="AD967" s="5">
        <f>IF(AND(ISNUMBER(H967),ISNUMBER(P967)),1,0)</f>
        <v>0</v>
      </c>
      <c r="AE967" s="5">
        <f>W967</f>
        <v>0.03</v>
      </c>
      <c r="AF967" s="5">
        <f>X967</f>
        <v>1.141E-2</v>
      </c>
      <c r="AG967" s="5">
        <f>Y967</f>
        <v>1</v>
      </c>
      <c r="AH967" s="5">
        <f>IF(OR(G967="C",G967="S",G967="U"),1,0)</f>
        <v>0</v>
      </c>
      <c r="AI967" s="5">
        <f>IF(ISNUMBER(H967),1,0)</f>
        <v>1</v>
      </c>
      <c r="AJ967" s="5">
        <f>IF(ISNUMBER(P967),1,0)</f>
        <v>0</v>
      </c>
      <c r="AK967" s="5">
        <f>IF(AI967=1,IF(J967&gt;0,1,0),"")</f>
        <v>0</v>
      </c>
      <c r="AL967" s="5" t="str">
        <f>IF(AJ967=1,IF(OR(Q967&gt;0,R967&gt;0),1,0),"")</f>
        <v/>
      </c>
    </row>
    <row r="968" spans="1:38">
      <c r="A968">
        <v>2783166</v>
      </c>
      <c r="B968" t="s">
        <v>1035</v>
      </c>
      <c r="C968" t="s">
        <v>93</v>
      </c>
      <c r="D968" t="s">
        <v>24</v>
      </c>
      <c r="E968">
        <v>2</v>
      </c>
      <c r="F968">
        <v>60000</v>
      </c>
      <c r="H968">
        <v>1</v>
      </c>
      <c r="I968">
        <v>3</v>
      </c>
      <c r="J968">
        <v>0</v>
      </c>
      <c r="K968">
        <v>0</v>
      </c>
      <c r="L968">
        <v>0</v>
      </c>
      <c r="M968">
        <v>0</v>
      </c>
      <c r="N968">
        <v>0</v>
      </c>
      <c r="O968" t="s">
        <v>26</v>
      </c>
      <c r="P968" t="s">
        <v>26</v>
      </c>
      <c r="Q968" t="s">
        <v>26</v>
      </c>
      <c r="R968" t="s">
        <v>26</v>
      </c>
      <c r="S968" t="s">
        <v>26</v>
      </c>
      <c r="T968" t="s">
        <v>26</v>
      </c>
      <c r="U968" t="s">
        <v>26</v>
      </c>
      <c r="V968">
        <v>0</v>
      </c>
      <c r="W968">
        <f>E968/100</f>
        <v>0.02</v>
      </c>
      <c r="X968">
        <f>F968/1000000</f>
        <v>0.06</v>
      </c>
      <c r="Y968">
        <f>IF(D968="C",1,0)</f>
        <v>0</v>
      </c>
      <c r="Z968">
        <f>IF(G968="C",1,0)</f>
        <v>0</v>
      </c>
      <c r="AA968">
        <f>IF(G968="S",1,0)</f>
        <v>0</v>
      </c>
      <c r="AB968">
        <f>IF(G968="U",1,0)</f>
        <v>0</v>
      </c>
      <c r="AC968" s="5">
        <f>IF(AND(ISNUMBER(H968),NOT(ISNUMBER(P968))),1,0)</f>
        <v>1</v>
      </c>
      <c r="AD968" s="5">
        <f>IF(AND(ISNUMBER(H968),ISNUMBER(P968)),1,0)</f>
        <v>0</v>
      </c>
      <c r="AE968" s="5">
        <f>W968</f>
        <v>0.02</v>
      </c>
      <c r="AF968" s="5">
        <f>X968</f>
        <v>0.06</v>
      </c>
      <c r="AG968" s="5">
        <f>Y968</f>
        <v>0</v>
      </c>
      <c r="AH968" s="5">
        <f>IF(OR(G968="C",G968="S",G968="U"),1,0)</f>
        <v>0</v>
      </c>
      <c r="AI968" s="5">
        <f>IF(ISNUMBER(H968),1,0)</f>
        <v>1</v>
      </c>
      <c r="AJ968" s="5">
        <f>IF(ISNUMBER(P968),1,0)</f>
        <v>0</v>
      </c>
      <c r="AK968" s="5">
        <f>IF(AI968=1,IF(J968&gt;0,1,0),"")</f>
        <v>0</v>
      </c>
      <c r="AL968" s="5" t="str">
        <f>IF(AJ968=1,IF(OR(Q968&gt;0,R968&gt;0),1,0),"")</f>
        <v/>
      </c>
    </row>
    <row r="969" spans="1:38">
      <c r="A969">
        <v>2798841</v>
      </c>
      <c r="B969" t="s">
        <v>1036</v>
      </c>
      <c r="C969" t="s">
        <v>82</v>
      </c>
      <c r="D969" t="s">
        <v>24</v>
      </c>
      <c r="E969">
        <v>5</v>
      </c>
      <c r="F969">
        <v>592746</v>
      </c>
      <c r="H969">
        <v>2</v>
      </c>
      <c r="I969">
        <v>2</v>
      </c>
      <c r="J969">
        <v>0</v>
      </c>
      <c r="K969">
        <v>0</v>
      </c>
      <c r="L969">
        <v>0</v>
      </c>
      <c r="M969">
        <v>0</v>
      </c>
      <c r="N969">
        <v>0</v>
      </c>
      <c r="O969" t="s">
        <v>26</v>
      </c>
      <c r="P969" t="s">
        <v>26</v>
      </c>
      <c r="Q969" t="s">
        <v>26</v>
      </c>
      <c r="R969" t="s">
        <v>26</v>
      </c>
      <c r="S969" t="s">
        <v>26</v>
      </c>
      <c r="T969" t="s">
        <v>26</v>
      </c>
      <c r="U969" t="s">
        <v>26</v>
      </c>
      <c r="V969">
        <v>0</v>
      </c>
      <c r="W969">
        <f>E969/100</f>
        <v>0.05</v>
      </c>
      <c r="X969">
        <f>F969/1000000</f>
        <v>0.592746</v>
      </c>
      <c r="Y969">
        <f>IF(D969="C",1,0)</f>
        <v>0</v>
      </c>
      <c r="Z969">
        <f>IF(G969="C",1,0)</f>
        <v>0</v>
      </c>
      <c r="AA969">
        <f>IF(G969="S",1,0)</f>
        <v>0</v>
      </c>
      <c r="AB969">
        <f>IF(G969="U",1,0)</f>
        <v>0</v>
      </c>
      <c r="AC969" s="5">
        <f>IF(AND(ISNUMBER(H969),NOT(ISNUMBER(P969))),1,0)</f>
        <v>1</v>
      </c>
      <c r="AD969" s="5">
        <f>IF(AND(ISNUMBER(H969),ISNUMBER(P969)),1,0)</f>
        <v>0</v>
      </c>
      <c r="AE969" s="5">
        <f>W969</f>
        <v>0.05</v>
      </c>
      <c r="AF969" s="5">
        <f>X969</f>
        <v>0.592746</v>
      </c>
      <c r="AG969" s="5">
        <f>Y969</f>
        <v>0</v>
      </c>
      <c r="AH969" s="5">
        <f>IF(OR(G969="C",G969="S",G969="U"),1,0)</f>
        <v>0</v>
      </c>
      <c r="AI969" s="5">
        <f>IF(ISNUMBER(H969),1,0)</f>
        <v>1</v>
      </c>
      <c r="AJ969" s="5">
        <f>IF(ISNUMBER(P969),1,0)</f>
        <v>0</v>
      </c>
      <c r="AK969" s="5">
        <f>IF(AI969=1,IF(J969&gt;0,1,0),"")</f>
        <v>0</v>
      </c>
      <c r="AL969" s="5" t="str">
        <f>IF(AJ969=1,IF(OR(Q969&gt;0,R969&gt;0),1,0),"")</f>
        <v/>
      </c>
    </row>
    <row r="970" spans="1:38">
      <c r="A970">
        <v>2829870</v>
      </c>
      <c r="B970" t="s">
        <v>1037</v>
      </c>
      <c r="C970" t="s">
        <v>23</v>
      </c>
      <c r="D970" t="s">
        <v>24</v>
      </c>
      <c r="E970">
        <v>8</v>
      </c>
      <c r="F970">
        <v>500000</v>
      </c>
      <c r="H970">
        <v>1</v>
      </c>
      <c r="I970">
        <v>4</v>
      </c>
      <c r="J970">
        <v>0</v>
      </c>
      <c r="K970">
        <v>0</v>
      </c>
      <c r="L970">
        <v>0</v>
      </c>
      <c r="M970" t="s">
        <v>26</v>
      </c>
      <c r="N970">
        <v>0</v>
      </c>
      <c r="O970" t="s">
        <v>26</v>
      </c>
      <c r="P970" t="s">
        <v>26</v>
      </c>
      <c r="Q970" t="s">
        <v>26</v>
      </c>
      <c r="R970" t="s">
        <v>26</v>
      </c>
      <c r="S970" t="s">
        <v>26</v>
      </c>
      <c r="T970" t="s">
        <v>26</v>
      </c>
      <c r="U970" t="s">
        <v>26</v>
      </c>
      <c r="V970">
        <v>0</v>
      </c>
      <c r="W970">
        <f>E970/100</f>
        <v>0.08</v>
      </c>
      <c r="X970">
        <f>F970/1000000</f>
        <v>0.5</v>
      </c>
      <c r="Y970">
        <f>IF(D970="C",1,0)</f>
        <v>0</v>
      </c>
      <c r="Z970">
        <f>IF(G970="C",1,0)</f>
        <v>0</v>
      </c>
      <c r="AA970">
        <f>IF(G970="S",1,0)</f>
        <v>0</v>
      </c>
      <c r="AB970">
        <f>IF(G970="U",1,0)</f>
        <v>0</v>
      </c>
      <c r="AC970" s="5">
        <f>IF(AND(ISNUMBER(H970),NOT(ISNUMBER(P970))),1,0)</f>
        <v>1</v>
      </c>
      <c r="AD970" s="5">
        <f>IF(AND(ISNUMBER(H970),ISNUMBER(P970)),1,0)</f>
        <v>0</v>
      </c>
      <c r="AE970" s="5">
        <f>W970</f>
        <v>0.08</v>
      </c>
      <c r="AF970" s="5">
        <f>X970</f>
        <v>0.5</v>
      </c>
      <c r="AG970" s="5">
        <f>Y970</f>
        <v>0</v>
      </c>
      <c r="AH970" s="5">
        <f>IF(OR(G970="C",G970="S",G970="U"),1,0)</f>
        <v>0</v>
      </c>
      <c r="AI970" s="5">
        <f>IF(ISNUMBER(H970),1,0)</f>
        <v>1</v>
      </c>
      <c r="AJ970" s="5">
        <f>IF(ISNUMBER(P970),1,0)</f>
        <v>0</v>
      </c>
      <c r="AK970" s="5">
        <f>IF(AI970=1,IF(J970&gt;0,1,0),"")</f>
        <v>0</v>
      </c>
      <c r="AL970" s="5" t="str">
        <f>IF(AJ970=1,IF(OR(Q970&gt;0,R970&gt;0),1,0),"")</f>
        <v/>
      </c>
    </row>
    <row r="971" spans="1:38">
      <c r="A971">
        <v>2832866</v>
      </c>
      <c r="B971" t="s">
        <v>1038</v>
      </c>
      <c r="C971" t="s">
        <v>815</v>
      </c>
      <c r="D971" t="s">
        <v>24</v>
      </c>
      <c r="E971">
        <v>1</v>
      </c>
      <c r="F971">
        <v>35604</v>
      </c>
      <c r="H971">
        <v>1</v>
      </c>
      <c r="I971">
        <v>3</v>
      </c>
      <c r="J971">
        <v>0</v>
      </c>
      <c r="K971">
        <v>0</v>
      </c>
      <c r="L971">
        <v>0</v>
      </c>
      <c r="M971" t="s">
        <v>26</v>
      </c>
      <c r="N971">
        <v>0</v>
      </c>
      <c r="O971" t="s">
        <v>26</v>
      </c>
      <c r="P971" t="s">
        <v>26</v>
      </c>
      <c r="Q971" t="s">
        <v>26</v>
      </c>
      <c r="R971" t="s">
        <v>26</v>
      </c>
      <c r="S971" t="s">
        <v>26</v>
      </c>
      <c r="T971" t="s">
        <v>26</v>
      </c>
      <c r="U971" t="s">
        <v>26</v>
      </c>
      <c r="V971">
        <v>0</v>
      </c>
      <c r="W971">
        <f>E971/100</f>
        <v>0.01</v>
      </c>
      <c r="X971">
        <f>F971/1000000</f>
        <v>3.5603999999999997E-2</v>
      </c>
      <c r="Y971">
        <f>IF(D971="C",1,0)</f>
        <v>0</v>
      </c>
      <c r="Z971">
        <f>IF(G971="C",1,0)</f>
        <v>0</v>
      </c>
      <c r="AA971">
        <f>IF(G971="S",1,0)</f>
        <v>0</v>
      </c>
      <c r="AB971">
        <f>IF(G971="U",1,0)</f>
        <v>0</v>
      </c>
      <c r="AC971" s="5">
        <f>IF(AND(ISNUMBER(H971),NOT(ISNUMBER(P971))),1,0)</f>
        <v>1</v>
      </c>
      <c r="AD971" s="5">
        <f>IF(AND(ISNUMBER(H971),ISNUMBER(P971)),1,0)</f>
        <v>0</v>
      </c>
      <c r="AE971" s="5">
        <f>W971</f>
        <v>0.01</v>
      </c>
      <c r="AF971" s="5">
        <f>X971</f>
        <v>3.5603999999999997E-2</v>
      </c>
      <c r="AG971" s="5">
        <f>Y971</f>
        <v>0</v>
      </c>
      <c r="AH971" s="5">
        <f>IF(OR(G971="C",G971="S",G971="U"),1,0)</f>
        <v>0</v>
      </c>
      <c r="AI971" s="5">
        <f>IF(ISNUMBER(H971),1,0)</f>
        <v>1</v>
      </c>
      <c r="AJ971" s="5">
        <f>IF(ISNUMBER(P971),1,0)</f>
        <v>0</v>
      </c>
      <c r="AK971" s="5">
        <f>IF(AI971=1,IF(J971&gt;0,1,0),"")</f>
        <v>0</v>
      </c>
      <c r="AL971" s="5" t="str">
        <f>IF(AJ971=1,IF(OR(Q971&gt;0,R971&gt;0),1,0),"")</f>
        <v/>
      </c>
    </row>
    <row r="972" spans="1:38">
      <c r="A972">
        <v>2846470</v>
      </c>
      <c r="B972" t="s">
        <v>1039</v>
      </c>
      <c r="C972" t="s">
        <v>23</v>
      </c>
      <c r="D972" t="s">
        <v>24</v>
      </c>
      <c r="E972">
        <v>5</v>
      </c>
      <c r="F972">
        <v>200940</v>
      </c>
      <c r="H972">
        <v>1</v>
      </c>
      <c r="I972">
        <v>1</v>
      </c>
      <c r="J972">
        <v>0</v>
      </c>
      <c r="K972">
        <v>0</v>
      </c>
      <c r="L972">
        <v>0</v>
      </c>
      <c r="M972" t="s">
        <v>26</v>
      </c>
      <c r="N972">
        <v>0</v>
      </c>
      <c r="O972" t="s">
        <v>26</v>
      </c>
      <c r="P972" t="s">
        <v>26</v>
      </c>
      <c r="Q972" t="s">
        <v>26</v>
      </c>
      <c r="R972" t="s">
        <v>26</v>
      </c>
      <c r="S972" t="s">
        <v>26</v>
      </c>
      <c r="T972" t="s">
        <v>26</v>
      </c>
      <c r="U972" t="s">
        <v>26</v>
      </c>
      <c r="V972">
        <v>0</v>
      </c>
      <c r="W972">
        <f>E972/100</f>
        <v>0.05</v>
      </c>
      <c r="X972">
        <f>F972/1000000</f>
        <v>0.20094000000000001</v>
      </c>
      <c r="Y972">
        <f>IF(D972="C",1,0)</f>
        <v>0</v>
      </c>
      <c r="Z972">
        <f>IF(G972="C",1,0)</f>
        <v>0</v>
      </c>
      <c r="AA972">
        <f>IF(G972="S",1,0)</f>
        <v>0</v>
      </c>
      <c r="AB972">
        <f>IF(G972="U",1,0)</f>
        <v>0</v>
      </c>
      <c r="AC972" s="5">
        <f>IF(AND(ISNUMBER(H972),NOT(ISNUMBER(P972))),1,0)</f>
        <v>1</v>
      </c>
      <c r="AD972" s="5">
        <f>IF(AND(ISNUMBER(H972),ISNUMBER(P972)),1,0)</f>
        <v>0</v>
      </c>
      <c r="AE972" s="5">
        <f>W972</f>
        <v>0.05</v>
      </c>
      <c r="AF972" s="5">
        <f>X972</f>
        <v>0.20094000000000001</v>
      </c>
      <c r="AG972" s="5">
        <f>Y972</f>
        <v>0</v>
      </c>
      <c r="AH972" s="5">
        <f>IF(OR(G972="C",G972="S",G972="U"),1,0)</f>
        <v>0</v>
      </c>
      <c r="AI972" s="5">
        <f>IF(ISNUMBER(H972),1,0)</f>
        <v>1</v>
      </c>
      <c r="AJ972" s="5">
        <f>IF(ISNUMBER(P972),1,0)</f>
        <v>0</v>
      </c>
      <c r="AK972" s="5">
        <f>IF(AI972=1,IF(J972&gt;0,1,0),"")</f>
        <v>0</v>
      </c>
      <c r="AL972" s="5" t="str">
        <f>IF(AJ972=1,IF(OR(Q972&gt;0,R972&gt;0),1,0),"")</f>
        <v/>
      </c>
    </row>
    <row r="973" spans="1:38">
      <c r="A973">
        <v>2860548</v>
      </c>
      <c r="B973" t="s">
        <v>1040</v>
      </c>
      <c r="C973" t="s">
        <v>314</v>
      </c>
      <c r="D973" t="s">
        <v>24</v>
      </c>
      <c r="E973">
        <v>27</v>
      </c>
      <c r="F973">
        <v>2300000</v>
      </c>
      <c r="H973">
        <v>1</v>
      </c>
      <c r="I973">
        <v>2</v>
      </c>
      <c r="J973">
        <v>0</v>
      </c>
      <c r="K973">
        <v>0</v>
      </c>
      <c r="L973">
        <v>0</v>
      </c>
      <c r="M973" t="s">
        <v>26</v>
      </c>
      <c r="N973">
        <v>0</v>
      </c>
      <c r="O973" t="s">
        <v>26</v>
      </c>
      <c r="P973" t="s">
        <v>26</v>
      </c>
      <c r="Q973" t="s">
        <v>26</v>
      </c>
      <c r="R973" t="s">
        <v>26</v>
      </c>
      <c r="S973" t="s">
        <v>26</v>
      </c>
      <c r="T973" t="s">
        <v>26</v>
      </c>
      <c r="U973" t="s">
        <v>26</v>
      </c>
      <c r="V973">
        <v>0</v>
      </c>
      <c r="W973">
        <f>E973/100</f>
        <v>0.27</v>
      </c>
      <c r="X973">
        <f>F973/1000000</f>
        <v>2.2999999999999998</v>
      </c>
      <c r="Y973">
        <f>IF(D973="C",1,0)</f>
        <v>0</v>
      </c>
      <c r="Z973">
        <f>IF(G973="C",1,0)</f>
        <v>0</v>
      </c>
      <c r="AA973">
        <f>IF(G973="S",1,0)</f>
        <v>0</v>
      </c>
      <c r="AB973">
        <f>IF(G973="U",1,0)</f>
        <v>0</v>
      </c>
      <c r="AC973" s="5">
        <f>IF(AND(ISNUMBER(H973),NOT(ISNUMBER(P973))),1,0)</f>
        <v>1</v>
      </c>
      <c r="AD973" s="5">
        <f>IF(AND(ISNUMBER(H973),ISNUMBER(P973)),1,0)</f>
        <v>0</v>
      </c>
      <c r="AE973" s="5">
        <f>W973</f>
        <v>0.27</v>
      </c>
      <c r="AF973" s="5">
        <f>X973</f>
        <v>2.2999999999999998</v>
      </c>
      <c r="AG973" s="5">
        <f>Y973</f>
        <v>0</v>
      </c>
      <c r="AH973" s="5">
        <f>IF(OR(G973="C",G973="S",G973="U"),1,0)</f>
        <v>0</v>
      </c>
      <c r="AI973" s="5">
        <f>IF(ISNUMBER(H973),1,0)</f>
        <v>1</v>
      </c>
      <c r="AJ973" s="5">
        <f>IF(ISNUMBER(P973),1,0)</f>
        <v>0</v>
      </c>
      <c r="AK973" s="5">
        <f>IF(AI973=1,IF(J973&gt;0,1,0),"")</f>
        <v>0</v>
      </c>
      <c r="AL973" s="5" t="str">
        <f>IF(AJ973=1,IF(OR(Q973&gt;0,R973&gt;0),1,0),"")</f>
        <v/>
      </c>
    </row>
    <row r="974" spans="1:38">
      <c r="A974">
        <v>2861398</v>
      </c>
      <c r="B974" t="s">
        <v>1041</v>
      </c>
      <c r="C974" t="s">
        <v>815</v>
      </c>
      <c r="D974" t="s">
        <v>24</v>
      </c>
      <c r="E974">
        <v>3</v>
      </c>
      <c r="F974">
        <v>341100</v>
      </c>
      <c r="H974">
        <v>1</v>
      </c>
      <c r="I974">
        <v>0</v>
      </c>
      <c r="J974">
        <v>0</v>
      </c>
      <c r="K974">
        <v>0</v>
      </c>
      <c r="L974" t="s">
        <v>26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  <c r="S974" t="s">
        <v>26</v>
      </c>
      <c r="T974" t="s">
        <v>26</v>
      </c>
      <c r="U974" t="s">
        <v>26</v>
      </c>
      <c r="V974">
        <v>0</v>
      </c>
      <c r="W974">
        <f>E974/100</f>
        <v>0.03</v>
      </c>
      <c r="X974">
        <f>F974/1000000</f>
        <v>0.34110000000000001</v>
      </c>
      <c r="Y974">
        <f>IF(D974="C",1,0)</f>
        <v>0</v>
      </c>
      <c r="Z974">
        <f>IF(G974="C",1,0)</f>
        <v>0</v>
      </c>
      <c r="AA974">
        <f>IF(G974="S",1,0)</f>
        <v>0</v>
      </c>
      <c r="AB974">
        <f>IF(G974="U",1,0)</f>
        <v>0</v>
      </c>
      <c r="AC974" s="5">
        <f>IF(AND(ISNUMBER(H974),NOT(ISNUMBER(P974))),1,0)</f>
        <v>1</v>
      </c>
      <c r="AD974" s="5">
        <f>IF(AND(ISNUMBER(H974),ISNUMBER(P974)),1,0)</f>
        <v>0</v>
      </c>
      <c r="AE974" s="5">
        <f>W974</f>
        <v>0.03</v>
      </c>
      <c r="AF974" s="5">
        <f>X974</f>
        <v>0.34110000000000001</v>
      </c>
      <c r="AG974" s="5">
        <f>Y974</f>
        <v>0</v>
      </c>
      <c r="AH974" s="5">
        <f>IF(OR(G974="C",G974="S",G974="U"),1,0)</f>
        <v>0</v>
      </c>
      <c r="AI974" s="5">
        <f>IF(ISNUMBER(H974),1,0)</f>
        <v>1</v>
      </c>
      <c r="AJ974" s="5">
        <f>IF(ISNUMBER(P974),1,0)</f>
        <v>0</v>
      </c>
      <c r="AK974" s="5">
        <f>IF(AI974=1,IF(J974&gt;0,1,0),"")</f>
        <v>0</v>
      </c>
      <c r="AL974" s="5" t="str">
        <f>IF(AJ974=1,IF(OR(Q974&gt;0,R974&gt;0),1,0),"")</f>
        <v/>
      </c>
    </row>
    <row r="975" spans="1:38">
      <c r="A975">
        <v>2867197</v>
      </c>
      <c r="B975" t="s">
        <v>1042</v>
      </c>
      <c r="C975" t="s">
        <v>23</v>
      </c>
      <c r="D975" t="s">
        <v>24</v>
      </c>
      <c r="E975">
        <v>4</v>
      </c>
      <c r="F975">
        <v>100000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  <c r="S975" t="s">
        <v>26</v>
      </c>
      <c r="T975" t="s">
        <v>26</v>
      </c>
      <c r="U975" t="s">
        <v>26</v>
      </c>
      <c r="V975">
        <v>0</v>
      </c>
      <c r="W975">
        <f>E975/100</f>
        <v>0.04</v>
      </c>
      <c r="X975">
        <f>F975/1000000</f>
        <v>0.1</v>
      </c>
      <c r="Y975">
        <f>IF(D975="C",1,0)</f>
        <v>0</v>
      </c>
      <c r="Z975">
        <f>IF(G975="C",1,0)</f>
        <v>0</v>
      </c>
      <c r="AA975">
        <f>IF(G975="S",1,0)</f>
        <v>0</v>
      </c>
      <c r="AB975">
        <f>IF(G975="U",1,0)</f>
        <v>0</v>
      </c>
      <c r="AC975" s="5">
        <f>IF(AND(ISNUMBER(H975),NOT(ISNUMBER(P975))),1,0)</f>
        <v>1</v>
      </c>
      <c r="AD975" s="5">
        <f>IF(AND(ISNUMBER(H975),ISNUMBER(P975)),1,0)</f>
        <v>0</v>
      </c>
      <c r="AE975" s="5">
        <f>W975</f>
        <v>0.04</v>
      </c>
      <c r="AF975" s="5">
        <f>X975</f>
        <v>0.1</v>
      </c>
      <c r="AG975" s="5">
        <f>Y975</f>
        <v>0</v>
      </c>
      <c r="AH975" s="5">
        <f>IF(OR(G975="C",G975="S",G975="U"),1,0)</f>
        <v>0</v>
      </c>
      <c r="AI975" s="5">
        <f>IF(ISNUMBER(H975),1,0)</f>
        <v>1</v>
      </c>
      <c r="AJ975" s="5">
        <f>IF(ISNUMBER(P975),1,0)</f>
        <v>0</v>
      </c>
      <c r="AK975" s="5">
        <f>IF(AI975=1,IF(J975&gt;0,1,0),"")</f>
        <v>0</v>
      </c>
      <c r="AL975" s="5" t="str">
        <f>IF(AJ975=1,IF(OR(Q975&gt;0,R975&gt;0),1,0),"")</f>
        <v/>
      </c>
    </row>
    <row r="976" spans="1:38">
      <c r="A976">
        <v>2868771</v>
      </c>
      <c r="B976" t="s">
        <v>1043</v>
      </c>
      <c r="C976" t="s">
        <v>1044</v>
      </c>
      <c r="D976" t="s">
        <v>24</v>
      </c>
      <c r="E976">
        <v>39</v>
      </c>
      <c r="F976">
        <v>4500000</v>
      </c>
      <c r="H976">
        <v>1</v>
      </c>
      <c r="I976">
        <v>3</v>
      </c>
      <c r="J976">
        <v>0</v>
      </c>
      <c r="K976">
        <v>0</v>
      </c>
      <c r="L976">
        <v>0</v>
      </c>
      <c r="M976">
        <v>0</v>
      </c>
      <c r="N976">
        <v>0</v>
      </c>
      <c r="O976" t="s">
        <v>26</v>
      </c>
      <c r="P976" t="s">
        <v>26</v>
      </c>
      <c r="Q976" t="s">
        <v>26</v>
      </c>
      <c r="R976" t="s">
        <v>26</v>
      </c>
      <c r="S976" t="s">
        <v>26</v>
      </c>
      <c r="T976" t="s">
        <v>26</v>
      </c>
      <c r="U976" t="s">
        <v>26</v>
      </c>
      <c r="V976">
        <v>0</v>
      </c>
      <c r="W976">
        <f>E976/100</f>
        <v>0.39</v>
      </c>
      <c r="X976">
        <f>F976/1000000</f>
        <v>4.5</v>
      </c>
      <c r="Y976">
        <f>IF(D976="C",1,0)</f>
        <v>0</v>
      </c>
      <c r="Z976">
        <f>IF(G976="C",1,0)</f>
        <v>0</v>
      </c>
      <c r="AA976">
        <f>IF(G976="S",1,0)</f>
        <v>0</v>
      </c>
      <c r="AB976">
        <f>IF(G976="U",1,0)</f>
        <v>0</v>
      </c>
      <c r="AC976" s="5">
        <f>IF(AND(ISNUMBER(H976),NOT(ISNUMBER(P976))),1,0)</f>
        <v>1</v>
      </c>
      <c r="AD976" s="5">
        <f>IF(AND(ISNUMBER(H976),ISNUMBER(P976)),1,0)</f>
        <v>0</v>
      </c>
      <c r="AE976" s="5">
        <f>W976</f>
        <v>0.39</v>
      </c>
      <c r="AF976" s="5">
        <f>X976</f>
        <v>4.5</v>
      </c>
      <c r="AG976" s="5">
        <f>Y976</f>
        <v>0</v>
      </c>
      <c r="AH976" s="5">
        <f>IF(OR(G976="C",G976="S",G976="U"),1,0)</f>
        <v>0</v>
      </c>
      <c r="AI976" s="5">
        <f>IF(ISNUMBER(H976),1,0)</f>
        <v>1</v>
      </c>
      <c r="AJ976" s="5">
        <f>IF(ISNUMBER(P976),1,0)</f>
        <v>0</v>
      </c>
      <c r="AK976" s="5">
        <f>IF(AI976=1,IF(J976&gt;0,1,0),"")</f>
        <v>0</v>
      </c>
      <c r="AL976" s="5" t="str">
        <f>IF(AJ976=1,IF(OR(Q976&gt;0,R976&gt;0),1,0),"")</f>
        <v/>
      </c>
    </row>
    <row r="977" spans="1:38">
      <c r="A977">
        <v>2887744</v>
      </c>
      <c r="B977" t="s">
        <v>1045</v>
      </c>
      <c r="C977" t="s">
        <v>135</v>
      </c>
      <c r="D977" t="s">
        <v>24</v>
      </c>
      <c r="E977">
        <v>18</v>
      </c>
      <c r="F977">
        <v>2499650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  <c r="S977" t="s">
        <v>26</v>
      </c>
      <c r="T977" t="s">
        <v>26</v>
      </c>
      <c r="U977" t="s">
        <v>26</v>
      </c>
      <c r="V977">
        <v>0</v>
      </c>
      <c r="W977">
        <f>E977/100</f>
        <v>0.18</v>
      </c>
      <c r="X977">
        <f>F977/1000000</f>
        <v>2.4996499999999999</v>
      </c>
      <c r="Y977">
        <f>IF(D977="C",1,0)</f>
        <v>0</v>
      </c>
      <c r="Z977">
        <f>IF(G977="C",1,0)</f>
        <v>0</v>
      </c>
      <c r="AA977">
        <f>IF(G977="S",1,0)</f>
        <v>0</v>
      </c>
      <c r="AB977">
        <f>IF(G977="U",1,0)</f>
        <v>0</v>
      </c>
      <c r="AC977" s="5">
        <f>IF(AND(ISNUMBER(H977),NOT(ISNUMBER(P977))),1,0)</f>
        <v>1</v>
      </c>
      <c r="AD977" s="5">
        <f>IF(AND(ISNUMBER(H977),ISNUMBER(P977)),1,0)</f>
        <v>0</v>
      </c>
      <c r="AE977" s="5">
        <f>W977</f>
        <v>0.18</v>
      </c>
      <c r="AF977" s="5">
        <f>X977</f>
        <v>2.4996499999999999</v>
      </c>
      <c r="AG977" s="5">
        <f>Y977</f>
        <v>0</v>
      </c>
      <c r="AH977" s="5">
        <f>IF(OR(G977="C",G977="S",G977="U"),1,0)</f>
        <v>0</v>
      </c>
      <c r="AI977" s="5">
        <f>IF(ISNUMBER(H977),1,0)</f>
        <v>1</v>
      </c>
      <c r="AJ977" s="5">
        <f>IF(ISNUMBER(P977),1,0)</f>
        <v>0</v>
      </c>
      <c r="AK977" s="5">
        <f>IF(AI977=1,IF(J977&gt;0,1,0),"")</f>
        <v>0</v>
      </c>
      <c r="AL977" s="5" t="str">
        <f>IF(AJ977=1,IF(OR(Q977&gt;0,R977&gt;0),1,0),"")</f>
        <v/>
      </c>
    </row>
    <row r="978" spans="1:38">
      <c r="A978">
        <v>2889574</v>
      </c>
      <c r="B978" t="s">
        <v>1046</v>
      </c>
      <c r="C978" t="s">
        <v>162</v>
      </c>
      <c r="D978" t="s">
        <v>24</v>
      </c>
      <c r="E978">
        <v>170</v>
      </c>
      <c r="F978">
        <v>9654070</v>
      </c>
      <c r="H978">
        <v>1</v>
      </c>
      <c r="I978">
        <v>3</v>
      </c>
      <c r="J978">
        <v>0</v>
      </c>
      <c r="K978">
        <v>0</v>
      </c>
      <c r="L978">
        <v>0</v>
      </c>
      <c r="M978">
        <v>0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  <c r="S978" t="s">
        <v>26</v>
      </c>
      <c r="T978" t="s">
        <v>26</v>
      </c>
      <c r="U978" t="s">
        <v>26</v>
      </c>
      <c r="V978">
        <v>0</v>
      </c>
      <c r="W978">
        <f>E978/100</f>
        <v>1.7</v>
      </c>
      <c r="X978">
        <f>F978/1000000</f>
        <v>9.6540700000000008</v>
      </c>
      <c r="Y978">
        <f>IF(D978="C",1,0)</f>
        <v>0</v>
      </c>
      <c r="Z978">
        <f>IF(G978="C",1,0)</f>
        <v>0</v>
      </c>
      <c r="AA978">
        <f>IF(G978="S",1,0)</f>
        <v>0</v>
      </c>
      <c r="AB978">
        <f>IF(G978="U",1,0)</f>
        <v>0</v>
      </c>
      <c r="AC978" s="5">
        <f>IF(AND(ISNUMBER(H978),NOT(ISNUMBER(P978))),1,0)</f>
        <v>1</v>
      </c>
      <c r="AD978" s="5">
        <f>IF(AND(ISNUMBER(H978),ISNUMBER(P978)),1,0)</f>
        <v>0</v>
      </c>
      <c r="AE978" s="5">
        <f>W978</f>
        <v>1.7</v>
      </c>
      <c r="AF978" s="5">
        <f>X978</f>
        <v>9.6540700000000008</v>
      </c>
      <c r="AG978" s="5">
        <f>Y978</f>
        <v>0</v>
      </c>
      <c r="AH978" s="5">
        <f>IF(OR(G978="C",G978="S",G978="U"),1,0)</f>
        <v>0</v>
      </c>
      <c r="AI978" s="5">
        <f>IF(ISNUMBER(H978),1,0)</f>
        <v>1</v>
      </c>
      <c r="AJ978" s="5">
        <f>IF(ISNUMBER(P978),1,0)</f>
        <v>0</v>
      </c>
      <c r="AK978" s="5">
        <f>IF(AI978=1,IF(J978&gt;0,1,0),"")</f>
        <v>0</v>
      </c>
      <c r="AL978" s="5" t="str">
        <f>IF(AJ978=1,IF(OR(Q978&gt;0,R978&gt;0),1,0),"")</f>
        <v/>
      </c>
    </row>
    <row r="979" spans="1:38">
      <c r="A979">
        <v>2898104</v>
      </c>
      <c r="B979" t="s">
        <v>1047</v>
      </c>
      <c r="C979" t="s">
        <v>338</v>
      </c>
      <c r="D979" t="s">
        <v>24</v>
      </c>
      <c r="E979">
        <v>3</v>
      </c>
      <c r="F979">
        <v>107531</v>
      </c>
      <c r="H979">
        <v>1</v>
      </c>
      <c r="I979">
        <v>12</v>
      </c>
      <c r="J979">
        <v>5</v>
      </c>
      <c r="K979">
        <v>1</v>
      </c>
      <c r="L979">
        <v>0.41670000000000001</v>
      </c>
      <c r="M979">
        <v>0.33329999999999999</v>
      </c>
      <c r="N979">
        <v>0.44440000000000002</v>
      </c>
      <c r="O979" t="s">
        <v>26</v>
      </c>
      <c r="P979" t="s">
        <v>26</v>
      </c>
      <c r="Q979" t="s">
        <v>26</v>
      </c>
      <c r="R979" t="s">
        <v>26</v>
      </c>
      <c r="S979" t="s">
        <v>26</v>
      </c>
      <c r="T979" t="s">
        <v>26</v>
      </c>
      <c r="U979" t="s">
        <v>26</v>
      </c>
      <c r="V979">
        <v>1</v>
      </c>
      <c r="W979">
        <f>E979/100</f>
        <v>0.03</v>
      </c>
      <c r="X979">
        <f>F979/1000000</f>
        <v>0.107531</v>
      </c>
      <c r="Y979">
        <f>IF(D979="C",1,0)</f>
        <v>0</v>
      </c>
      <c r="Z979">
        <f>IF(G979="C",1,0)</f>
        <v>0</v>
      </c>
      <c r="AA979">
        <f>IF(G979="S",1,0)</f>
        <v>0</v>
      </c>
      <c r="AB979">
        <f>IF(G979="U",1,0)</f>
        <v>0</v>
      </c>
      <c r="AC979" s="5">
        <f>IF(AND(ISNUMBER(H979),NOT(ISNUMBER(P979))),1,0)</f>
        <v>1</v>
      </c>
      <c r="AD979" s="5">
        <f>IF(AND(ISNUMBER(H979),ISNUMBER(P979)),1,0)</f>
        <v>0</v>
      </c>
      <c r="AE979" s="5">
        <f>W979</f>
        <v>0.03</v>
      </c>
      <c r="AF979" s="5">
        <f>X979</f>
        <v>0.107531</v>
      </c>
      <c r="AG979" s="5">
        <f>Y979</f>
        <v>0</v>
      </c>
      <c r="AH979" s="5">
        <f>IF(OR(G979="C",G979="S",G979="U"),1,0)</f>
        <v>0</v>
      </c>
      <c r="AI979" s="5">
        <f>IF(ISNUMBER(H979),1,0)</f>
        <v>1</v>
      </c>
      <c r="AJ979" s="5">
        <f>IF(ISNUMBER(P979),1,0)</f>
        <v>0</v>
      </c>
      <c r="AK979" s="5">
        <f>IF(AI979=1,IF(J979&gt;0,1,0),"")</f>
        <v>1</v>
      </c>
      <c r="AL979" s="5" t="str">
        <f>IF(AJ979=1,IF(OR(Q979&gt;0,R979&gt;0),1,0),"")</f>
        <v/>
      </c>
    </row>
    <row r="980" spans="1:38">
      <c r="A980">
        <v>2907326</v>
      </c>
      <c r="B980" t="s">
        <v>1048</v>
      </c>
      <c r="C980" t="s">
        <v>77</v>
      </c>
      <c r="D980" t="s">
        <v>24</v>
      </c>
      <c r="E980">
        <v>11</v>
      </c>
      <c r="F980">
        <v>100000</v>
      </c>
      <c r="H980">
        <v>1</v>
      </c>
      <c r="I980">
        <v>11</v>
      </c>
      <c r="J980">
        <v>2</v>
      </c>
      <c r="K980">
        <v>1</v>
      </c>
      <c r="L980">
        <v>0.18179999999999999</v>
      </c>
      <c r="M980">
        <v>0.25</v>
      </c>
      <c r="N980">
        <v>0.1429</v>
      </c>
      <c r="O980" t="s">
        <v>26</v>
      </c>
      <c r="P980" t="s">
        <v>26</v>
      </c>
      <c r="Q980" t="s">
        <v>26</v>
      </c>
      <c r="R980" t="s">
        <v>26</v>
      </c>
      <c r="S980" t="s">
        <v>26</v>
      </c>
      <c r="T980" t="s">
        <v>26</v>
      </c>
      <c r="U980" t="s">
        <v>26</v>
      </c>
      <c r="V980">
        <v>1</v>
      </c>
      <c r="W980">
        <f>E980/100</f>
        <v>0.11</v>
      </c>
      <c r="X980">
        <f>F980/1000000</f>
        <v>0.1</v>
      </c>
      <c r="Y980">
        <f>IF(D980="C",1,0)</f>
        <v>0</v>
      </c>
      <c r="Z980">
        <f>IF(G980="C",1,0)</f>
        <v>0</v>
      </c>
      <c r="AA980">
        <f>IF(G980="S",1,0)</f>
        <v>0</v>
      </c>
      <c r="AB980">
        <f>IF(G980="U",1,0)</f>
        <v>0</v>
      </c>
      <c r="AC980" s="5">
        <f>IF(AND(ISNUMBER(H980),NOT(ISNUMBER(P980))),1,0)</f>
        <v>1</v>
      </c>
      <c r="AD980" s="5">
        <f>IF(AND(ISNUMBER(H980),ISNUMBER(P980)),1,0)</f>
        <v>0</v>
      </c>
      <c r="AE980" s="5">
        <f>W980</f>
        <v>0.11</v>
      </c>
      <c r="AF980" s="5">
        <f>X980</f>
        <v>0.1</v>
      </c>
      <c r="AG980" s="5">
        <f>Y980</f>
        <v>0</v>
      </c>
      <c r="AH980" s="5">
        <f>IF(OR(G980="C",G980="S",G980="U"),1,0)</f>
        <v>0</v>
      </c>
      <c r="AI980" s="5">
        <f>IF(ISNUMBER(H980),1,0)</f>
        <v>1</v>
      </c>
      <c r="AJ980" s="5">
        <f>IF(ISNUMBER(P980),1,0)</f>
        <v>0</v>
      </c>
      <c r="AK980" s="5">
        <f>IF(AI980=1,IF(J980&gt;0,1,0),"")</f>
        <v>1</v>
      </c>
      <c r="AL980" s="5" t="str">
        <f>IF(AJ980=1,IF(OR(Q980&gt;0,R980&gt;0),1,0),"")</f>
        <v/>
      </c>
    </row>
    <row r="981" spans="1:38">
      <c r="A981">
        <v>2914502</v>
      </c>
      <c r="B981" t="s">
        <v>1049</v>
      </c>
      <c r="C981" t="s">
        <v>37</v>
      </c>
      <c r="D981" t="s">
        <v>24</v>
      </c>
      <c r="E981">
        <v>6</v>
      </c>
      <c r="F981">
        <v>55000</v>
      </c>
      <c r="H981">
        <v>1</v>
      </c>
      <c r="I981">
        <v>5</v>
      </c>
      <c r="J981">
        <v>3</v>
      </c>
      <c r="K981">
        <v>1</v>
      </c>
      <c r="L981">
        <v>0.6</v>
      </c>
      <c r="M981" t="s">
        <v>26</v>
      </c>
      <c r="N981">
        <v>0.6</v>
      </c>
      <c r="O981" t="s">
        <v>26</v>
      </c>
      <c r="P981" t="s">
        <v>26</v>
      </c>
      <c r="Q981" t="s">
        <v>26</v>
      </c>
      <c r="R981" t="s">
        <v>26</v>
      </c>
      <c r="S981" t="s">
        <v>26</v>
      </c>
      <c r="T981" t="s">
        <v>26</v>
      </c>
      <c r="U981" t="s">
        <v>26</v>
      </c>
      <c r="V981">
        <v>1</v>
      </c>
      <c r="W981">
        <f>E981/100</f>
        <v>0.06</v>
      </c>
      <c r="X981">
        <f>F981/1000000</f>
        <v>5.5E-2</v>
      </c>
      <c r="Y981">
        <f>IF(D981="C",1,0)</f>
        <v>0</v>
      </c>
      <c r="Z981">
        <f>IF(G981="C",1,0)</f>
        <v>0</v>
      </c>
      <c r="AA981">
        <f>IF(G981="S",1,0)</f>
        <v>0</v>
      </c>
      <c r="AB981">
        <f>IF(G981="U",1,0)</f>
        <v>0</v>
      </c>
      <c r="AC981" s="5">
        <f>IF(AND(ISNUMBER(H981),NOT(ISNUMBER(P981))),1,0)</f>
        <v>1</v>
      </c>
      <c r="AD981" s="5">
        <f>IF(AND(ISNUMBER(H981),ISNUMBER(P981)),1,0)</f>
        <v>0</v>
      </c>
      <c r="AE981" s="5">
        <f>W981</f>
        <v>0.06</v>
      </c>
      <c r="AF981" s="5">
        <f>X981</f>
        <v>5.5E-2</v>
      </c>
      <c r="AG981" s="5">
        <f>Y981</f>
        <v>0</v>
      </c>
      <c r="AH981" s="5">
        <f>IF(OR(G981="C",G981="S",G981="U"),1,0)</f>
        <v>0</v>
      </c>
      <c r="AI981" s="5">
        <f>IF(ISNUMBER(H981),1,0)</f>
        <v>1</v>
      </c>
      <c r="AJ981" s="5">
        <f>IF(ISNUMBER(P981),1,0)</f>
        <v>0</v>
      </c>
      <c r="AK981" s="5">
        <f>IF(AI981=1,IF(J981&gt;0,1,0),"")</f>
        <v>1</v>
      </c>
      <c r="AL981" s="5" t="str">
        <f>IF(AJ981=1,IF(OR(Q981&gt;0,R981&gt;0),1,0),"")</f>
        <v/>
      </c>
    </row>
    <row r="982" spans="1:38">
      <c r="A982">
        <v>2933591</v>
      </c>
      <c r="B982" t="s">
        <v>1050</v>
      </c>
      <c r="C982" t="s">
        <v>23</v>
      </c>
      <c r="D982" t="s">
        <v>33</v>
      </c>
      <c r="E982">
        <v>56</v>
      </c>
      <c r="F982">
        <v>290000</v>
      </c>
      <c r="H982">
        <v>5</v>
      </c>
      <c r="I982">
        <v>0</v>
      </c>
      <c r="J982">
        <v>0</v>
      </c>
      <c r="K982">
        <v>0</v>
      </c>
      <c r="L982" t="s">
        <v>26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  <c r="S982" t="s">
        <v>26</v>
      </c>
      <c r="T982" t="s">
        <v>26</v>
      </c>
      <c r="U982" t="s">
        <v>26</v>
      </c>
      <c r="V982">
        <v>0</v>
      </c>
      <c r="W982">
        <f>E982/100</f>
        <v>0.56000000000000005</v>
      </c>
      <c r="X982">
        <f>F982/1000000</f>
        <v>0.28999999999999998</v>
      </c>
      <c r="Y982">
        <f>IF(D982="C",1,0)</f>
        <v>1</v>
      </c>
      <c r="Z982">
        <f>IF(G982="C",1,0)</f>
        <v>0</v>
      </c>
      <c r="AA982">
        <f>IF(G982="S",1,0)</f>
        <v>0</v>
      </c>
      <c r="AB982">
        <f>IF(G982="U",1,0)</f>
        <v>0</v>
      </c>
      <c r="AC982" s="5">
        <f>IF(AND(ISNUMBER(H982),NOT(ISNUMBER(P982))),1,0)</f>
        <v>1</v>
      </c>
      <c r="AD982" s="5">
        <f>IF(AND(ISNUMBER(H982),ISNUMBER(P982)),1,0)</f>
        <v>0</v>
      </c>
      <c r="AE982" s="5">
        <f>W982</f>
        <v>0.56000000000000005</v>
      </c>
      <c r="AF982" s="5">
        <f>X982</f>
        <v>0.28999999999999998</v>
      </c>
      <c r="AG982" s="5">
        <f>Y982</f>
        <v>1</v>
      </c>
      <c r="AH982" s="5">
        <f>IF(OR(G982="C",G982="S",G982="U"),1,0)</f>
        <v>0</v>
      </c>
      <c r="AI982" s="5">
        <f>IF(ISNUMBER(H982),1,0)</f>
        <v>1</v>
      </c>
      <c r="AJ982" s="5">
        <f>IF(ISNUMBER(P982),1,0)</f>
        <v>0</v>
      </c>
      <c r="AK982" s="5">
        <f>IF(AI982=1,IF(J982&gt;0,1,0),"")</f>
        <v>0</v>
      </c>
      <c r="AL982" s="5" t="str">
        <f>IF(AJ982=1,IF(OR(Q982&gt;0,R982&gt;0),1,0),"")</f>
        <v/>
      </c>
    </row>
    <row r="983" spans="1:38">
      <c r="A983">
        <v>2936593</v>
      </c>
      <c r="B983" t="s">
        <v>1051</v>
      </c>
      <c r="C983" t="s">
        <v>82</v>
      </c>
      <c r="D983" t="s">
        <v>24</v>
      </c>
      <c r="E983">
        <v>2</v>
      </c>
      <c r="F983">
        <v>21542</v>
      </c>
      <c r="H983">
        <v>1</v>
      </c>
      <c r="I983">
        <v>8</v>
      </c>
      <c r="J983">
        <v>3</v>
      </c>
      <c r="K983">
        <v>1</v>
      </c>
      <c r="L983">
        <v>0.375</v>
      </c>
      <c r="M983" t="s">
        <v>26</v>
      </c>
      <c r="N983">
        <v>0.375</v>
      </c>
      <c r="O983" t="s">
        <v>26</v>
      </c>
      <c r="P983" t="s">
        <v>26</v>
      </c>
      <c r="Q983" t="s">
        <v>26</v>
      </c>
      <c r="R983" t="s">
        <v>26</v>
      </c>
      <c r="S983" t="s">
        <v>26</v>
      </c>
      <c r="T983" t="s">
        <v>26</v>
      </c>
      <c r="U983" t="s">
        <v>26</v>
      </c>
      <c r="V983">
        <v>1</v>
      </c>
      <c r="W983">
        <f>E983/100</f>
        <v>0.02</v>
      </c>
      <c r="X983">
        <f>F983/1000000</f>
        <v>2.1541999999999999E-2</v>
      </c>
      <c r="Y983">
        <f>IF(D983="C",1,0)</f>
        <v>0</v>
      </c>
      <c r="Z983">
        <f>IF(G983="C",1,0)</f>
        <v>0</v>
      </c>
      <c r="AA983">
        <f>IF(G983="S",1,0)</f>
        <v>0</v>
      </c>
      <c r="AB983">
        <f>IF(G983="U",1,0)</f>
        <v>0</v>
      </c>
      <c r="AC983" s="5">
        <f>IF(AND(ISNUMBER(H983),NOT(ISNUMBER(P983))),1,0)</f>
        <v>1</v>
      </c>
      <c r="AD983" s="5">
        <f>IF(AND(ISNUMBER(H983),ISNUMBER(P983)),1,0)</f>
        <v>0</v>
      </c>
      <c r="AE983" s="5">
        <f>W983</f>
        <v>0.02</v>
      </c>
      <c r="AF983" s="5">
        <f>X983</f>
        <v>2.1541999999999999E-2</v>
      </c>
      <c r="AG983" s="5">
        <f>Y983</f>
        <v>0</v>
      </c>
      <c r="AH983" s="5">
        <f>IF(OR(G983="C",G983="S",G983="U"),1,0)</f>
        <v>0</v>
      </c>
      <c r="AI983" s="5">
        <f>IF(ISNUMBER(H983),1,0)</f>
        <v>1</v>
      </c>
      <c r="AJ983" s="5">
        <f>IF(ISNUMBER(P983),1,0)</f>
        <v>0</v>
      </c>
      <c r="AK983" s="5">
        <f>IF(AI983=1,IF(J983&gt;0,1,0),"")</f>
        <v>1</v>
      </c>
      <c r="AL983" s="5" t="str">
        <f>IF(AJ983=1,IF(OR(Q983&gt;0,R983&gt;0),1,0),"")</f>
        <v/>
      </c>
    </row>
    <row r="984" spans="1:38">
      <c r="A984">
        <v>2938997</v>
      </c>
      <c r="B984" t="s">
        <v>1052</v>
      </c>
      <c r="C984" t="s">
        <v>190</v>
      </c>
      <c r="D984" t="s">
        <v>24</v>
      </c>
      <c r="E984">
        <v>18</v>
      </c>
      <c r="F984">
        <v>2163434</v>
      </c>
      <c r="H984">
        <v>1</v>
      </c>
      <c r="I984">
        <v>1</v>
      </c>
      <c r="J984">
        <v>0</v>
      </c>
      <c r="K984">
        <v>0</v>
      </c>
      <c r="L984">
        <v>0</v>
      </c>
      <c r="M984" t="s">
        <v>26</v>
      </c>
      <c r="N984">
        <v>0</v>
      </c>
      <c r="O984" t="s">
        <v>26</v>
      </c>
      <c r="P984" t="s">
        <v>26</v>
      </c>
      <c r="Q984" t="s">
        <v>26</v>
      </c>
      <c r="R984" t="s">
        <v>26</v>
      </c>
      <c r="S984" t="s">
        <v>26</v>
      </c>
      <c r="T984" t="s">
        <v>26</v>
      </c>
      <c r="U984" t="s">
        <v>26</v>
      </c>
      <c r="V984">
        <v>0</v>
      </c>
      <c r="W984">
        <f>E984/100</f>
        <v>0.18</v>
      </c>
      <c r="X984">
        <f>F984/1000000</f>
        <v>2.1634340000000001</v>
      </c>
      <c r="Y984">
        <f>IF(D984="C",1,0)</f>
        <v>0</v>
      </c>
      <c r="Z984">
        <f>IF(G984="C",1,0)</f>
        <v>0</v>
      </c>
      <c r="AA984">
        <f>IF(G984="S",1,0)</f>
        <v>0</v>
      </c>
      <c r="AB984">
        <f>IF(G984="U",1,0)</f>
        <v>0</v>
      </c>
      <c r="AC984" s="5">
        <f>IF(AND(ISNUMBER(H984),NOT(ISNUMBER(P984))),1,0)</f>
        <v>1</v>
      </c>
      <c r="AD984" s="5">
        <f>IF(AND(ISNUMBER(H984),ISNUMBER(P984)),1,0)</f>
        <v>0</v>
      </c>
      <c r="AE984" s="5">
        <f>W984</f>
        <v>0.18</v>
      </c>
      <c r="AF984" s="5">
        <f>X984</f>
        <v>2.1634340000000001</v>
      </c>
      <c r="AG984" s="5">
        <f>Y984</f>
        <v>0</v>
      </c>
      <c r="AH984" s="5">
        <f>IF(OR(G984="C",G984="S",G984="U"),1,0)</f>
        <v>0</v>
      </c>
      <c r="AI984" s="5">
        <f>IF(ISNUMBER(H984),1,0)</f>
        <v>1</v>
      </c>
      <c r="AJ984" s="5">
        <f>IF(ISNUMBER(P984),1,0)</f>
        <v>0</v>
      </c>
      <c r="AK984" s="5">
        <f>IF(AI984=1,IF(J984&gt;0,1,0),"")</f>
        <v>0</v>
      </c>
      <c r="AL984" s="5" t="str">
        <f>IF(AJ984=1,IF(OR(Q984&gt;0,R984&gt;0),1,0),"")</f>
        <v/>
      </c>
    </row>
    <row r="985" spans="1:38">
      <c r="A985">
        <v>2963115</v>
      </c>
      <c r="B985" t="s">
        <v>1053</v>
      </c>
      <c r="C985" t="s">
        <v>23</v>
      </c>
      <c r="D985" t="s">
        <v>33</v>
      </c>
      <c r="E985">
        <v>6</v>
      </c>
      <c r="F985">
        <v>30000</v>
      </c>
      <c r="H985">
        <v>1</v>
      </c>
      <c r="I985">
        <v>2</v>
      </c>
      <c r="J985">
        <v>0</v>
      </c>
      <c r="K985">
        <v>0</v>
      </c>
      <c r="L985">
        <v>0</v>
      </c>
      <c r="M985">
        <v>0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  <c r="S985" t="s">
        <v>26</v>
      </c>
      <c r="T985" t="s">
        <v>26</v>
      </c>
      <c r="U985" t="s">
        <v>26</v>
      </c>
      <c r="V985">
        <v>0</v>
      </c>
      <c r="W985">
        <f>E985/100</f>
        <v>0.06</v>
      </c>
      <c r="X985">
        <f>F985/1000000</f>
        <v>0.03</v>
      </c>
      <c r="Y985">
        <f>IF(D985="C",1,0)</f>
        <v>1</v>
      </c>
      <c r="Z985">
        <f>IF(G985="C",1,0)</f>
        <v>0</v>
      </c>
      <c r="AA985">
        <f>IF(G985="S",1,0)</f>
        <v>0</v>
      </c>
      <c r="AB985">
        <f>IF(G985="U",1,0)</f>
        <v>0</v>
      </c>
      <c r="AC985" s="5">
        <f>IF(AND(ISNUMBER(H985),NOT(ISNUMBER(P985))),1,0)</f>
        <v>1</v>
      </c>
      <c r="AD985" s="5">
        <f>IF(AND(ISNUMBER(H985),ISNUMBER(P985)),1,0)</f>
        <v>0</v>
      </c>
      <c r="AE985" s="5">
        <f>W985</f>
        <v>0.06</v>
      </c>
      <c r="AF985" s="5">
        <f>X985</f>
        <v>0.03</v>
      </c>
      <c r="AG985" s="5">
        <f>Y985</f>
        <v>1</v>
      </c>
      <c r="AH985" s="5">
        <f>IF(OR(G985="C",G985="S",G985="U"),1,0)</f>
        <v>0</v>
      </c>
      <c r="AI985" s="5">
        <f>IF(ISNUMBER(H985),1,0)</f>
        <v>1</v>
      </c>
      <c r="AJ985" s="5">
        <f>IF(ISNUMBER(P985),1,0)</f>
        <v>0</v>
      </c>
      <c r="AK985" s="5">
        <f>IF(AI985=1,IF(J985&gt;0,1,0),"")</f>
        <v>0</v>
      </c>
      <c r="AL985" s="5" t="str">
        <f>IF(AJ985=1,IF(OR(Q985&gt;0,R985&gt;0),1,0),"")</f>
        <v/>
      </c>
    </row>
    <row r="986" spans="1:38">
      <c r="A986">
        <v>2985907</v>
      </c>
      <c r="B986" t="s">
        <v>1054</v>
      </c>
      <c r="C986" t="s">
        <v>456</v>
      </c>
      <c r="D986" t="s">
        <v>24</v>
      </c>
      <c r="E986">
        <v>9</v>
      </c>
      <c r="F986">
        <v>481000</v>
      </c>
      <c r="H986">
        <v>1</v>
      </c>
      <c r="I986">
        <v>7</v>
      </c>
      <c r="J986">
        <v>0</v>
      </c>
      <c r="K986">
        <v>0</v>
      </c>
      <c r="L986">
        <v>0</v>
      </c>
      <c r="M986">
        <v>0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  <c r="S986" t="s">
        <v>26</v>
      </c>
      <c r="T986" t="s">
        <v>26</v>
      </c>
      <c r="U986" t="s">
        <v>26</v>
      </c>
      <c r="V986">
        <v>0</v>
      </c>
      <c r="W986">
        <f>E986/100</f>
        <v>0.09</v>
      </c>
      <c r="X986">
        <f>F986/1000000</f>
        <v>0.48099999999999998</v>
      </c>
      <c r="Y986">
        <f>IF(D986="C",1,0)</f>
        <v>0</v>
      </c>
      <c r="Z986">
        <f>IF(G986="C",1,0)</f>
        <v>0</v>
      </c>
      <c r="AA986">
        <f>IF(G986="S",1,0)</f>
        <v>0</v>
      </c>
      <c r="AB986">
        <f>IF(G986="U",1,0)</f>
        <v>0</v>
      </c>
      <c r="AC986" s="5">
        <f>IF(AND(ISNUMBER(H986),NOT(ISNUMBER(P986))),1,0)</f>
        <v>1</v>
      </c>
      <c r="AD986" s="5">
        <f>IF(AND(ISNUMBER(H986),ISNUMBER(P986)),1,0)</f>
        <v>0</v>
      </c>
      <c r="AE986" s="5">
        <f>W986</f>
        <v>0.09</v>
      </c>
      <c r="AF986" s="5">
        <f>X986</f>
        <v>0.48099999999999998</v>
      </c>
      <c r="AG986" s="5">
        <f>Y986</f>
        <v>0</v>
      </c>
      <c r="AH986" s="5">
        <f>IF(OR(G986="C",G986="S",G986="U"),1,0)</f>
        <v>0</v>
      </c>
      <c r="AI986" s="5">
        <f>IF(ISNUMBER(H986),1,0)</f>
        <v>1</v>
      </c>
      <c r="AJ986" s="5">
        <f>IF(ISNUMBER(P986),1,0)</f>
        <v>0</v>
      </c>
      <c r="AK986" s="5">
        <f>IF(AI986=1,IF(J986&gt;0,1,0),"")</f>
        <v>0</v>
      </c>
      <c r="AL986" s="5" t="str">
        <f>IF(AJ986=1,IF(OR(Q986&gt;0,R986&gt;0),1,0),"")</f>
        <v/>
      </c>
    </row>
    <row r="987" spans="1:38">
      <c r="A987">
        <v>3001661</v>
      </c>
      <c r="B987" t="s">
        <v>1055</v>
      </c>
      <c r="C987" t="s">
        <v>1056</v>
      </c>
      <c r="D987" t="s">
        <v>24</v>
      </c>
      <c r="E987">
        <v>44</v>
      </c>
      <c r="F987">
        <v>7820353</v>
      </c>
      <c r="G987" t="s">
        <v>25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  <c r="S987" t="s">
        <v>26</v>
      </c>
      <c r="T987" t="s">
        <v>26</v>
      </c>
      <c r="U987" t="s">
        <v>26</v>
      </c>
      <c r="V987">
        <v>0</v>
      </c>
      <c r="W987">
        <f>E987/100</f>
        <v>0.44</v>
      </c>
      <c r="X987">
        <f>F987/1000000</f>
        <v>7.8203529999999999</v>
      </c>
      <c r="Y987">
        <f>IF(D987="C",1,0)</f>
        <v>0</v>
      </c>
      <c r="Z987">
        <f>IF(G987="C",1,0)</f>
        <v>0</v>
      </c>
      <c r="AA987">
        <f>IF(G987="S",1,0)</f>
        <v>1</v>
      </c>
      <c r="AB987">
        <f>IF(G987="U",1,0)</f>
        <v>0</v>
      </c>
      <c r="AC987" s="5">
        <f>IF(AND(ISNUMBER(H987),NOT(ISNUMBER(P987))),1,0)</f>
        <v>1</v>
      </c>
      <c r="AD987" s="5">
        <f>IF(AND(ISNUMBER(H987),ISNUMBER(P987)),1,0)</f>
        <v>0</v>
      </c>
      <c r="AE987" s="5">
        <f>W987</f>
        <v>0.44</v>
      </c>
      <c r="AF987" s="5">
        <f>X987</f>
        <v>7.8203529999999999</v>
      </c>
      <c r="AG987" s="5">
        <f>Y987</f>
        <v>0</v>
      </c>
      <c r="AH987" s="5">
        <f>IF(OR(G987="C",G987="S",G987="U"),1,0)</f>
        <v>1</v>
      </c>
      <c r="AI987" s="5">
        <f>IF(ISNUMBER(H987),1,0)</f>
        <v>1</v>
      </c>
      <c r="AJ987" s="5">
        <f>IF(ISNUMBER(P987),1,0)</f>
        <v>0</v>
      </c>
      <c r="AK987" s="5">
        <f>IF(AI987=1,IF(J987&gt;0,1,0),"")</f>
        <v>0</v>
      </c>
      <c r="AL987" s="5" t="str">
        <f>IF(AJ987=1,IF(OR(Q987&gt;0,R987&gt;0),1,0),"")</f>
        <v/>
      </c>
    </row>
    <row r="988" spans="1:38">
      <c r="A988">
        <v>3031167</v>
      </c>
      <c r="B988" t="s">
        <v>1057</v>
      </c>
      <c r="C988" t="s">
        <v>23</v>
      </c>
      <c r="D988" t="s">
        <v>33</v>
      </c>
      <c r="E988">
        <v>1</v>
      </c>
      <c r="F988">
        <v>58576</v>
      </c>
      <c r="H988">
        <v>1</v>
      </c>
      <c r="I988">
        <v>2</v>
      </c>
      <c r="J988">
        <v>1</v>
      </c>
      <c r="K988">
        <v>1</v>
      </c>
      <c r="L988">
        <v>0.5</v>
      </c>
      <c r="M988" t="s">
        <v>26</v>
      </c>
      <c r="N988">
        <v>0.5</v>
      </c>
      <c r="O988" t="s">
        <v>26</v>
      </c>
      <c r="P988" t="s">
        <v>26</v>
      </c>
      <c r="Q988" t="s">
        <v>26</v>
      </c>
      <c r="R988" t="s">
        <v>26</v>
      </c>
      <c r="S988" t="s">
        <v>26</v>
      </c>
      <c r="T988" t="s">
        <v>26</v>
      </c>
      <c r="U988" t="s">
        <v>26</v>
      </c>
      <c r="V988">
        <v>1</v>
      </c>
      <c r="W988">
        <f>E988/100</f>
        <v>0.01</v>
      </c>
      <c r="X988">
        <f>F988/1000000</f>
        <v>5.8576000000000003E-2</v>
      </c>
      <c r="Y988">
        <f>IF(D988="C",1,0)</f>
        <v>1</v>
      </c>
      <c r="Z988">
        <f>IF(G988="C",1,0)</f>
        <v>0</v>
      </c>
      <c r="AA988">
        <f>IF(G988="S",1,0)</f>
        <v>0</v>
      </c>
      <c r="AB988">
        <f>IF(G988="U",1,0)</f>
        <v>0</v>
      </c>
      <c r="AC988" s="5">
        <f>IF(AND(ISNUMBER(H988),NOT(ISNUMBER(P988))),1,0)</f>
        <v>1</v>
      </c>
      <c r="AD988" s="5">
        <f>IF(AND(ISNUMBER(H988),ISNUMBER(P988)),1,0)</f>
        <v>0</v>
      </c>
      <c r="AE988" s="5">
        <f>W988</f>
        <v>0.01</v>
      </c>
      <c r="AF988" s="5">
        <f>X988</f>
        <v>5.8576000000000003E-2</v>
      </c>
      <c r="AG988" s="5">
        <f>Y988</f>
        <v>1</v>
      </c>
      <c r="AH988" s="5">
        <f>IF(OR(G988="C",G988="S",G988="U"),1,0)</f>
        <v>0</v>
      </c>
      <c r="AI988" s="5">
        <f>IF(ISNUMBER(H988),1,0)</f>
        <v>1</v>
      </c>
      <c r="AJ988" s="5">
        <f>IF(ISNUMBER(P988),1,0)</f>
        <v>0</v>
      </c>
      <c r="AK988" s="5">
        <f>IF(AI988=1,IF(J988&gt;0,1,0),"")</f>
        <v>1</v>
      </c>
      <c r="AL988" s="5" t="str">
        <f>IF(AJ988=1,IF(OR(Q988&gt;0,R988&gt;0),1,0),"")</f>
        <v/>
      </c>
    </row>
    <row r="989" spans="1:38">
      <c r="A989">
        <v>3034531</v>
      </c>
      <c r="B989" t="s">
        <v>1058</v>
      </c>
      <c r="C989" t="s">
        <v>82</v>
      </c>
      <c r="D989" t="s">
        <v>24</v>
      </c>
      <c r="E989">
        <v>2</v>
      </c>
      <c r="F989">
        <v>25000</v>
      </c>
      <c r="H989">
        <v>1</v>
      </c>
      <c r="I989">
        <v>1</v>
      </c>
      <c r="J989">
        <v>0</v>
      </c>
      <c r="K989">
        <v>0</v>
      </c>
      <c r="L989">
        <v>0</v>
      </c>
      <c r="M989" t="s">
        <v>26</v>
      </c>
      <c r="N989">
        <v>0</v>
      </c>
      <c r="O989" t="s">
        <v>26</v>
      </c>
      <c r="P989" t="s">
        <v>26</v>
      </c>
      <c r="Q989" t="s">
        <v>26</v>
      </c>
      <c r="R989" t="s">
        <v>26</v>
      </c>
      <c r="S989" t="s">
        <v>26</v>
      </c>
      <c r="T989" t="s">
        <v>26</v>
      </c>
      <c r="U989" t="s">
        <v>26</v>
      </c>
      <c r="V989">
        <v>0</v>
      </c>
      <c r="W989">
        <f>E989/100</f>
        <v>0.02</v>
      </c>
      <c r="X989">
        <f>F989/1000000</f>
        <v>2.5000000000000001E-2</v>
      </c>
      <c r="Y989">
        <f>IF(D989="C",1,0)</f>
        <v>0</v>
      </c>
      <c r="Z989">
        <f>IF(G989="C",1,0)</f>
        <v>0</v>
      </c>
      <c r="AA989">
        <f>IF(G989="S",1,0)</f>
        <v>0</v>
      </c>
      <c r="AB989">
        <f>IF(G989="U",1,0)</f>
        <v>0</v>
      </c>
      <c r="AC989" s="5">
        <f>IF(AND(ISNUMBER(H989),NOT(ISNUMBER(P989))),1,0)</f>
        <v>1</v>
      </c>
      <c r="AD989" s="5">
        <f>IF(AND(ISNUMBER(H989),ISNUMBER(P989)),1,0)</f>
        <v>0</v>
      </c>
      <c r="AE989" s="5">
        <f>W989</f>
        <v>0.02</v>
      </c>
      <c r="AF989" s="5">
        <f>X989</f>
        <v>2.5000000000000001E-2</v>
      </c>
      <c r="AG989" s="5">
        <f>Y989</f>
        <v>0</v>
      </c>
      <c r="AH989" s="5">
        <f>IF(OR(G989="C",G989="S",G989="U"),1,0)</f>
        <v>0</v>
      </c>
      <c r="AI989" s="5">
        <f>IF(ISNUMBER(H989),1,0)</f>
        <v>1</v>
      </c>
      <c r="AJ989" s="5">
        <f>IF(ISNUMBER(P989),1,0)</f>
        <v>0</v>
      </c>
      <c r="AK989" s="5">
        <f>IF(AI989=1,IF(J989&gt;0,1,0),"")</f>
        <v>0</v>
      </c>
      <c r="AL989" s="5" t="str">
        <f>IF(AJ989=1,IF(OR(Q989&gt;0,R989&gt;0),1,0),"")</f>
        <v/>
      </c>
    </row>
    <row r="990" spans="1:38">
      <c r="A990">
        <v>3034902</v>
      </c>
      <c r="B990" t="s">
        <v>1059</v>
      </c>
      <c r="C990" t="s">
        <v>157</v>
      </c>
      <c r="D990" t="s">
        <v>24</v>
      </c>
      <c r="E990">
        <v>39</v>
      </c>
      <c r="F990">
        <v>5034592</v>
      </c>
      <c r="H990">
        <v>1</v>
      </c>
      <c r="I990">
        <v>3</v>
      </c>
      <c r="J990">
        <v>0</v>
      </c>
      <c r="K990">
        <v>0</v>
      </c>
      <c r="L990">
        <v>0</v>
      </c>
      <c r="M990">
        <v>0</v>
      </c>
      <c r="N990">
        <v>0</v>
      </c>
      <c r="O990" t="s">
        <v>26</v>
      </c>
      <c r="P990" t="s">
        <v>26</v>
      </c>
      <c r="Q990" t="s">
        <v>26</v>
      </c>
      <c r="R990" t="s">
        <v>26</v>
      </c>
      <c r="S990" t="s">
        <v>26</v>
      </c>
      <c r="T990" t="s">
        <v>26</v>
      </c>
      <c r="U990" t="s">
        <v>26</v>
      </c>
      <c r="V990">
        <v>0</v>
      </c>
      <c r="W990">
        <f>E990/100</f>
        <v>0.39</v>
      </c>
      <c r="X990">
        <f>F990/1000000</f>
        <v>5.034592</v>
      </c>
      <c r="Y990">
        <f>IF(D990="C",1,0)</f>
        <v>0</v>
      </c>
      <c r="Z990">
        <f>IF(G990="C",1,0)</f>
        <v>0</v>
      </c>
      <c r="AA990">
        <f>IF(G990="S",1,0)</f>
        <v>0</v>
      </c>
      <c r="AB990">
        <f>IF(G990="U",1,0)</f>
        <v>0</v>
      </c>
      <c r="AC990" s="5">
        <f>IF(AND(ISNUMBER(H990),NOT(ISNUMBER(P990))),1,0)</f>
        <v>1</v>
      </c>
      <c r="AD990" s="5">
        <f>IF(AND(ISNUMBER(H990),ISNUMBER(P990)),1,0)</f>
        <v>0</v>
      </c>
      <c r="AE990" s="5">
        <f>W990</f>
        <v>0.39</v>
      </c>
      <c r="AF990" s="5">
        <f>X990</f>
        <v>5.034592</v>
      </c>
      <c r="AG990" s="5">
        <f>Y990</f>
        <v>0</v>
      </c>
      <c r="AH990" s="5">
        <f>IF(OR(G990="C",G990="S",G990="U"),1,0)</f>
        <v>0</v>
      </c>
      <c r="AI990" s="5">
        <f>IF(ISNUMBER(H990),1,0)</f>
        <v>1</v>
      </c>
      <c r="AJ990" s="5">
        <f>IF(ISNUMBER(P990),1,0)</f>
        <v>0</v>
      </c>
      <c r="AK990" s="5">
        <f>IF(AI990=1,IF(J990&gt;0,1,0),"")</f>
        <v>0</v>
      </c>
      <c r="AL990" s="5" t="str">
        <f>IF(AJ990=1,IF(OR(Q990&gt;0,R990&gt;0),1,0),"")</f>
        <v/>
      </c>
    </row>
    <row r="991" spans="1:38">
      <c r="A991">
        <v>3036976</v>
      </c>
      <c r="B991" t="s">
        <v>1060</v>
      </c>
      <c r="C991" t="s">
        <v>159</v>
      </c>
      <c r="D991" t="s">
        <v>24</v>
      </c>
      <c r="E991">
        <v>2</v>
      </c>
      <c r="F991">
        <v>3033865</v>
      </c>
      <c r="H991">
        <v>1</v>
      </c>
      <c r="I991">
        <v>11</v>
      </c>
      <c r="J991">
        <v>1</v>
      </c>
      <c r="K991">
        <v>1</v>
      </c>
      <c r="L991">
        <v>9.0899999999999995E-2</v>
      </c>
      <c r="M991">
        <v>0</v>
      </c>
      <c r="N991">
        <v>0.25</v>
      </c>
      <c r="O991" t="s">
        <v>26</v>
      </c>
      <c r="P991" t="s">
        <v>26</v>
      </c>
      <c r="Q991" t="s">
        <v>26</v>
      </c>
      <c r="R991" t="s">
        <v>26</v>
      </c>
      <c r="S991" t="s">
        <v>26</v>
      </c>
      <c r="T991" t="s">
        <v>26</v>
      </c>
      <c r="U991" t="s">
        <v>26</v>
      </c>
      <c r="V991">
        <v>1</v>
      </c>
      <c r="W991">
        <f>E991/100</f>
        <v>0.02</v>
      </c>
      <c r="X991">
        <f>F991/1000000</f>
        <v>3.033865</v>
      </c>
      <c r="Y991">
        <f>IF(D991="C",1,0)</f>
        <v>0</v>
      </c>
      <c r="Z991">
        <f>IF(G991="C",1,0)</f>
        <v>0</v>
      </c>
      <c r="AA991">
        <f>IF(G991="S",1,0)</f>
        <v>0</v>
      </c>
      <c r="AB991">
        <f>IF(G991="U",1,0)</f>
        <v>0</v>
      </c>
      <c r="AC991" s="5">
        <f>IF(AND(ISNUMBER(H991),NOT(ISNUMBER(P991))),1,0)</f>
        <v>1</v>
      </c>
      <c r="AD991" s="5">
        <f>IF(AND(ISNUMBER(H991),ISNUMBER(P991)),1,0)</f>
        <v>0</v>
      </c>
      <c r="AE991" s="5">
        <f>W991</f>
        <v>0.02</v>
      </c>
      <c r="AF991" s="5">
        <f>X991</f>
        <v>3.033865</v>
      </c>
      <c r="AG991" s="5">
        <f>Y991</f>
        <v>0</v>
      </c>
      <c r="AH991" s="5">
        <f>IF(OR(G991="C",G991="S",G991="U"),1,0)</f>
        <v>0</v>
      </c>
      <c r="AI991" s="5">
        <f>IF(ISNUMBER(H991),1,0)</f>
        <v>1</v>
      </c>
      <c r="AJ991" s="5">
        <f>IF(ISNUMBER(P991),1,0)</f>
        <v>0</v>
      </c>
      <c r="AK991" s="5">
        <f>IF(AI991=1,IF(J991&gt;0,1,0),"")</f>
        <v>1</v>
      </c>
      <c r="AL991" s="5" t="str">
        <f>IF(AJ991=1,IF(OR(Q991&gt;0,R991&gt;0),1,0),"")</f>
        <v/>
      </c>
    </row>
    <row r="992" spans="1:38">
      <c r="A992">
        <v>3044701</v>
      </c>
      <c r="B992" t="s">
        <v>1061</v>
      </c>
      <c r="C992" t="s">
        <v>23</v>
      </c>
      <c r="D992" t="s">
        <v>33</v>
      </c>
      <c r="E992">
        <v>4</v>
      </c>
      <c r="F992">
        <v>55000</v>
      </c>
      <c r="H992">
        <v>1</v>
      </c>
      <c r="I992">
        <v>11</v>
      </c>
      <c r="J992">
        <v>2</v>
      </c>
      <c r="K992">
        <v>1</v>
      </c>
      <c r="L992">
        <v>0.18179999999999999</v>
      </c>
      <c r="M992">
        <v>1</v>
      </c>
      <c r="N992">
        <v>0.1</v>
      </c>
      <c r="O992" t="s">
        <v>26</v>
      </c>
      <c r="P992" t="s">
        <v>26</v>
      </c>
      <c r="Q992" t="s">
        <v>26</v>
      </c>
      <c r="R992" t="s">
        <v>26</v>
      </c>
      <c r="S992" t="s">
        <v>26</v>
      </c>
      <c r="T992" t="s">
        <v>26</v>
      </c>
      <c r="U992" t="s">
        <v>26</v>
      </c>
      <c r="V992">
        <v>1</v>
      </c>
      <c r="W992">
        <f>E992/100</f>
        <v>0.04</v>
      </c>
      <c r="X992">
        <f>F992/1000000</f>
        <v>5.5E-2</v>
      </c>
      <c r="Y992">
        <f>IF(D992="C",1,0)</f>
        <v>1</v>
      </c>
      <c r="Z992">
        <f>IF(G992="C",1,0)</f>
        <v>0</v>
      </c>
      <c r="AA992">
        <f>IF(G992="S",1,0)</f>
        <v>0</v>
      </c>
      <c r="AB992">
        <f>IF(G992="U",1,0)</f>
        <v>0</v>
      </c>
      <c r="AC992" s="5">
        <f>IF(AND(ISNUMBER(H992),NOT(ISNUMBER(P992))),1,0)</f>
        <v>1</v>
      </c>
      <c r="AD992" s="5">
        <f>IF(AND(ISNUMBER(H992),ISNUMBER(P992)),1,0)</f>
        <v>0</v>
      </c>
      <c r="AE992" s="5">
        <f>W992</f>
        <v>0.04</v>
      </c>
      <c r="AF992" s="5">
        <f>X992</f>
        <v>5.5E-2</v>
      </c>
      <c r="AG992" s="5">
        <f>Y992</f>
        <v>1</v>
      </c>
      <c r="AH992" s="5">
        <f>IF(OR(G992="C",G992="S",G992="U"),1,0)</f>
        <v>0</v>
      </c>
      <c r="AI992" s="5">
        <f>IF(ISNUMBER(H992),1,0)</f>
        <v>1</v>
      </c>
      <c r="AJ992" s="5">
        <f>IF(ISNUMBER(P992),1,0)</f>
        <v>0</v>
      </c>
      <c r="AK992" s="5">
        <f>IF(AI992=1,IF(J992&gt;0,1,0),"")</f>
        <v>1</v>
      </c>
      <c r="AL992" s="5" t="str">
        <f>IF(AJ992=1,IF(OR(Q992&gt;0,R992&gt;0),1,0),"")</f>
        <v/>
      </c>
    </row>
    <row r="993" spans="1:38">
      <c r="A993">
        <v>3054377</v>
      </c>
      <c r="B993" t="s">
        <v>1062</v>
      </c>
      <c r="C993" t="s">
        <v>101</v>
      </c>
      <c r="D993" t="s">
        <v>24</v>
      </c>
      <c r="E993">
        <v>2</v>
      </c>
      <c r="F993">
        <v>360000</v>
      </c>
      <c r="H993">
        <v>1</v>
      </c>
      <c r="I993">
        <v>7</v>
      </c>
      <c r="J993">
        <v>0</v>
      </c>
      <c r="K993">
        <v>0</v>
      </c>
      <c r="L993">
        <v>0</v>
      </c>
      <c r="M993">
        <v>0</v>
      </c>
      <c r="N993">
        <v>0</v>
      </c>
      <c r="O993" t="s">
        <v>26</v>
      </c>
      <c r="P993" t="s">
        <v>26</v>
      </c>
      <c r="Q993" t="s">
        <v>26</v>
      </c>
      <c r="R993" t="s">
        <v>26</v>
      </c>
      <c r="S993" t="s">
        <v>26</v>
      </c>
      <c r="T993" t="s">
        <v>26</v>
      </c>
      <c r="U993" t="s">
        <v>26</v>
      </c>
      <c r="V993">
        <v>0</v>
      </c>
      <c r="W993">
        <f>E993/100</f>
        <v>0.02</v>
      </c>
      <c r="X993">
        <f>F993/1000000</f>
        <v>0.36</v>
      </c>
      <c r="Y993">
        <f>IF(D993="C",1,0)</f>
        <v>0</v>
      </c>
      <c r="Z993">
        <f>IF(G993="C",1,0)</f>
        <v>0</v>
      </c>
      <c r="AA993">
        <f>IF(G993="S",1,0)</f>
        <v>0</v>
      </c>
      <c r="AB993">
        <f>IF(G993="U",1,0)</f>
        <v>0</v>
      </c>
      <c r="AC993" s="5">
        <f>IF(AND(ISNUMBER(H993),NOT(ISNUMBER(P993))),1,0)</f>
        <v>1</v>
      </c>
      <c r="AD993" s="5">
        <f>IF(AND(ISNUMBER(H993),ISNUMBER(P993)),1,0)</f>
        <v>0</v>
      </c>
      <c r="AE993" s="5">
        <f>W993</f>
        <v>0.02</v>
      </c>
      <c r="AF993" s="5">
        <f>X993</f>
        <v>0.36</v>
      </c>
      <c r="AG993" s="5">
        <f>Y993</f>
        <v>0</v>
      </c>
      <c r="AH993" s="5">
        <f>IF(OR(G993="C",G993="S",G993="U"),1,0)</f>
        <v>0</v>
      </c>
      <c r="AI993" s="5">
        <f>IF(ISNUMBER(H993),1,0)</f>
        <v>1</v>
      </c>
      <c r="AJ993" s="5">
        <f>IF(ISNUMBER(P993),1,0)</f>
        <v>0</v>
      </c>
      <c r="AK993" s="5">
        <f>IF(AI993=1,IF(J993&gt;0,1,0),"")</f>
        <v>0</v>
      </c>
      <c r="AL993" s="5" t="str">
        <f>IF(AJ993=1,IF(OR(Q993&gt;0,R993&gt;0),1,0),"")</f>
        <v/>
      </c>
    </row>
    <row r="994" spans="1:38">
      <c r="A994">
        <v>3070561</v>
      </c>
      <c r="B994" t="s">
        <v>1063</v>
      </c>
      <c r="C994" t="s">
        <v>23</v>
      </c>
      <c r="D994" t="s">
        <v>24</v>
      </c>
      <c r="E994">
        <v>3</v>
      </c>
      <c r="F994">
        <v>178721</v>
      </c>
      <c r="H994">
        <v>1</v>
      </c>
      <c r="I994">
        <v>6</v>
      </c>
      <c r="J994">
        <v>0</v>
      </c>
      <c r="K994">
        <v>0</v>
      </c>
      <c r="L994">
        <v>0</v>
      </c>
      <c r="M994" t="s">
        <v>26</v>
      </c>
      <c r="N994">
        <v>0</v>
      </c>
      <c r="O994" t="s">
        <v>26</v>
      </c>
      <c r="P994" t="s">
        <v>26</v>
      </c>
      <c r="Q994" t="s">
        <v>26</v>
      </c>
      <c r="R994" t="s">
        <v>26</v>
      </c>
      <c r="S994" t="s">
        <v>26</v>
      </c>
      <c r="T994" t="s">
        <v>26</v>
      </c>
      <c r="U994" t="s">
        <v>26</v>
      </c>
      <c r="V994">
        <v>0</v>
      </c>
      <c r="W994">
        <f>E994/100</f>
        <v>0.03</v>
      </c>
      <c r="X994">
        <f>F994/1000000</f>
        <v>0.17872099999999999</v>
      </c>
      <c r="Y994">
        <f>IF(D994="C",1,0)</f>
        <v>0</v>
      </c>
      <c r="Z994">
        <f>IF(G994="C",1,0)</f>
        <v>0</v>
      </c>
      <c r="AA994">
        <f>IF(G994="S",1,0)</f>
        <v>0</v>
      </c>
      <c r="AB994">
        <f>IF(G994="U",1,0)</f>
        <v>0</v>
      </c>
      <c r="AC994" s="5">
        <f>IF(AND(ISNUMBER(H994),NOT(ISNUMBER(P994))),1,0)</f>
        <v>1</v>
      </c>
      <c r="AD994" s="5">
        <f>IF(AND(ISNUMBER(H994),ISNUMBER(P994)),1,0)</f>
        <v>0</v>
      </c>
      <c r="AE994" s="5">
        <f>W994</f>
        <v>0.03</v>
      </c>
      <c r="AF994" s="5">
        <f>X994</f>
        <v>0.17872099999999999</v>
      </c>
      <c r="AG994" s="5">
        <f>Y994</f>
        <v>0</v>
      </c>
      <c r="AH994" s="5">
        <f>IF(OR(G994="C",G994="S",G994="U"),1,0)</f>
        <v>0</v>
      </c>
      <c r="AI994" s="5">
        <f>IF(ISNUMBER(H994),1,0)</f>
        <v>1</v>
      </c>
      <c r="AJ994" s="5">
        <f>IF(ISNUMBER(P994),1,0)</f>
        <v>0</v>
      </c>
      <c r="AK994" s="5">
        <f>IF(AI994=1,IF(J994&gt;0,1,0),"")</f>
        <v>0</v>
      </c>
      <c r="AL994" s="5" t="str">
        <f>IF(AJ994=1,IF(OR(Q994&gt;0,R994&gt;0),1,0),"")</f>
        <v/>
      </c>
    </row>
    <row r="995" spans="1:38">
      <c r="A995">
        <v>3078437</v>
      </c>
      <c r="B995" t="s">
        <v>1064</v>
      </c>
      <c r="C995" t="s">
        <v>82</v>
      </c>
      <c r="D995" t="s">
        <v>24</v>
      </c>
      <c r="E995">
        <v>2</v>
      </c>
      <c r="F995">
        <v>20000</v>
      </c>
      <c r="H995">
        <v>1</v>
      </c>
      <c r="I995">
        <v>2</v>
      </c>
      <c r="J995">
        <v>0</v>
      </c>
      <c r="K995">
        <v>0</v>
      </c>
      <c r="L995">
        <v>0</v>
      </c>
      <c r="M995">
        <v>0</v>
      </c>
      <c r="N995">
        <v>0</v>
      </c>
      <c r="O995" t="s">
        <v>26</v>
      </c>
      <c r="P995" t="s">
        <v>26</v>
      </c>
      <c r="Q995" t="s">
        <v>26</v>
      </c>
      <c r="R995" t="s">
        <v>26</v>
      </c>
      <c r="S995" t="s">
        <v>26</v>
      </c>
      <c r="T995" t="s">
        <v>26</v>
      </c>
      <c r="U995" t="s">
        <v>26</v>
      </c>
      <c r="V995">
        <v>0</v>
      </c>
      <c r="W995">
        <f>E995/100</f>
        <v>0.02</v>
      </c>
      <c r="X995">
        <f>F995/1000000</f>
        <v>0.02</v>
      </c>
      <c r="Y995">
        <f>IF(D995="C",1,0)</f>
        <v>0</v>
      </c>
      <c r="Z995">
        <f>IF(G995="C",1,0)</f>
        <v>0</v>
      </c>
      <c r="AA995">
        <f>IF(G995="S",1,0)</f>
        <v>0</v>
      </c>
      <c r="AB995">
        <f>IF(G995="U",1,0)</f>
        <v>0</v>
      </c>
      <c r="AC995" s="5">
        <f>IF(AND(ISNUMBER(H995),NOT(ISNUMBER(P995))),1,0)</f>
        <v>1</v>
      </c>
      <c r="AD995" s="5">
        <f>IF(AND(ISNUMBER(H995),ISNUMBER(P995)),1,0)</f>
        <v>0</v>
      </c>
      <c r="AE995" s="5">
        <f>W995</f>
        <v>0.02</v>
      </c>
      <c r="AF995" s="5">
        <f>X995</f>
        <v>0.02</v>
      </c>
      <c r="AG995" s="5">
        <f>Y995</f>
        <v>0</v>
      </c>
      <c r="AH995" s="5">
        <f>IF(OR(G995="C",G995="S",G995="U"),1,0)</f>
        <v>0</v>
      </c>
      <c r="AI995" s="5">
        <f>IF(ISNUMBER(H995),1,0)</f>
        <v>1</v>
      </c>
      <c r="AJ995" s="5">
        <f>IF(ISNUMBER(P995),1,0)</f>
        <v>0</v>
      </c>
      <c r="AK995" s="5">
        <f>IF(AI995=1,IF(J995&gt;0,1,0),"")</f>
        <v>0</v>
      </c>
      <c r="AL995" s="5" t="str">
        <f>IF(AJ995=1,IF(OR(Q995&gt;0,R995&gt;0),1,0),"")</f>
        <v/>
      </c>
    </row>
    <row r="996" spans="1:38">
      <c r="A996">
        <v>3086368</v>
      </c>
      <c r="B996" t="s">
        <v>1065</v>
      </c>
      <c r="C996" t="s">
        <v>37</v>
      </c>
      <c r="D996" t="s">
        <v>33</v>
      </c>
      <c r="E996">
        <v>4</v>
      </c>
      <c r="F996">
        <v>245000</v>
      </c>
      <c r="H996">
        <v>1</v>
      </c>
      <c r="I996">
        <v>6</v>
      </c>
      <c r="J996">
        <v>0</v>
      </c>
      <c r="K996">
        <v>0</v>
      </c>
      <c r="L996">
        <v>0</v>
      </c>
      <c r="M996">
        <v>0</v>
      </c>
      <c r="N996">
        <v>0</v>
      </c>
      <c r="O996" t="s">
        <v>26</v>
      </c>
      <c r="P996" t="s">
        <v>26</v>
      </c>
      <c r="Q996" t="s">
        <v>26</v>
      </c>
      <c r="R996" t="s">
        <v>26</v>
      </c>
      <c r="S996" t="s">
        <v>26</v>
      </c>
      <c r="T996" t="s">
        <v>26</v>
      </c>
      <c r="U996" t="s">
        <v>26</v>
      </c>
      <c r="V996">
        <v>0</v>
      </c>
      <c r="W996">
        <f>E996/100</f>
        <v>0.04</v>
      </c>
      <c r="X996">
        <f>F996/1000000</f>
        <v>0.245</v>
      </c>
      <c r="Y996">
        <f>IF(D996="C",1,0)</f>
        <v>1</v>
      </c>
      <c r="Z996">
        <f>IF(G996="C",1,0)</f>
        <v>0</v>
      </c>
      <c r="AA996">
        <f>IF(G996="S",1,0)</f>
        <v>0</v>
      </c>
      <c r="AB996">
        <f>IF(G996="U",1,0)</f>
        <v>0</v>
      </c>
      <c r="AC996" s="5">
        <f>IF(AND(ISNUMBER(H996),NOT(ISNUMBER(P996))),1,0)</f>
        <v>1</v>
      </c>
      <c r="AD996" s="5">
        <f>IF(AND(ISNUMBER(H996),ISNUMBER(P996)),1,0)</f>
        <v>0</v>
      </c>
      <c r="AE996" s="5">
        <f>W996</f>
        <v>0.04</v>
      </c>
      <c r="AF996" s="5">
        <f>X996</f>
        <v>0.245</v>
      </c>
      <c r="AG996" s="5">
        <f>Y996</f>
        <v>1</v>
      </c>
      <c r="AH996" s="5">
        <f>IF(OR(G996="C",G996="S",G996="U"),1,0)</f>
        <v>0</v>
      </c>
      <c r="AI996" s="5">
        <f>IF(ISNUMBER(H996),1,0)</f>
        <v>1</v>
      </c>
      <c r="AJ996" s="5">
        <f>IF(ISNUMBER(P996),1,0)</f>
        <v>0</v>
      </c>
      <c r="AK996" s="5">
        <f>IF(AI996=1,IF(J996&gt;0,1,0),"")</f>
        <v>0</v>
      </c>
      <c r="AL996" s="5" t="str">
        <f>IF(AJ996=1,IF(OR(Q996&gt;0,R996&gt;0),1,0),"")</f>
        <v/>
      </c>
    </row>
    <row r="997" spans="1:38">
      <c r="A997">
        <v>3095815</v>
      </c>
      <c r="B997" t="s">
        <v>1066</v>
      </c>
      <c r="C997" t="s">
        <v>84</v>
      </c>
      <c r="D997" t="s">
        <v>24</v>
      </c>
      <c r="E997">
        <v>4</v>
      </c>
      <c r="F997">
        <v>200000</v>
      </c>
      <c r="H997">
        <v>1</v>
      </c>
      <c r="I997">
        <v>3</v>
      </c>
      <c r="J997">
        <v>0</v>
      </c>
      <c r="K997">
        <v>0</v>
      </c>
      <c r="L997">
        <v>0</v>
      </c>
      <c r="M997" t="s">
        <v>26</v>
      </c>
      <c r="N997">
        <v>0</v>
      </c>
      <c r="O997" t="s">
        <v>26</v>
      </c>
      <c r="P997" t="s">
        <v>26</v>
      </c>
      <c r="Q997" t="s">
        <v>26</v>
      </c>
      <c r="R997" t="s">
        <v>26</v>
      </c>
      <c r="S997" t="s">
        <v>26</v>
      </c>
      <c r="T997" t="s">
        <v>26</v>
      </c>
      <c r="U997" t="s">
        <v>26</v>
      </c>
      <c r="V997">
        <v>0</v>
      </c>
      <c r="W997">
        <f>E997/100</f>
        <v>0.04</v>
      </c>
      <c r="X997">
        <f>F997/1000000</f>
        <v>0.2</v>
      </c>
      <c r="Y997">
        <f>IF(D997="C",1,0)</f>
        <v>0</v>
      </c>
      <c r="Z997">
        <f>IF(G997="C",1,0)</f>
        <v>0</v>
      </c>
      <c r="AA997">
        <f>IF(G997="S",1,0)</f>
        <v>0</v>
      </c>
      <c r="AB997">
        <f>IF(G997="U",1,0)</f>
        <v>0</v>
      </c>
      <c r="AC997" s="5">
        <f>IF(AND(ISNUMBER(H997),NOT(ISNUMBER(P997))),1,0)</f>
        <v>1</v>
      </c>
      <c r="AD997" s="5">
        <f>IF(AND(ISNUMBER(H997),ISNUMBER(P997)),1,0)</f>
        <v>0</v>
      </c>
      <c r="AE997" s="5">
        <f>W997</f>
        <v>0.04</v>
      </c>
      <c r="AF997" s="5">
        <f>X997</f>
        <v>0.2</v>
      </c>
      <c r="AG997" s="5">
        <f>Y997</f>
        <v>0</v>
      </c>
      <c r="AH997" s="5">
        <f>IF(OR(G997="C",G997="S",G997="U"),1,0)</f>
        <v>0</v>
      </c>
      <c r="AI997" s="5">
        <f>IF(ISNUMBER(H997),1,0)</f>
        <v>1</v>
      </c>
      <c r="AJ997" s="5">
        <f>IF(ISNUMBER(P997),1,0)</f>
        <v>0</v>
      </c>
      <c r="AK997" s="5">
        <f>IF(AI997=1,IF(J997&gt;0,1,0),"")</f>
        <v>0</v>
      </c>
      <c r="AL997" s="5" t="str">
        <f>IF(AJ997=1,IF(OR(Q997&gt;0,R997&gt;0),1,0),"")</f>
        <v/>
      </c>
    </row>
    <row r="998" spans="1:38">
      <c r="A998">
        <v>3103853</v>
      </c>
      <c r="B998" t="s">
        <v>1067</v>
      </c>
      <c r="C998" t="s">
        <v>370</v>
      </c>
      <c r="D998" t="s">
        <v>24</v>
      </c>
      <c r="E998">
        <v>2</v>
      </c>
      <c r="F998">
        <v>292261</v>
      </c>
      <c r="H998">
        <v>1</v>
      </c>
      <c r="I998">
        <v>2</v>
      </c>
      <c r="J998">
        <v>0</v>
      </c>
      <c r="K998">
        <v>0</v>
      </c>
      <c r="L998">
        <v>0</v>
      </c>
      <c r="M998">
        <v>0</v>
      </c>
      <c r="N998">
        <v>0</v>
      </c>
      <c r="O998" t="s">
        <v>26</v>
      </c>
      <c r="P998" t="s">
        <v>26</v>
      </c>
      <c r="Q998" t="s">
        <v>26</v>
      </c>
      <c r="R998" t="s">
        <v>26</v>
      </c>
      <c r="S998" t="s">
        <v>26</v>
      </c>
      <c r="T998" t="s">
        <v>26</v>
      </c>
      <c r="U998" t="s">
        <v>26</v>
      </c>
      <c r="V998">
        <v>0</v>
      </c>
      <c r="W998">
        <f>E998/100</f>
        <v>0.02</v>
      </c>
      <c r="X998">
        <f>F998/1000000</f>
        <v>0.29226099999999999</v>
      </c>
      <c r="Y998">
        <f>IF(D998="C",1,0)</f>
        <v>0</v>
      </c>
      <c r="Z998">
        <f>IF(G998="C",1,0)</f>
        <v>0</v>
      </c>
      <c r="AA998">
        <f>IF(G998="S",1,0)</f>
        <v>0</v>
      </c>
      <c r="AB998">
        <f>IF(G998="U",1,0)</f>
        <v>0</v>
      </c>
      <c r="AC998" s="5">
        <f>IF(AND(ISNUMBER(H998),NOT(ISNUMBER(P998))),1,0)</f>
        <v>1</v>
      </c>
      <c r="AD998" s="5">
        <f>IF(AND(ISNUMBER(H998),ISNUMBER(P998)),1,0)</f>
        <v>0</v>
      </c>
      <c r="AE998" s="5">
        <f>W998</f>
        <v>0.02</v>
      </c>
      <c r="AF998" s="5">
        <f>X998</f>
        <v>0.29226099999999999</v>
      </c>
      <c r="AG998" s="5">
        <f>Y998</f>
        <v>0</v>
      </c>
      <c r="AH998" s="5">
        <f>IF(OR(G998="C",G998="S",G998="U"),1,0)</f>
        <v>0</v>
      </c>
      <c r="AI998" s="5">
        <f>IF(ISNUMBER(H998),1,0)</f>
        <v>1</v>
      </c>
      <c r="AJ998" s="5">
        <f>IF(ISNUMBER(P998),1,0)</f>
        <v>0</v>
      </c>
      <c r="AK998" s="5">
        <f>IF(AI998=1,IF(J998&gt;0,1,0),"")</f>
        <v>0</v>
      </c>
      <c r="AL998" s="5" t="str">
        <f>IF(AJ998=1,IF(OR(Q998&gt;0,R998&gt;0),1,0),"")</f>
        <v/>
      </c>
    </row>
    <row r="999" spans="1:38">
      <c r="A999">
        <v>3130333</v>
      </c>
      <c r="B999" t="s">
        <v>1068</v>
      </c>
      <c r="C999" t="s">
        <v>314</v>
      </c>
      <c r="D999" t="s">
        <v>24</v>
      </c>
      <c r="E999">
        <v>9</v>
      </c>
      <c r="F999">
        <v>725762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  <c r="S999" t="s">
        <v>26</v>
      </c>
      <c r="T999" t="s">
        <v>26</v>
      </c>
      <c r="U999" t="s">
        <v>26</v>
      </c>
      <c r="V999">
        <v>0</v>
      </c>
      <c r="W999">
        <f>E999/100</f>
        <v>0.09</v>
      </c>
      <c r="X999">
        <f>F999/1000000</f>
        <v>0.72576200000000002</v>
      </c>
      <c r="Y999">
        <f>IF(D999="C",1,0)</f>
        <v>0</v>
      </c>
      <c r="Z999">
        <f>IF(G999="C",1,0)</f>
        <v>0</v>
      </c>
      <c r="AA999">
        <f>IF(G999="S",1,0)</f>
        <v>0</v>
      </c>
      <c r="AB999">
        <f>IF(G999="U",1,0)</f>
        <v>0</v>
      </c>
      <c r="AC999" s="5">
        <f>IF(AND(ISNUMBER(H999),NOT(ISNUMBER(P999))),1,0)</f>
        <v>1</v>
      </c>
      <c r="AD999" s="5">
        <f>IF(AND(ISNUMBER(H999),ISNUMBER(P999)),1,0)</f>
        <v>0</v>
      </c>
      <c r="AE999" s="5">
        <f>W999</f>
        <v>0.09</v>
      </c>
      <c r="AF999" s="5">
        <f>X999</f>
        <v>0.72576200000000002</v>
      </c>
      <c r="AG999" s="5">
        <f>Y999</f>
        <v>0</v>
      </c>
      <c r="AH999" s="5">
        <f>IF(OR(G999="C",G999="S",G999="U"),1,0)</f>
        <v>0</v>
      </c>
      <c r="AI999" s="5">
        <f>IF(ISNUMBER(H999),1,0)</f>
        <v>1</v>
      </c>
      <c r="AJ999" s="5">
        <f>IF(ISNUMBER(P999),1,0)</f>
        <v>0</v>
      </c>
      <c r="AK999" s="5">
        <f>IF(AI999=1,IF(J999&gt;0,1,0),"")</f>
        <v>0</v>
      </c>
      <c r="AL999" s="5" t="str">
        <f>IF(AJ999=1,IF(OR(Q999&gt;0,R999&gt;0),1,0),"")</f>
        <v/>
      </c>
    </row>
    <row r="1000" spans="1:38">
      <c r="A1000">
        <v>3138710</v>
      </c>
      <c r="B1000" t="s">
        <v>1069</v>
      </c>
      <c r="C1000" t="s">
        <v>23</v>
      </c>
      <c r="D1000" t="s">
        <v>24</v>
      </c>
      <c r="E1000">
        <v>1</v>
      </c>
      <c r="F1000">
        <v>61339</v>
      </c>
      <c r="H1000">
        <v>1</v>
      </c>
      <c r="I1000">
        <v>0</v>
      </c>
      <c r="J1000">
        <v>0</v>
      </c>
      <c r="K1000">
        <v>0</v>
      </c>
      <c r="L1000" t="s">
        <v>26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  <c r="S1000" t="s">
        <v>26</v>
      </c>
      <c r="T1000" t="s">
        <v>26</v>
      </c>
      <c r="U1000" t="s">
        <v>26</v>
      </c>
      <c r="V1000">
        <v>0</v>
      </c>
      <c r="W1000">
        <f>E1000/100</f>
        <v>0.01</v>
      </c>
      <c r="X1000">
        <f>F1000/1000000</f>
        <v>6.1338999999999998E-2</v>
      </c>
      <c r="Y1000">
        <f>IF(D1000="C",1,0)</f>
        <v>0</v>
      </c>
      <c r="Z1000">
        <f>IF(G1000="C",1,0)</f>
        <v>0</v>
      </c>
      <c r="AA1000">
        <f>IF(G1000="S",1,0)</f>
        <v>0</v>
      </c>
      <c r="AB1000">
        <f>IF(G1000="U",1,0)</f>
        <v>0</v>
      </c>
      <c r="AC1000" s="5">
        <f>IF(AND(ISNUMBER(H1000),NOT(ISNUMBER(P1000))),1,0)</f>
        <v>1</v>
      </c>
      <c r="AD1000" s="5">
        <f>IF(AND(ISNUMBER(H1000),ISNUMBER(P1000)),1,0)</f>
        <v>0</v>
      </c>
      <c r="AE1000" s="5">
        <f>W1000</f>
        <v>0.01</v>
      </c>
      <c r="AF1000" s="5">
        <f>X1000</f>
        <v>6.1338999999999998E-2</v>
      </c>
      <c r="AG1000" s="5">
        <f>Y1000</f>
        <v>0</v>
      </c>
      <c r="AH1000" s="5">
        <f>IF(OR(G1000="C",G1000="S",G1000="U"),1,0)</f>
        <v>0</v>
      </c>
      <c r="AI1000" s="5">
        <f>IF(ISNUMBER(H1000),1,0)</f>
        <v>1</v>
      </c>
      <c r="AJ1000" s="5">
        <f>IF(ISNUMBER(P1000),1,0)</f>
        <v>0</v>
      </c>
      <c r="AK1000" s="5">
        <f>IF(AI1000=1,IF(J1000&gt;0,1,0),"")</f>
        <v>0</v>
      </c>
      <c r="AL1000" s="5" t="str">
        <f>IF(AJ1000=1,IF(OR(Q1000&gt;0,R1000&gt;0),1,0),"")</f>
        <v/>
      </c>
    </row>
    <row r="1001" spans="1:38">
      <c r="A1001">
        <v>3169192</v>
      </c>
      <c r="B1001" t="s">
        <v>1070</v>
      </c>
      <c r="C1001" t="s">
        <v>23</v>
      </c>
      <c r="D1001" t="s">
        <v>33</v>
      </c>
      <c r="E1001">
        <v>2</v>
      </c>
      <c r="F1001">
        <v>10000</v>
      </c>
      <c r="H1001">
        <v>1</v>
      </c>
      <c r="I1001">
        <v>13</v>
      </c>
      <c r="J1001">
        <v>6</v>
      </c>
      <c r="K1001">
        <v>1</v>
      </c>
      <c r="L1001">
        <v>0.46150000000000002</v>
      </c>
      <c r="M1001">
        <v>0.33329999999999999</v>
      </c>
      <c r="N1001">
        <v>0.5</v>
      </c>
      <c r="O1001" t="s">
        <v>26</v>
      </c>
      <c r="P1001" t="s">
        <v>26</v>
      </c>
      <c r="Q1001" t="s">
        <v>26</v>
      </c>
      <c r="R1001" t="s">
        <v>26</v>
      </c>
      <c r="S1001" t="s">
        <v>26</v>
      </c>
      <c r="T1001" t="s">
        <v>26</v>
      </c>
      <c r="U1001" t="s">
        <v>26</v>
      </c>
      <c r="V1001">
        <v>1</v>
      </c>
      <c r="W1001">
        <f>E1001/100</f>
        <v>0.02</v>
      </c>
      <c r="X1001">
        <f>F1001/1000000</f>
        <v>0.01</v>
      </c>
      <c r="Y1001">
        <f>IF(D1001="C",1,0)</f>
        <v>1</v>
      </c>
      <c r="Z1001">
        <f>IF(G1001="C",1,0)</f>
        <v>0</v>
      </c>
      <c r="AA1001">
        <f>IF(G1001="S",1,0)</f>
        <v>0</v>
      </c>
      <c r="AB1001">
        <f>IF(G1001="U",1,0)</f>
        <v>0</v>
      </c>
      <c r="AC1001" s="5">
        <f>IF(AND(ISNUMBER(H1001),NOT(ISNUMBER(P1001))),1,0)</f>
        <v>1</v>
      </c>
      <c r="AD1001" s="5">
        <f>IF(AND(ISNUMBER(H1001),ISNUMBER(P1001)),1,0)</f>
        <v>0</v>
      </c>
      <c r="AE1001" s="5">
        <f>W1001</f>
        <v>0.02</v>
      </c>
      <c r="AF1001" s="5">
        <f>X1001</f>
        <v>0.01</v>
      </c>
      <c r="AG1001" s="5">
        <f>Y1001</f>
        <v>1</v>
      </c>
      <c r="AH1001" s="5">
        <f>IF(OR(G1001="C",G1001="S",G1001="U"),1,0)</f>
        <v>0</v>
      </c>
      <c r="AI1001" s="5">
        <f>IF(ISNUMBER(H1001),1,0)</f>
        <v>1</v>
      </c>
      <c r="AJ1001" s="5">
        <f>IF(ISNUMBER(P1001),1,0)</f>
        <v>0</v>
      </c>
      <c r="AK1001" s="5">
        <f>IF(AI1001=1,IF(J1001&gt;0,1,0),"")</f>
        <v>1</v>
      </c>
      <c r="AL1001" s="5" t="str">
        <f>IF(AJ1001=1,IF(OR(Q1001&gt;0,R1001&gt;0),1,0),"")</f>
        <v/>
      </c>
    </row>
    <row r="1002" spans="1:38">
      <c r="A1002">
        <v>3172532</v>
      </c>
      <c r="B1002" t="s">
        <v>1071</v>
      </c>
      <c r="C1002" t="s">
        <v>314</v>
      </c>
      <c r="D1002" t="s">
        <v>24</v>
      </c>
      <c r="E1002">
        <v>13</v>
      </c>
      <c r="F1002">
        <v>1065866</v>
      </c>
      <c r="H1002">
        <v>1</v>
      </c>
      <c r="I1002">
        <v>2</v>
      </c>
      <c r="J1002">
        <v>0</v>
      </c>
      <c r="K1002">
        <v>0</v>
      </c>
      <c r="L1002">
        <v>0</v>
      </c>
      <c r="M1002">
        <v>0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  <c r="S1002" t="s">
        <v>26</v>
      </c>
      <c r="T1002" t="s">
        <v>26</v>
      </c>
      <c r="U1002" t="s">
        <v>26</v>
      </c>
      <c r="V1002">
        <v>0</v>
      </c>
      <c r="W1002">
        <f>E1002/100</f>
        <v>0.13</v>
      </c>
      <c r="X1002">
        <f>F1002/1000000</f>
        <v>1.065866</v>
      </c>
      <c r="Y1002">
        <f>IF(D1002="C",1,0)</f>
        <v>0</v>
      </c>
      <c r="Z1002">
        <f>IF(G1002="C",1,0)</f>
        <v>0</v>
      </c>
      <c r="AA1002">
        <f>IF(G1002="S",1,0)</f>
        <v>0</v>
      </c>
      <c r="AB1002">
        <f>IF(G1002="U",1,0)</f>
        <v>0</v>
      </c>
      <c r="AC1002" s="5">
        <f>IF(AND(ISNUMBER(H1002),NOT(ISNUMBER(P1002))),1,0)</f>
        <v>1</v>
      </c>
      <c r="AD1002" s="5">
        <f>IF(AND(ISNUMBER(H1002),ISNUMBER(P1002)),1,0)</f>
        <v>0</v>
      </c>
      <c r="AE1002" s="5">
        <f>W1002</f>
        <v>0.13</v>
      </c>
      <c r="AF1002" s="5">
        <f>X1002</f>
        <v>1.065866</v>
      </c>
      <c r="AG1002" s="5">
        <f>Y1002</f>
        <v>0</v>
      </c>
      <c r="AH1002" s="5">
        <f>IF(OR(G1002="C",G1002="S",G1002="U"),1,0)</f>
        <v>0</v>
      </c>
      <c r="AI1002" s="5">
        <f>IF(ISNUMBER(H1002),1,0)</f>
        <v>1</v>
      </c>
      <c r="AJ1002" s="5">
        <f>IF(ISNUMBER(P1002),1,0)</f>
        <v>0</v>
      </c>
      <c r="AK1002" s="5">
        <f>IF(AI1002=1,IF(J1002&gt;0,1,0),"")</f>
        <v>0</v>
      </c>
      <c r="AL1002" s="5" t="str">
        <f>IF(AJ1002=1,IF(OR(Q1002&gt;0,R1002&gt;0),1,0),"")</f>
        <v/>
      </c>
    </row>
    <row r="1003" spans="1:38">
      <c r="A1003">
        <v>3177394</v>
      </c>
      <c r="B1003" t="s">
        <v>1072</v>
      </c>
      <c r="C1003" t="s">
        <v>314</v>
      </c>
      <c r="D1003" t="s">
        <v>24</v>
      </c>
      <c r="E1003">
        <v>38</v>
      </c>
      <c r="F1003">
        <v>3400193</v>
      </c>
      <c r="H1003">
        <v>1</v>
      </c>
      <c r="I1003">
        <v>5</v>
      </c>
      <c r="J1003">
        <v>1</v>
      </c>
      <c r="K1003">
        <v>1</v>
      </c>
      <c r="L1003">
        <v>0.2</v>
      </c>
      <c r="M1003" t="s">
        <v>26</v>
      </c>
      <c r="N1003">
        <v>0.2</v>
      </c>
      <c r="O1003" t="s">
        <v>26</v>
      </c>
      <c r="P1003" t="s">
        <v>26</v>
      </c>
      <c r="Q1003" t="s">
        <v>26</v>
      </c>
      <c r="R1003" t="s">
        <v>26</v>
      </c>
      <c r="S1003" t="s">
        <v>26</v>
      </c>
      <c r="T1003" t="s">
        <v>26</v>
      </c>
      <c r="U1003" t="s">
        <v>26</v>
      </c>
      <c r="V1003">
        <v>1</v>
      </c>
      <c r="W1003">
        <f>E1003/100</f>
        <v>0.38</v>
      </c>
      <c r="X1003">
        <f>F1003/1000000</f>
        <v>3.4001929999999998</v>
      </c>
      <c r="Y1003">
        <f>IF(D1003="C",1,0)</f>
        <v>0</v>
      </c>
      <c r="Z1003">
        <f>IF(G1003="C",1,0)</f>
        <v>0</v>
      </c>
      <c r="AA1003">
        <f>IF(G1003="S",1,0)</f>
        <v>0</v>
      </c>
      <c r="AB1003">
        <f>IF(G1003="U",1,0)</f>
        <v>0</v>
      </c>
      <c r="AC1003" s="5">
        <f>IF(AND(ISNUMBER(H1003),NOT(ISNUMBER(P1003))),1,0)</f>
        <v>1</v>
      </c>
      <c r="AD1003" s="5">
        <f>IF(AND(ISNUMBER(H1003),ISNUMBER(P1003)),1,0)</f>
        <v>0</v>
      </c>
      <c r="AE1003" s="5">
        <f>W1003</f>
        <v>0.38</v>
      </c>
      <c r="AF1003" s="5">
        <f>X1003</f>
        <v>3.4001929999999998</v>
      </c>
      <c r="AG1003" s="5">
        <f>Y1003</f>
        <v>0</v>
      </c>
      <c r="AH1003" s="5">
        <f>IF(OR(G1003="C",G1003="S",G1003="U"),1,0)</f>
        <v>0</v>
      </c>
      <c r="AI1003" s="5">
        <f>IF(ISNUMBER(H1003),1,0)</f>
        <v>1</v>
      </c>
      <c r="AJ1003" s="5">
        <f>IF(ISNUMBER(P1003),1,0)</f>
        <v>0</v>
      </c>
      <c r="AK1003" s="5">
        <f>IF(AI1003=1,IF(J1003&gt;0,1,0),"")</f>
        <v>1</v>
      </c>
      <c r="AL1003" s="5" t="str">
        <f>IF(AJ1003=1,IF(OR(Q1003&gt;0,R1003&gt;0),1,0),"")</f>
        <v/>
      </c>
    </row>
    <row r="1004" spans="1:38">
      <c r="A1004">
        <v>3184074</v>
      </c>
      <c r="B1004" t="s">
        <v>1073</v>
      </c>
      <c r="C1004" t="s">
        <v>23</v>
      </c>
      <c r="D1004" t="s">
        <v>33</v>
      </c>
      <c r="E1004">
        <v>11</v>
      </c>
      <c r="F1004">
        <v>6500</v>
      </c>
      <c r="H1004">
        <v>1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0</v>
      </c>
      <c r="O1004" t="s">
        <v>26</v>
      </c>
      <c r="P1004" t="s">
        <v>26</v>
      </c>
      <c r="Q1004" t="s">
        <v>26</v>
      </c>
      <c r="R1004" t="s">
        <v>26</v>
      </c>
      <c r="S1004" t="s">
        <v>26</v>
      </c>
      <c r="T1004" t="s">
        <v>26</v>
      </c>
      <c r="U1004" t="s">
        <v>26</v>
      </c>
      <c r="V1004">
        <v>0</v>
      </c>
      <c r="W1004">
        <f>E1004/100</f>
        <v>0.11</v>
      </c>
      <c r="X1004">
        <f>F1004/1000000</f>
        <v>6.4999999999999997E-3</v>
      </c>
      <c r="Y1004">
        <f>IF(D1004="C",1,0)</f>
        <v>1</v>
      </c>
      <c r="Z1004">
        <f>IF(G1004="C",1,0)</f>
        <v>0</v>
      </c>
      <c r="AA1004">
        <f>IF(G1004="S",1,0)</f>
        <v>0</v>
      </c>
      <c r="AB1004">
        <f>IF(G1004="U",1,0)</f>
        <v>0</v>
      </c>
      <c r="AC1004" s="5">
        <f>IF(AND(ISNUMBER(H1004),NOT(ISNUMBER(P1004))),1,0)</f>
        <v>1</v>
      </c>
      <c r="AD1004" s="5">
        <f>IF(AND(ISNUMBER(H1004),ISNUMBER(P1004)),1,0)</f>
        <v>0</v>
      </c>
      <c r="AE1004" s="5">
        <f>W1004</f>
        <v>0.11</v>
      </c>
      <c r="AF1004" s="5">
        <f>X1004</f>
        <v>6.4999999999999997E-3</v>
      </c>
      <c r="AG1004" s="5">
        <f>Y1004</f>
        <v>1</v>
      </c>
      <c r="AH1004" s="5">
        <f>IF(OR(G1004="C",G1004="S",G1004="U"),1,0)</f>
        <v>0</v>
      </c>
      <c r="AI1004" s="5">
        <f>IF(ISNUMBER(H1004),1,0)</f>
        <v>1</v>
      </c>
      <c r="AJ1004" s="5">
        <f>IF(ISNUMBER(P1004),1,0)</f>
        <v>0</v>
      </c>
      <c r="AK1004" s="5">
        <f>IF(AI1004=1,IF(J1004&gt;0,1,0),"")</f>
        <v>0</v>
      </c>
      <c r="AL1004" s="5" t="str">
        <f>IF(AJ1004=1,IF(OR(Q1004&gt;0,R1004&gt;0),1,0),"")</f>
        <v/>
      </c>
    </row>
    <row r="1005" spans="1:38">
      <c r="A1005">
        <v>3219666</v>
      </c>
      <c r="B1005" t="s">
        <v>1074</v>
      </c>
      <c r="C1005" t="s">
        <v>23</v>
      </c>
      <c r="D1005" t="s">
        <v>24</v>
      </c>
      <c r="E1005">
        <v>52</v>
      </c>
      <c r="F1005">
        <v>1117000</v>
      </c>
      <c r="H1005">
        <v>1</v>
      </c>
      <c r="I1005">
        <v>1</v>
      </c>
      <c r="J1005">
        <v>0</v>
      </c>
      <c r="K1005">
        <v>0</v>
      </c>
      <c r="L1005">
        <v>0</v>
      </c>
      <c r="M1005" t="s">
        <v>26</v>
      </c>
      <c r="N1005">
        <v>0</v>
      </c>
      <c r="O1005" t="s">
        <v>26</v>
      </c>
      <c r="P1005" t="s">
        <v>26</v>
      </c>
      <c r="Q1005" t="s">
        <v>26</v>
      </c>
      <c r="R1005" t="s">
        <v>26</v>
      </c>
      <c r="S1005" t="s">
        <v>26</v>
      </c>
      <c r="T1005" t="s">
        <v>26</v>
      </c>
      <c r="U1005" t="s">
        <v>26</v>
      </c>
      <c r="V1005">
        <v>0</v>
      </c>
      <c r="W1005">
        <f>E1005/100</f>
        <v>0.52</v>
      </c>
      <c r="X1005">
        <f>F1005/1000000</f>
        <v>1.117</v>
      </c>
      <c r="Y1005">
        <f>IF(D1005="C",1,0)</f>
        <v>0</v>
      </c>
      <c r="Z1005">
        <f>IF(G1005="C",1,0)</f>
        <v>0</v>
      </c>
      <c r="AA1005">
        <f>IF(G1005="S",1,0)</f>
        <v>0</v>
      </c>
      <c r="AB1005">
        <f>IF(G1005="U",1,0)</f>
        <v>0</v>
      </c>
      <c r="AC1005" s="5">
        <f>IF(AND(ISNUMBER(H1005),NOT(ISNUMBER(P1005))),1,0)</f>
        <v>1</v>
      </c>
      <c r="AD1005" s="5">
        <f>IF(AND(ISNUMBER(H1005),ISNUMBER(P1005)),1,0)</f>
        <v>0</v>
      </c>
      <c r="AE1005" s="5">
        <f>W1005</f>
        <v>0.52</v>
      </c>
      <c r="AF1005" s="5">
        <f>X1005</f>
        <v>1.117</v>
      </c>
      <c r="AG1005" s="5">
        <f>Y1005</f>
        <v>0</v>
      </c>
      <c r="AH1005" s="5">
        <f>IF(OR(G1005="C",G1005="S",G1005="U"),1,0)</f>
        <v>0</v>
      </c>
      <c r="AI1005" s="5">
        <f>IF(ISNUMBER(H1005),1,0)</f>
        <v>1</v>
      </c>
      <c r="AJ1005" s="5">
        <f>IF(ISNUMBER(P1005),1,0)</f>
        <v>0</v>
      </c>
      <c r="AK1005" s="5">
        <f>IF(AI1005=1,IF(J1005&gt;0,1,0),"")</f>
        <v>0</v>
      </c>
      <c r="AL1005" s="5" t="str">
        <f>IF(AJ1005=1,IF(OR(Q1005&gt;0,R1005&gt;0),1,0),"")</f>
        <v/>
      </c>
    </row>
    <row r="1006" spans="1:38">
      <c r="A1006">
        <v>3221883</v>
      </c>
      <c r="B1006" t="s">
        <v>1075</v>
      </c>
      <c r="C1006" t="s">
        <v>1076</v>
      </c>
      <c r="D1006" t="s">
        <v>24</v>
      </c>
      <c r="E1006">
        <v>17</v>
      </c>
      <c r="F1006">
        <v>900000</v>
      </c>
      <c r="H1006">
        <v>1</v>
      </c>
      <c r="I1006">
        <v>3</v>
      </c>
      <c r="J1006">
        <v>0</v>
      </c>
      <c r="K1006">
        <v>0</v>
      </c>
      <c r="L1006">
        <v>0</v>
      </c>
      <c r="M1006">
        <v>0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  <c r="S1006" t="s">
        <v>26</v>
      </c>
      <c r="T1006" t="s">
        <v>26</v>
      </c>
      <c r="U1006" t="s">
        <v>26</v>
      </c>
      <c r="V1006">
        <v>0</v>
      </c>
      <c r="W1006">
        <f>E1006/100</f>
        <v>0.17</v>
      </c>
      <c r="X1006">
        <f>F1006/1000000</f>
        <v>0.9</v>
      </c>
      <c r="Y1006">
        <f>IF(D1006="C",1,0)</f>
        <v>0</v>
      </c>
      <c r="Z1006">
        <f>IF(G1006="C",1,0)</f>
        <v>0</v>
      </c>
      <c r="AA1006">
        <f>IF(G1006="S",1,0)</f>
        <v>0</v>
      </c>
      <c r="AB1006">
        <f>IF(G1006="U",1,0)</f>
        <v>0</v>
      </c>
      <c r="AC1006" s="5">
        <f>IF(AND(ISNUMBER(H1006),NOT(ISNUMBER(P1006))),1,0)</f>
        <v>1</v>
      </c>
      <c r="AD1006" s="5">
        <f>IF(AND(ISNUMBER(H1006),ISNUMBER(P1006)),1,0)</f>
        <v>0</v>
      </c>
      <c r="AE1006" s="5">
        <f>W1006</f>
        <v>0.17</v>
      </c>
      <c r="AF1006" s="5">
        <f>X1006</f>
        <v>0.9</v>
      </c>
      <c r="AG1006" s="5">
        <f>Y1006</f>
        <v>0</v>
      </c>
      <c r="AH1006" s="5">
        <f>IF(OR(G1006="C",G1006="S",G1006="U"),1,0)</f>
        <v>0</v>
      </c>
      <c r="AI1006" s="5">
        <f>IF(ISNUMBER(H1006),1,0)</f>
        <v>1</v>
      </c>
      <c r="AJ1006" s="5">
        <f>IF(ISNUMBER(P1006),1,0)</f>
        <v>0</v>
      </c>
      <c r="AK1006" s="5">
        <f>IF(AI1006=1,IF(J1006&gt;0,1,0),"")</f>
        <v>0</v>
      </c>
      <c r="AL1006" s="5" t="str">
        <f>IF(AJ1006=1,IF(OR(Q1006&gt;0,R1006&gt;0),1,0),"")</f>
        <v/>
      </c>
    </row>
    <row r="1007" spans="1:38">
      <c r="A1007">
        <v>3238091</v>
      </c>
      <c r="B1007" t="s">
        <v>1077</v>
      </c>
      <c r="C1007" t="s">
        <v>23</v>
      </c>
      <c r="D1007" t="s">
        <v>33</v>
      </c>
      <c r="E1007">
        <v>3</v>
      </c>
      <c r="F1007">
        <v>40000</v>
      </c>
      <c r="H1007">
        <v>1</v>
      </c>
      <c r="I1007">
        <v>4</v>
      </c>
      <c r="J1007">
        <v>1</v>
      </c>
      <c r="K1007">
        <v>1</v>
      </c>
      <c r="L1007">
        <v>0.25</v>
      </c>
      <c r="M1007">
        <v>0.33329999999999999</v>
      </c>
      <c r="N1007">
        <v>0</v>
      </c>
      <c r="O1007" t="s">
        <v>26</v>
      </c>
      <c r="P1007" t="s">
        <v>26</v>
      </c>
      <c r="Q1007" t="s">
        <v>26</v>
      </c>
      <c r="R1007" t="s">
        <v>26</v>
      </c>
      <c r="S1007" t="s">
        <v>26</v>
      </c>
      <c r="T1007" t="s">
        <v>26</v>
      </c>
      <c r="U1007" t="s">
        <v>26</v>
      </c>
      <c r="V1007">
        <v>1</v>
      </c>
      <c r="W1007">
        <f>E1007/100</f>
        <v>0.03</v>
      </c>
      <c r="X1007">
        <f>F1007/1000000</f>
        <v>0.04</v>
      </c>
      <c r="Y1007">
        <f>IF(D1007="C",1,0)</f>
        <v>1</v>
      </c>
      <c r="Z1007">
        <f>IF(G1007="C",1,0)</f>
        <v>0</v>
      </c>
      <c r="AA1007">
        <f>IF(G1007="S",1,0)</f>
        <v>0</v>
      </c>
      <c r="AB1007">
        <f>IF(G1007="U",1,0)</f>
        <v>0</v>
      </c>
      <c r="AC1007" s="5">
        <f>IF(AND(ISNUMBER(H1007),NOT(ISNUMBER(P1007))),1,0)</f>
        <v>1</v>
      </c>
      <c r="AD1007" s="5">
        <f>IF(AND(ISNUMBER(H1007),ISNUMBER(P1007)),1,0)</f>
        <v>0</v>
      </c>
      <c r="AE1007" s="5">
        <f>W1007</f>
        <v>0.03</v>
      </c>
      <c r="AF1007" s="5">
        <f>X1007</f>
        <v>0.04</v>
      </c>
      <c r="AG1007" s="5">
        <f>Y1007</f>
        <v>1</v>
      </c>
      <c r="AH1007" s="5">
        <f>IF(OR(G1007="C",G1007="S",G1007="U"),1,0)</f>
        <v>0</v>
      </c>
      <c r="AI1007" s="5">
        <f>IF(ISNUMBER(H1007),1,0)</f>
        <v>1</v>
      </c>
      <c r="AJ1007" s="5">
        <f>IF(ISNUMBER(P1007),1,0)</f>
        <v>0</v>
      </c>
      <c r="AK1007" s="5">
        <f>IF(AI1007=1,IF(J1007&gt;0,1,0),"")</f>
        <v>1</v>
      </c>
      <c r="AL1007" s="5" t="str">
        <f>IF(AJ1007=1,IF(OR(Q1007&gt;0,R1007&gt;0),1,0),"")</f>
        <v/>
      </c>
    </row>
    <row r="1008" spans="1:38">
      <c r="A1008">
        <v>3239701</v>
      </c>
      <c r="B1008" t="s">
        <v>1078</v>
      </c>
      <c r="C1008" t="s">
        <v>23</v>
      </c>
      <c r="D1008" t="s">
        <v>24</v>
      </c>
      <c r="E1008">
        <v>12</v>
      </c>
      <c r="F1008">
        <v>1400000</v>
      </c>
      <c r="H1008">
        <v>1</v>
      </c>
      <c r="I1008">
        <v>0</v>
      </c>
      <c r="J1008">
        <v>0</v>
      </c>
      <c r="K1008">
        <v>0</v>
      </c>
      <c r="L1008" t="s">
        <v>26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  <c r="S1008" t="s">
        <v>26</v>
      </c>
      <c r="T1008" t="s">
        <v>26</v>
      </c>
      <c r="U1008" t="s">
        <v>26</v>
      </c>
      <c r="V1008">
        <v>0</v>
      </c>
      <c r="W1008">
        <f>E1008/100</f>
        <v>0.12</v>
      </c>
      <c r="X1008">
        <f>F1008/1000000</f>
        <v>1.4</v>
      </c>
      <c r="Y1008">
        <f>IF(D1008="C",1,0)</f>
        <v>0</v>
      </c>
      <c r="Z1008">
        <f>IF(G1008="C",1,0)</f>
        <v>0</v>
      </c>
      <c r="AA1008">
        <f>IF(G1008="S",1,0)</f>
        <v>0</v>
      </c>
      <c r="AB1008">
        <f>IF(G1008="U",1,0)</f>
        <v>0</v>
      </c>
      <c r="AC1008" s="5">
        <f>IF(AND(ISNUMBER(H1008),NOT(ISNUMBER(P1008))),1,0)</f>
        <v>1</v>
      </c>
      <c r="AD1008" s="5">
        <f>IF(AND(ISNUMBER(H1008),ISNUMBER(P1008)),1,0)</f>
        <v>0</v>
      </c>
      <c r="AE1008" s="5">
        <f>W1008</f>
        <v>0.12</v>
      </c>
      <c r="AF1008" s="5">
        <f>X1008</f>
        <v>1.4</v>
      </c>
      <c r="AG1008" s="5">
        <f>Y1008</f>
        <v>0</v>
      </c>
      <c r="AH1008" s="5">
        <f>IF(OR(G1008="C",G1008="S",G1008="U"),1,0)</f>
        <v>0</v>
      </c>
      <c r="AI1008" s="5">
        <f>IF(ISNUMBER(H1008),1,0)</f>
        <v>1</v>
      </c>
      <c r="AJ1008" s="5">
        <f>IF(ISNUMBER(P1008),1,0)</f>
        <v>0</v>
      </c>
      <c r="AK1008" s="5">
        <f>IF(AI1008=1,IF(J1008&gt;0,1,0),"")</f>
        <v>0</v>
      </c>
      <c r="AL1008" s="5" t="str">
        <f>IF(AJ1008=1,IF(OR(Q1008&gt;0,R1008&gt;0),1,0),"")</f>
        <v/>
      </c>
    </row>
    <row r="1009" spans="1:38">
      <c r="A1009">
        <v>3269610</v>
      </c>
      <c r="B1009" t="s">
        <v>1079</v>
      </c>
      <c r="C1009" t="s">
        <v>23</v>
      </c>
      <c r="D1009" t="s">
        <v>24</v>
      </c>
      <c r="E1009">
        <v>7</v>
      </c>
      <c r="F1009">
        <v>175981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  <c r="S1009" t="s">
        <v>26</v>
      </c>
      <c r="T1009" t="s">
        <v>26</v>
      </c>
      <c r="U1009" t="s">
        <v>26</v>
      </c>
      <c r="V1009">
        <v>0</v>
      </c>
      <c r="W1009">
        <f>E1009/100</f>
        <v>7.0000000000000007E-2</v>
      </c>
      <c r="X1009">
        <f>F1009/1000000</f>
        <v>0.175981</v>
      </c>
      <c r="Y1009">
        <f>IF(D1009="C",1,0)</f>
        <v>0</v>
      </c>
      <c r="Z1009">
        <f>IF(G1009="C",1,0)</f>
        <v>0</v>
      </c>
      <c r="AA1009">
        <f>IF(G1009="S",1,0)</f>
        <v>0</v>
      </c>
      <c r="AB1009">
        <f>IF(G1009="U",1,0)</f>
        <v>0</v>
      </c>
      <c r="AC1009" s="5">
        <f>IF(AND(ISNUMBER(H1009),NOT(ISNUMBER(P1009))),1,0)</f>
        <v>1</v>
      </c>
      <c r="AD1009" s="5">
        <f>IF(AND(ISNUMBER(H1009),ISNUMBER(P1009)),1,0)</f>
        <v>0</v>
      </c>
      <c r="AE1009" s="5">
        <f>W1009</f>
        <v>7.0000000000000007E-2</v>
      </c>
      <c r="AF1009" s="5">
        <f>X1009</f>
        <v>0.175981</v>
      </c>
      <c r="AG1009" s="5">
        <f>Y1009</f>
        <v>0</v>
      </c>
      <c r="AH1009" s="5">
        <f>IF(OR(G1009="C",G1009="S",G1009="U"),1,0)</f>
        <v>0</v>
      </c>
      <c r="AI1009" s="5">
        <f>IF(ISNUMBER(H1009),1,0)</f>
        <v>1</v>
      </c>
      <c r="AJ1009" s="5">
        <f>IF(ISNUMBER(P1009),1,0)</f>
        <v>0</v>
      </c>
      <c r="AK1009" s="5">
        <f>IF(AI1009=1,IF(J1009&gt;0,1,0),"")</f>
        <v>0</v>
      </c>
      <c r="AL1009" s="5" t="str">
        <f>IF(AJ1009=1,IF(OR(Q1009&gt;0,R1009&gt;0),1,0),"")</f>
        <v/>
      </c>
    </row>
    <row r="1010" spans="1:38">
      <c r="A1010">
        <v>3270279</v>
      </c>
      <c r="B1010" t="s">
        <v>1080</v>
      </c>
      <c r="C1010" t="s">
        <v>183</v>
      </c>
      <c r="D1010" t="s">
        <v>24</v>
      </c>
      <c r="E1010">
        <v>1</v>
      </c>
      <c r="F1010">
        <v>38000</v>
      </c>
      <c r="H1010">
        <v>1</v>
      </c>
      <c r="I1010">
        <v>6</v>
      </c>
      <c r="J1010">
        <v>2</v>
      </c>
      <c r="K1010">
        <v>1</v>
      </c>
      <c r="L1010">
        <v>0.33329999999999999</v>
      </c>
      <c r="M1010">
        <v>1</v>
      </c>
      <c r="N1010">
        <v>0</v>
      </c>
      <c r="O1010" t="s">
        <v>26</v>
      </c>
      <c r="P1010" t="s">
        <v>26</v>
      </c>
      <c r="Q1010" t="s">
        <v>26</v>
      </c>
      <c r="R1010" t="s">
        <v>26</v>
      </c>
      <c r="S1010" t="s">
        <v>26</v>
      </c>
      <c r="T1010" t="s">
        <v>26</v>
      </c>
      <c r="U1010" t="s">
        <v>26</v>
      </c>
      <c r="V1010">
        <v>1</v>
      </c>
      <c r="W1010">
        <f>E1010/100</f>
        <v>0.01</v>
      </c>
      <c r="X1010">
        <f>F1010/1000000</f>
        <v>3.7999999999999999E-2</v>
      </c>
      <c r="Y1010">
        <f>IF(D1010="C",1,0)</f>
        <v>0</v>
      </c>
      <c r="Z1010">
        <f>IF(G1010="C",1,0)</f>
        <v>0</v>
      </c>
      <c r="AA1010">
        <f>IF(G1010="S",1,0)</f>
        <v>0</v>
      </c>
      <c r="AB1010">
        <f>IF(G1010="U",1,0)</f>
        <v>0</v>
      </c>
      <c r="AC1010" s="5">
        <f>IF(AND(ISNUMBER(H1010),NOT(ISNUMBER(P1010))),1,0)</f>
        <v>1</v>
      </c>
      <c r="AD1010" s="5">
        <f>IF(AND(ISNUMBER(H1010),ISNUMBER(P1010)),1,0)</f>
        <v>0</v>
      </c>
      <c r="AE1010" s="5">
        <f>W1010</f>
        <v>0.01</v>
      </c>
      <c r="AF1010" s="5">
        <f>X1010</f>
        <v>3.7999999999999999E-2</v>
      </c>
      <c r="AG1010" s="5">
        <f>Y1010</f>
        <v>0</v>
      </c>
      <c r="AH1010" s="5">
        <f>IF(OR(G1010="C",G1010="S",G1010="U"),1,0)</f>
        <v>0</v>
      </c>
      <c r="AI1010" s="5">
        <f>IF(ISNUMBER(H1010),1,0)</f>
        <v>1</v>
      </c>
      <c r="AJ1010" s="5">
        <f>IF(ISNUMBER(P1010),1,0)</f>
        <v>0</v>
      </c>
      <c r="AK1010" s="5">
        <f>IF(AI1010=1,IF(J1010&gt;0,1,0),"")</f>
        <v>1</v>
      </c>
      <c r="AL1010" s="5" t="str">
        <f>IF(AJ1010=1,IF(OR(Q1010&gt;0,R1010&gt;0),1,0),"")</f>
        <v/>
      </c>
    </row>
    <row r="1011" spans="1:38">
      <c r="A1011">
        <v>3285515</v>
      </c>
      <c r="B1011" t="s">
        <v>1081</v>
      </c>
      <c r="C1011" t="s">
        <v>23</v>
      </c>
      <c r="D1011" t="s">
        <v>24</v>
      </c>
      <c r="E1011">
        <v>12</v>
      </c>
      <c r="F1011">
        <v>319442</v>
      </c>
      <c r="H1011">
        <v>1</v>
      </c>
      <c r="I1011">
        <v>6</v>
      </c>
      <c r="J1011">
        <v>2</v>
      </c>
      <c r="K1011">
        <v>1</v>
      </c>
      <c r="L1011">
        <v>0.33329999999999999</v>
      </c>
      <c r="M1011" t="s">
        <v>26</v>
      </c>
      <c r="N1011">
        <v>0.33329999999999999</v>
      </c>
      <c r="O1011" t="s">
        <v>26</v>
      </c>
      <c r="P1011" t="s">
        <v>26</v>
      </c>
      <c r="Q1011" t="s">
        <v>26</v>
      </c>
      <c r="R1011" t="s">
        <v>26</v>
      </c>
      <c r="S1011" t="s">
        <v>26</v>
      </c>
      <c r="T1011" t="s">
        <v>26</v>
      </c>
      <c r="U1011" t="s">
        <v>26</v>
      </c>
      <c r="V1011">
        <v>1</v>
      </c>
      <c r="W1011">
        <f>E1011/100</f>
        <v>0.12</v>
      </c>
      <c r="X1011">
        <f>F1011/1000000</f>
        <v>0.319442</v>
      </c>
      <c r="Y1011">
        <f>IF(D1011="C",1,0)</f>
        <v>0</v>
      </c>
      <c r="Z1011">
        <f>IF(G1011="C",1,0)</f>
        <v>0</v>
      </c>
      <c r="AA1011">
        <f>IF(G1011="S",1,0)</f>
        <v>0</v>
      </c>
      <c r="AB1011">
        <f>IF(G1011="U",1,0)</f>
        <v>0</v>
      </c>
      <c r="AC1011" s="5">
        <f>IF(AND(ISNUMBER(H1011),NOT(ISNUMBER(P1011))),1,0)</f>
        <v>1</v>
      </c>
      <c r="AD1011" s="5">
        <f>IF(AND(ISNUMBER(H1011),ISNUMBER(P1011)),1,0)</f>
        <v>0</v>
      </c>
      <c r="AE1011" s="5">
        <f>W1011</f>
        <v>0.12</v>
      </c>
      <c r="AF1011" s="5">
        <f>X1011</f>
        <v>0.319442</v>
      </c>
      <c r="AG1011" s="5">
        <f>Y1011</f>
        <v>0</v>
      </c>
      <c r="AH1011" s="5">
        <f>IF(OR(G1011="C",G1011="S",G1011="U"),1,0)</f>
        <v>0</v>
      </c>
      <c r="AI1011" s="5">
        <f>IF(ISNUMBER(H1011),1,0)</f>
        <v>1</v>
      </c>
      <c r="AJ1011" s="5">
        <f>IF(ISNUMBER(P1011),1,0)</f>
        <v>0</v>
      </c>
      <c r="AK1011" s="5">
        <f>IF(AI1011=1,IF(J1011&gt;0,1,0),"")</f>
        <v>1</v>
      </c>
      <c r="AL1011" s="5" t="str">
        <f>IF(AJ1011=1,IF(OR(Q1011&gt;0,R1011&gt;0),1,0),"")</f>
        <v/>
      </c>
    </row>
    <row r="1012" spans="1:38">
      <c r="A1012">
        <v>3309824</v>
      </c>
      <c r="B1012" t="s">
        <v>1082</v>
      </c>
      <c r="C1012" t="s">
        <v>370</v>
      </c>
      <c r="D1012" t="s">
        <v>24</v>
      </c>
      <c r="E1012">
        <v>145</v>
      </c>
      <c r="F1012">
        <v>4350000</v>
      </c>
      <c r="H1012">
        <v>1</v>
      </c>
      <c r="I1012">
        <v>0</v>
      </c>
      <c r="J1012">
        <v>0</v>
      </c>
      <c r="K1012">
        <v>0</v>
      </c>
      <c r="L1012" t="s">
        <v>26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  <c r="S1012" t="s">
        <v>26</v>
      </c>
      <c r="T1012" t="s">
        <v>26</v>
      </c>
      <c r="U1012" t="s">
        <v>26</v>
      </c>
      <c r="V1012">
        <v>0</v>
      </c>
      <c r="W1012">
        <f>E1012/100</f>
        <v>1.45</v>
      </c>
      <c r="X1012">
        <f>F1012/1000000</f>
        <v>4.3499999999999996</v>
      </c>
      <c r="Y1012">
        <f>IF(D1012="C",1,0)</f>
        <v>0</v>
      </c>
      <c r="Z1012">
        <f>IF(G1012="C",1,0)</f>
        <v>0</v>
      </c>
      <c r="AA1012">
        <f>IF(G1012="S",1,0)</f>
        <v>0</v>
      </c>
      <c r="AB1012">
        <f>IF(G1012="U",1,0)</f>
        <v>0</v>
      </c>
      <c r="AC1012" s="5">
        <f>IF(AND(ISNUMBER(H1012),NOT(ISNUMBER(P1012))),1,0)</f>
        <v>1</v>
      </c>
      <c r="AD1012" s="5">
        <f>IF(AND(ISNUMBER(H1012),ISNUMBER(P1012)),1,0)</f>
        <v>0</v>
      </c>
      <c r="AE1012" s="5">
        <f>W1012</f>
        <v>1.45</v>
      </c>
      <c r="AF1012" s="5">
        <f>X1012</f>
        <v>4.3499999999999996</v>
      </c>
      <c r="AG1012" s="5">
        <f>Y1012</f>
        <v>0</v>
      </c>
      <c r="AH1012" s="5">
        <f>IF(OR(G1012="C",G1012="S",G1012="U"),1,0)</f>
        <v>0</v>
      </c>
      <c r="AI1012" s="5">
        <f>IF(ISNUMBER(H1012),1,0)</f>
        <v>1</v>
      </c>
      <c r="AJ1012" s="5">
        <f>IF(ISNUMBER(P1012),1,0)</f>
        <v>0</v>
      </c>
      <c r="AK1012" s="5">
        <f>IF(AI1012=1,IF(J1012&gt;0,1,0),"")</f>
        <v>0</v>
      </c>
      <c r="AL1012" s="5" t="str">
        <f>IF(AJ1012=1,IF(OR(Q1012&gt;0,R1012&gt;0),1,0),"")</f>
        <v/>
      </c>
    </row>
    <row r="1013" spans="1:38">
      <c r="A1013">
        <v>3310076</v>
      </c>
      <c r="B1013" t="s">
        <v>1083</v>
      </c>
      <c r="C1013" t="s">
        <v>105</v>
      </c>
      <c r="D1013" t="s">
        <v>24</v>
      </c>
      <c r="E1013">
        <v>1</v>
      </c>
      <c r="F1013">
        <v>12000</v>
      </c>
      <c r="H1013">
        <v>1</v>
      </c>
      <c r="I1013">
        <v>0</v>
      </c>
      <c r="J1013">
        <v>0</v>
      </c>
      <c r="K1013">
        <v>0</v>
      </c>
      <c r="L1013" t="s">
        <v>26</v>
      </c>
      <c r="M1013" t="s">
        <v>26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  <c r="S1013" t="s">
        <v>26</v>
      </c>
      <c r="T1013" t="s">
        <v>26</v>
      </c>
      <c r="U1013" t="s">
        <v>26</v>
      </c>
      <c r="V1013">
        <v>0</v>
      </c>
      <c r="W1013">
        <f>E1013/100</f>
        <v>0.01</v>
      </c>
      <c r="X1013">
        <f>F1013/1000000</f>
        <v>1.2E-2</v>
      </c>
      <c r="Y1013">
        <f>IF(D1013="C",1,0)</f>
        <v>0</v>
      </c>
      <c r="Z1013">
        <f>IF(G1013="C",1,0)</f>
        <v>0</v>
      </c>
      <c r="AA1013">
        <f>IF(G1013="S",1,0)</f>
        <v>0</v>
      </c>
      <c r="AB1013">
        <f>IF(G1013="U",1,0)</f>
        <v>0</v>
      </c>
      <c r="AC1013" s="5">
        <f>IF(AND(ISNUMBER(H1013),NOT(ISNUMBER(P1013))),1,0)</f>
        <v>1</v>
      </c>
      <c r="AD1013" s="5">
        <f>IF(AND(ISNUMBER(H1013),ISNUMBER(P1013)),1,0)</f>
        <v>0</v>
      </c>
      <c r="AE1013" s="5">
        <f>W1013</f>
        <v>0.01</v>
      </c>
      <c r="AF1013" s="5">
        <f>X1013</f>
        <v>1.2E-2</v>
      </c>
      <c r="AG1013" s="5">
        <f>Y1013</f>
        <v>0</v>
      </c>
      <c r="AH1013" s="5">
        <f>IF(OR(G1013="C",G1013="S",G1013="U"),1,0)</f>
        <v>0</v>
      </c>
      <c r="AI1013" s="5">
        <f>IF(ISNUMBER(H1013),1,0)</f>
        <v>1</v>
      </c>
      <c r="AJ1013" s="5">
        <f>IF(ISNUMBER(P1013),1,0)</f>
        <v>0</v>
      </c>
      <c r="AK1013" s="5">
        <f>IF(AI1013=1,IF(J1013&gt;0,1,0),"")</f>
        <v>0</v>
      </c>
      <c r="AL1013" s="5" t="str">
        <f>IF(AJ1013=1,IF(OR(Q1013&gt;0,R1013&gt;0),1,0),"")</f>
        <v/>
      </c>
    </row>
    <row r="1014" spans="1:38">
      <c r="A1014">
        <v>3313923</v>
      </c>
      <c r="B1014" t="s">
        <v>1084</v>
      </c>
      <c r="C1014" t="s">
        <v>159</v>
      </c>
      <c r="D1014" t="s">
        <v>24</v>
      </c>
      <c r="E1014">
        <v>19</v>
      </c>
      <c r="F1014">
        <v>1688145</v>
      </c>
      <c r="H1014">
        <v>1</v>
      </c>
      <c r="I1014">
        <v>4</v>
      </c>
      <c r="J1014">
        <v>1</v>
      </c>
      <c r="K1014">
        <v>1</v>
      </c>
      <c r="L1014">
        <v>0.25</v>
      </c>
      <c r="M1014">
        <v>0.33329999999999999</v>
      </c>
      <c r="N1014">
        <v>0</v>
      </c>
      <c r="O1014" t="s">
        <v>26</v>
      </c>
      <c r="P1014" t="s">
        <v>26</v>
      </c>
      <c r="Q1014" t="s">
        <v>26</v>
      </c>
      <c r="R1014" t="s">
        <v>26</v>
      </c>
      <c r="S1014" t="s">
        <v>26</v>
      </c>
      <c r="T1014" t="s">
        <v>26</v>
      </c>
      <c r="U1014" t="s">
        <v>26</v>
      </c>
      <c r="V1014">
        <v>1</v>
      </c>
      <c r="W1014">
        <f>E1014/100</f>
        <v>0.19</v>
      </c>
      <c r="X1014">
        <f>F1014/1000000</f>
        <v>1.688145</v>
      </c>
      <c r="Y1014">
        <f>IF(D1014="C",1,0)</f>
        <v>0</v>
      </c>
      <c r="Z1014">
        <f>IF(G1014="C",1,0)</f>
        <v>0</v>
      </c>
      <c r="AA1014">
        <f>IF(G1014="S",1,0)</f>
        <v>0</v>
      </c>
      <c r="AB1014">
        <f>IF(G1014="U",1,0)</f>
        <v>0</v>
      </c>
      <c r="AC1014" s="5">
        <f>IF(AND(ISNUMBER(H1014),NOT(ISNUMBER(P1014))),1,0)</f>
        <v>1</v>
      </c>
      <c r="AD1014" s="5">
        <f>IF(AND(ISNUMBER(H1014),ISNUMBER(P1014)),1,0)</f>
        <v>0</v>
      </c>
      <c r="AE1014" s="5">
        <f>W1014</f>
        <v>0.19</v>
      </c>
      <c r="AF1014" s="5">
        <f>X1014</f>
        <v>1.688145</v>
      </c>
      <c r="AG1014" s="5">
        <f>Y1014</f>
        <v>0</v>
      </c>
      <c r="AH1014" s="5">
        <f>IF(OR(G1014="C",G1014="S",G1014="U"),1,0)</f>
        <v>0</v>
      </c>
      <c r="AI1014" s="5">
        <f>IF(ISNUMBER(H1014),1,0)</f>
        <v>1</v>
      </c>
      <c r="AJ1014" s="5">
        <f>IF(ISNUMBER(P1014),1,0)</f>
        <v>0</v>
      </c>
      <c r="AK1014" s="5">
        <f>IF(AI1014=1,IF(J1014&gt;0,1,0),"")</f>
        <v>1</v>
      </c>
      <c r="AL1014" s="5" t="str">
        <f>IF(AJ1014=1,IF(OR(Q1014&gt;0,R1014&gt;0),1,0),"")</f>
        <v/>
      </c>
    </row>
    <row r="1015" spans="1:38">
      <c r="A1015">
        <v>3314690</v>
      </c>
      <c r="B1015" t="s">
        <v>1085</v>
      </c>
      <c r="C1015" t="s">
        <v>30</v>
      </c>
      <c r="D1015" t="s">
        <v>24</v>
      </c>
      <c r="E1015">
        <v>12</v>
      </c>
      <c r="F1015">
        <v>235423</v>
      </c>
      <c r="H1015">
        <v>1</v>
      </c>
      <c r="I1015">
        <v>6</v>
      </c>
      <c r="J1015">
        <v>1</v>
      </c>
      <c r="K1015">
        <v>1</v>
      </c>
      <c r="L1015">
        <v>0.16669999999999999</v>
      </c>
      <c r="M1015">
        <v>0.25</v>
      </c>
      <c r="N1015">
        <v>0</v>
      </c>
      <c r="O1015" t="s">
        <v>26</v>
      </c>
      <c r="P1015" t="s">
        <v>26</v>
      </c>
      <c r="Q1015" t="s">
        <v>26</v>
      </c>
      <c r="R1015" t="s">
        <v>26</v>
      </c>
      <c r="S1015" t="s">
        <v>26</v>
      </c>
      <c r="T1015" t="s">
        <v>26</v>
      </c>
      <c r="U1015" t="s">
        <v>26</v>
      </c>
      <c r="V1015">
        <v>1</v>
      </c>
      <c r="W1015">
        <f>E1015/100</f>
        <v>0.12</v>
      </c>
      <c r="X1015">
        <f>F1015/1000000</f>
        <v>0.23542299999999999</v>
      </c>
      <c r="Y1015">
        <f>IF(D1015="C",1,0)</f>
        <v>0</v>
      </c>
      <c r="Z1015">
        <f>IF(G1015="C",1,0)</f>
        <v>0</v>
      </c>
      <c r="AA1015">
        <f>IF(G1015="S",1,0)</f>
        <v>0</v>
      </c>
      <c r="AB1015">
        <f>IF(G1015="U",1,0)</f>
        <v>0</v>
      </c>
      <c r="AC1015" s="5">
        <f>IF(AND(ISNUMBER(H1015),NOT(ISNUMBER(P1015))),1,0)</f>
        <v>1</v>
      </c>
      <c r="AD1015" s="5">
        <f>IF(AND(ISNUMBER(H1015),ISNUMBER(P1015)),1,0)</f>
        <v>0</v>
      </c>
      <c r="AE1015" s="5">
        <f>W1015</f>
        <v>0.12</v>
      </c>
      <c r="AF1015" s="5">
        <f>X1015</f>
        <v>0.23542299999999999</v>
      </c>
      <c r="AG1015" s="5">
        <f>Y1015</f>
        <v>0</v>
      </c>
      <c r="AH1015" s="5">
        <f>IF(OR(G1015="C",G1015="S",G1015="U"),1,0)</f>
        <v>0</v>
      </c>
      <c r="AI1015" s="5">
        <f>IF(ISNUMBER(H1015),1,0)</f>
        <v>1</v>
      </c>
      <c r="AJ1015" s="5">
        <f>IF(ISNUMBER(P1015),1,0)</f>
        <v>0</v>
      </c>
      <c r="AK1015" s="5">
        <f>IF(AI1015=1,IF(J1015&gt;0,1,0),"")</f>
        <v>1</v>
      </c>
      <c r="AL1015" s="5" t="str">
        <f>IF(AJ1015=1,IF(OR(Q1015&gt;0,R1015&gt;0),1,0),"")</f>
        <v/>
      </c>
    </row>
    <row r="1016" spans="1:38">
      <c r="A1016">
        <v>3315006</v>
      </c>
      <c r="B1016" t="s">
        <v>1086</v>
      </c>
      <c r="C1016" t="s">
        <v>77</v>
      </c>
      <c r="D1016" t="s">
        <v>24</v>
      </c>
      <c r="E1016">
        <v>70</v>
      </c>
      <c r="F1016">
        <v>8191178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  <c r="S1016" t="s">
        <v>26</v>
      </c>
      <c r="T1016" t="s">
        <v>26</v>
      </c>
      <c r="U1016" t="s">
        <v>26</v>
      </c>
      <c r="V1016">
        <v>0</v>
      </c>
      <c r="W1016">
        <f>E1016/100</f>
        <v>0.7</v>
      </c>
      <c r="X1016">
        <f>F1016/1000000</f>
        <v>8.1911780000000007</v>
      </c>
      <c r="Y1016">
        <f>IF(D1016="C",1,0)</f>
        <v>0</v>
      </c>
      <c r="Z1016">
        <f>IF(G1016="C",1,0)</f>
        <v>0</v>
      </c>
      <c r="AA1016">
        <f>IF(G1016="S",1,0)</f>
        <v>0</v>
      </c>
      <c r="AB1016">
        <f>IF(G1016="U",1,0)</f>
        <v>0</v>
      </c>
      <c r="AC1016" s="5">
        <f>IF(AND(ISNUMBER(H1016),NOT(ISNUMBER(P1016))),1,0)</f>
        <v>1</v>
      </c>
      <c r="AD1016" s="5">
        <f>IF(AND(ISNUMBER(H1016),ISNUMBER(P1016)),1,0)</f>
        <v>0</v>
      </c>
      <c r="AE1016" s="5">
        <f>W1016</f>
        <v>0.7</v>
      </c>
      <c r="AF1016" s="5">
        <f>X1016</f>
        <v>8.1911780000000007</v>
      </c>
      <c r="AG1016" s="5">
        <f>Y1016</f>
        <v>0</v>
      </c>
      <c r="AH1016" s="5">
        <f>IF(OR(G1016="C",G1016="S",G1016="U"),1,0)</f>
        <v>0</v>
      </c>
      <c r="AI1016" s="5">
        <f>IF(ISNUMBER(H1016),1,0)</f>
        <v>1</v>
      </c>
      <c r="AJ1016" s="5">
        <f>IF(ISNUMBER(P1016),1,0)</f>
        <v>0</v>
      </c>
      <c r="AK1016" s="5">
        <f>IF(AI1016=1,IF(J1016&gt;0,1,0),"")</f>
        <v>0</v>
      </c>
      <c r="AL1016" s="5" t="str">
        <f>IF(AJ1016=1,IF(OR(Q1016&gt;0,R1016&gt;0),1,0),"")</f>
        <v/>
      </c>
    </row>
    <row r="1017" spans="1:38">
      <c r="A1017">
        <v>3317000</v>
      </c>
      <c r="B1017" t="s">
        <v>1087</v>
      </c>
      <c r="C1017" t="s">
        <v>23</v>
      </c>
      <c r="D1017" t="s">
        <v>24</v>
      </c>
      <c r="E1017">
        <v>2</v>
      </c>
      <c r="F1017">
        <v>8000</v>
      </c>
      <c r="H1017">
        <v>1</v>
      </c>
      <c r="I1017">
        <v>7</v>
      </c>
      <c r="J1017">
        <v>3</v>
      </c>
      <c r="K1017">
        <v>1</v>
      </c>
      <c r="L1017">
        <v>0.42859999999999998</v>
      </c>
      <c r="M1017" t="s">
        <v>26</v>
      </c>
      <c r="N1017">
        <v>0.42859999999999998</v>
      </c>
      <c r="O1017" t="s">
        <v>26</v>
      </c>
      <c r="P1017" t="s">
        <v>26</v>
      </c>
      <c r="Q1017" t="s">
        <v>26</v>
      </c>
      <c r="R1017" t="s">
        <v>26</v>
      </c>
      <c r="S1017" t="s">
        <v>26</v>
      </c>
      <c r="T1017" t="s">
        <v>26</v>
      </c>
      <c r="U1017" t="s">
        <v>26</v>
      </c>
      <c r="V1017">
        <v>1</v>
      </c>
      <c r="W1017">
        <f>E1017/100</f>
        <v>0.02</v>
      </c>
      <c r="X1017">
        <f>F1017/1000000</f>
        <v>8.0000000000000002E-3</v>
      </c>
      <c r="Y1017">
        <f>IF(D1017="C",1,0)</f>
        <v>0</v>
      </c>
      <c r="Z1017">
        <f>IF(G1017="C",1,0)</f>
        <v>0</v>
      </c>
      <c r="AA1017">
        <f>IF(G1017="S",1,0)</f>
        <v>0</v>
      </c>
      <c r="AB1017">
        <f>IF(G1017="U",1,0)</f>
        <v>0</v>
      </c>
      <c r="AC1017" s="5">
        <f>IF(AND(ISNUMBER(H1017),NOT(ISNUMBER(P1017))),1,0)</f>
        <v>1</v>
      </c>
      <c r="AD1017" s="5">
        <f>IF(AND(ISNUMBER(H1017),ISNUMBER(P1017)),1,0)</f>
        <v>0</v>
      </c>
      <c r="AE1017" s="5">
        <f>W1017</f>
        <v>0.02</v>
      </c>
      <c r="AF1017" s="5">
        <f>X1017</f>
        <v>8.0000000000000002E-3</v>
      </c>
      <c r="AG1017" s="5">
        <f>Y1017</f>
        <v>0</v>
      </c>
      <c r="AH1017" s="5">
        <f>IF(OR(G1017="C",G1017="S",G1017="U"),1,0)</f>
        <v>0</v>
      </c>
      <c r="AI1017" s="5">
        <f>IF(ISNUMBER(H1017),1,0)</f>
        <v>1</v>
      </c>
      <c r="AJ1017" s="5">
        <f>IF(ISNUMBER(P1017),1,0)</f>
        <v>0</v>
      </c>
      <c r="AK1017" s="5">
        <f>IF(AI1017=1,IF(J1017&gt;0,1,0),"")</f>
        <v>1</v>
      </c>
      <c r="AL1017" s="5" t="str">
        <f>IF(AJ1017=1,IF(OR(Q1017&gt;0,R1017&gt;0),1,0),"")</f>
        <v/>
      </c>
    </row>
    <row r="1018" spans="1:38">
      <c r="A1018">
        <v>3325493</v>
      </c>
      <c r="B1018" t="s">
        <v>1088</v>
      </c>
      <c r="C1018" t="s">
        <v>37</v>
      </c>
      <c r="D1018" t="s">
        <v>33</v>
      </c>
      <c r="E1018">
        <v>3</v>
      </c>
      <c r="F1018">
        <v>25000</v>
      </c>
      <c r="H1018">
        <v>1</v>
      </c>
      <c r="I1018">
        <v>1</v>
      </c>
      <c r="J1018">
        <v>0</v>
      </c>
      <c r="K1018">
        <v>0</v>
      </c>
      <c r="L1018">
        <v>0</v>
      </c>
      <c r="M1018" t="s">
        <v>26</v>
      </c>
      <c r="N1018">
        <v>0</v>
      </c>
      <c r="O1018" t="s">
        <v>26</v>
      </c>
      <c r="P1018" t="s">
        <v>26</v>
      </c>
      <c r="Q1018" t="s">
        <v>26</v>
      </c>
      <c r="R1018" t="s">
        <v>26</v>
      </c>
      <c r="S1018" t="s">
        <v>26</v>
      </c>
      <c r="T1018" t="s">
        <v>26</v>
      </c>
      <c r="U1018" t="s">
        <v>26</v>
      </c>
      <c r="V1018">
        <v>0</v>
      </c>
      <c r="W1018">
        <f>E1018/100</f>
        <v>0.03</v>
      </c>
      <c r="X1018">
        <f>F1018/1000000</f>
        <v>2.5000000000000001E-2</v>
      </c>
      <c r="Y1018">
        <f>IF(D1018="C",1,0)</f>
        <v>1</v>
      </c>
      <c r="Z1018">
        <f>IF(G1018="C",1,0)</f>
        <v>0</v>
      </c>
      <c r="AA1018">
        <f>IF(G1018="S",1,0)</f>
        <v>0</v>
      </c>
      <c r="AB1018">
        <f>IF(G1018="U",1,0)</f>
        <v>0</v>
      </c>
      <c r="AC1018" s="5">
        <f>IF(AND(ISNUMBER(H1018),NOT(ISNUMBER(P1018))),1,0)</f>
        <v>1</v>
      </c>
      <c r="AD1018" s="5">
        <f>IF(AND(ISNUMBER(H1018),ISNUMBER(P1018)),1,0)</f>
        <v>0</v>
      </c>
      <c r="AE1018" s="5">
        <f>W1018</f>
        <v>0.03</v>
      </c>
      <c r="AF1018" s="5">
        <f>X1018</f>
        <v>2.5000000000000001E-2</v>
      </c>
      <c r="AG1018" s="5">
        <f>Y1018</f>
        <v>1</v>
      </c>
      <c r="AH1018" s="5">
        <f>IF(OR(G1018="C",G1018="S",G1018="U"),1,0)</f>
        <v>0</v>
      </c>
      <c r="AI1018" s="5">
        <f>IF(ISNUMBER(H1018),1,0)</f>
        <v>1</v>
      </c>
      <c r="AJ1018" s="5">
        <f>IF(ISNUMBER(P1018),1,0)</f>
        <v>0</v>
      </c>
      <c r="AK1018" s="5">
        <f>IF(AI1018=1,IF(J1018&gt;0,1,0),"")</f>
        <v>0</v>
      </c>
      <c r="AL1018" s="5" t="str">
        <f>IF(AJ1018=1,IF(OR(Q1018&gt;0,R1018&gt;0),1,0),"")</f>
        <v/>
      </c>
    </row>
    <row r="1019" spans="1:38">
      <c r="A1019">
        <v>3326706</v>
      </c>
      <c r="B1019" t="s">
        <v>1089</v>
      </c>
      <c r="C1019" t="s">
        <v>23</v>
      </c>
      <c r="D1019" t="s">
        <v>24</v>
      </c>
      <c r="E1019">
        <v>8</v>
      </c>
      <c r="F1019">
        <v>176236</v>
      </c>
      <c r="H1019">
        <v>1</v>
      </c>
      <c r="I1019">
        <v>2</v>
      </c>
      <c r="J1019">
        <v>0</v>
      </c>
      <c r="K1019">
        <v>0</v>
      </c>
      <c r="L1019">
        <v>0</v>
      </c>
      <c r="M1019" t="s">
        <v>26</v>
      </c>
      <c r="N1019">
        <v>0</v>
      </c>
      <c r="O1019" t="s">
        <v>26</v>
      </c>
      <c r="P1019" t="s">
        <v>26</v>
      </c>
      <c r="Q1019" t="s">
        <v>26</v>
      </c>
      <c r="R1019" t="s">
        <v>26</v>
      </c>
      <c r="S1019" t="s">
        <v>26</v>
      </c>
      <c r="T1019" t="s">
        <v>26</v>
      </c>
      <c r="U1019" t="s">
        <v>26</v>
      </c>
      <c r="V1019">
        <v>0</v>
      </c>
      <c r="W1019">
        <f>E1019/100</f>
        <v>0.08</v>
      </c>
      <c r="X1019">
        <f>F1019/1000000</f>
        <v>0.176236</v>
      </c>
      <c r="Y1019">
        <f>IF(D1019="C",1,0)</f>
        <v>0</v>
      </c>
      <c r="Z1019">
        <f>IF(G1019="C",1,0)</f>
        <v>0</v>
      </c>
      <c r="AA1019">
        <f>IF(G1019="S",1,0)</f>
        <v>0</v>
      </c>
      <c r="AB1019">
        <f>IF(G1019="U",1,0)</f>
        <v>0</v>
      </c>
      <c r="AC1019" s="5">
        <f>IF(AND(ISNUMBER(H1019),NOT(ISNUMBER(P1019))),1,0)</f>
        <v>1</v>
      </c>
      <c r="AD1019" s="5">
        <f>IF(AND(ISNUMBER(H1019),ISNUMBER(P1019)),1,0)</f>
        <v>0</v>
      </c>
      <c r="AE1019" s="5">
        <f>W1019</f>
        <v>0.08</v>
      </c>
      <c r="AF1019" s="5">
        <f>X1019</f>
        <v>0.176236</v>
      </c>
      <c r="AG1019" s="5">
        <f>Y1019</f>
        <v>0</v>
      </c>
      <c r="AH1019" s="5">
        <f>IF(OR(G1019="C",G1019="S",G1019="U"),1,0)</f>
        <v>0</v>
      </c>
      <c r="AI1019" s="5">
        <f>IF(ISNUMBER(H1019),1,0)</f>
        <v>1</v>
      </c>
      <c r="AJ1019" s="5">
        <f>IF(ISNUMBER(P1019),1,0)</f>
        <v>0</v>
      </c>
      <c r="AK1019" s="5">
        <f>IF(AI1019=1,IF(J1019&gt;0,1,0),"")</f>
        <v>0</v>
      </c>
      <c r="AL1019" s="5" t="str">
        <f>IF(AJ1019=1,IF(OR(Q1019&gt;0,R1019&gt;0),1,0),"")</f>
        <v/>
      </c>
    </row>
    <row r="1020" spans="1:38">
      <c r="A1020">
        <v>3332715</v>
      </c>
      <c r="B1020" t="s">
        <v>1090</v>
      </c>
      <c r="C1020" t="s">
        <v>84</v>
      </c>
      <c r="D1020" t="s">
        <v>24</v>
      </c>
      <c r="E1020">
        <v>1</v>
      </c>
      <c r="F1020">
        <v>40000</v>
      </c>
      <c r="H1020">
        <v>1</v>
      </c>
      <c r="I1020">
        <v>3</v>
      </c>
      <c r="J1020">
        <v>0</v>
      </c>
      <c r="K1020">
        <v>0</v>
      </c>
      <c r="L1020">
        <v>0</v>
      </c>
      <c r="M1020" t="s">
        <v>26</v>
      </c>
      <c r="N1020">
        <v>0</v>
      </c>
      <c r="O1020" t="s">
        <v>26</v>
      </c>
      <c r="P1020" t="s">
        <v>26</v>
      </c>
      <c r="Q1020" t="s">
        <v>26</v>
      </c>
      <c r="R1020" t="s">
        <v>26</v>
      </c>
      <c r="S1020" t="s">
        <v>26</v>
      </c>
      <c r="T1020" t="s">
        <v>26</v>
      </c>
      <c r="U1020" t="s">
        <v>26</v>
      </c>
      <c r="V1020">
        <v>0</v>
      </c>
      <c r="W1020">
        <f>E1020/100</f>
        <v>0.01</v>
      </c>
      <c r="X1020">
        <f>F1020/1000000</f>
        <v>0.04</v>
      </c>
      <c r="Y1020">
        <f>IF(D1020="C",1,0)</f>
        <v>0</v>
      </c>
      <c r="Z1020">
        <f>IF(G1020="C",1,0)</f>
        <v>0</v>
      </c>
      <c r="AA1020">
        <f>IF(G1020="S",1,0)</f>
        <v>0</v>
      </c>
      <c r="AB1020">
        <f>IF(G1020="U",1,0)</f>
        <v>0</v>
      </c>
      <c r="AC1020" s="5">
        <f>IF(AND(ISNUMBER(H1020),NOT(ISNUMBER(P1020))),1,0)</f>
        <v>1</v>
      </c>
      <c r="AD1020" s="5">
        <f>IF(AND(ISNUMBER(H1020),ISNUMBER(P1020)),1,0)</f>
        <v>0</v>
      </c>
      <c r="AE1020" s="5">
        <f>W1020</f>
        <v>0.01</v>
      </c>
      <c r="AF1020" s="5">
        <f>X1020</f>
        <v>0.04</v>
      </c>
      <c r="AG1020" s="5">
        <f>Y1020</f>
        <v>0</v>
      </c>
      <c r="AH1020" s="5">
        <f>IF(OR(G1020="C",G1020="S",G1020="U"),1,0)</f>
        <v>0</v>
      </c>
      <c r="AI1020" s="5">
        <f>IF(ISNUMBER(H1020),1,0)</f>
        <v>1</v>
      </c>
      <c r="AJ1020" s="5">
        <f>IF(ISNUMBER(P1020),1,0)</f>
        <v>0</v>
      </c>
      <c r="AK1020" s="5">
        <f>IF(AI1020=1,IF(J1020&gt;0,1,0),"")</f>
        <v>0</v>
      </c>
      <c r="AL1020" s="5" t="str">
        <f>IF(AJ1020=1,IF(OR(Q1020&gt;0,R1020&gt;0),1,0),"")</f>
        <v/>
      </c>
    </row>
    <row r="1021" spans="1:38">
      <c r="A1021">
        <v>3338656</v>
      </c>
      <c r="B1021" t="s">
        <v>1091</v>
      </c>
      <c r="C1021" t="s">
        <v>23</v>
      </c>
      <c r="D1021" t="s">
        <v>33</v>
      </c>
      <c r="E1021">
        <v>1</v>
      </c>
      <c r="F1021">
        <v>15000</v>
      </c>
      <c r="H1021">
        <v>1</v>
      </c>
      <c r="I1021">
        <v>2</v>
      </c>
      <c r="J1021">
        <v>0</v>
      </c>
      <c r="K1021">
        <v>0</v>
      </c>
      <c r="L1021">
        <v>0</v>
      </c>
      <c r="M1021" t="s">
        <v>26</v>
      </c>
      <c r="N1021">
        <v>0</v>
      </c>
      <c r="O1021" t="s">
        <v>26</v>
      </c>
      <c r="P1021" t="s">
        <v>26</v>
      </c>
      <c r="Q1021" t="s">
        <v>26</v>
      </c>
      <c r="R1021" t="s">
        <v>26</v>
      </c>
      <c r="S1021" t="s">
        <v>26</v>
      </c>
      <c r="T1021" t="s">
        <v>26</v>
      </c>
      <c r="U1021" t="s">
        <v>26</v>
      </c>
      <c r="V1021">
        <v>0</v>
      </c>
      <c r="W1021">
        <f>E1021/100</f>
        <v>0.01</v>
      </c>
      <c r="X1021">
        <f>F1021/1000000</f>
        <v>1.4999999999999999E-2</v>
      </c>
      <c r="Y1021">
        <f>IF(D1021="C",1,0)</f>
        <v>1</v>
      </c>
      <c r="Z1021">
        <f>IF(G1021="C",1,0)</f>
        <v>0</v>
      </c>
      <c r="AA1021">
        <f>IF(G1021="S",1,0)</f>
        <v>0</v>
      </c>
      <c r="AB1021">
        <f>IF(G1021="U",1,0)</f>
        <v>0</v>
      </c>
      <c r="AC1021" s="5">
        <f>IF(AND(ISNUMBER(H1021),NOT(ISNUMBER(P1021))),1,0)</f>
        <v>1</v>
      </c>
      <c r="AD1021" s="5">
        <f>IF(AND(ISNUMBER(H1021),ISNUMBER(P1021)),1,0)</f>
        <v>0</v>
      </c>
      <c r="AE1021" s="5">
        <f>W1021</f>
        <v>0.01</v>
      </c>
      <c r="AF1021" s="5">
        <f>X1021</f>
        <v>1.4999999999999999E-2</v>
      </c>
      <c r="AG1021" s="5">
        <f>Y1021</f>
        <v>1</v>
      </c>
      <c r="AH1021" s="5">
        <f>IF(OR(G1021="C",G1021="S",G1021="U"),1,0)</f>
        <v>0</v>
      </c>
      <c r="AI1021" s="5">
        <f>IF(ISNUMBER(H1021),1,0)</f>
        <v>1</v>
      </c>
      <c r="AJ1021" s="5">
        <f>IF(ISNUMBER(P1021),1,0)</f>
        <v>0</v>
      </c>
      <c r="AK1021" s="5">
        <f>IF(AI1021=1,IF(J1021&gt;0,1,0),"")</f>
        <v>0</v>
      </c>
      <c r="AL1021" s="5" t="str">
        <f>IF(AJ1021=1,IF(OR(Q1021&gt;0,R1021&gt;0),1,0),"")</f>
        <v/>
      </c>
    </row>
    <row r="1022" spans="1:38">
      <c r="A1022">
        <v>3349335</v>
      </c>
      <c r="B1022" t="s">
        <v>1092</v>
      </c>
      <c r="C1022" t="s">
        <v>23</v>
      </c>
      <c r="D1022" t="s">
        <v>33</v>
      </c>
      <c r="E1022">
        <v>22</v>
      </c>
      <c r="F1022">
        <v>100000</v>
      </c>
      <c r="H1022">
        <v>2</v>
      </c>
      <c r="I1022">
        <v>1</v>
      </c>
      <c r="J1022">
        <v>0</v>
      </c>
      <c r="K1022">
        <v>0</v>
      </c>
      <c r="L1022">
        <v>0</v>
      </c>
      <c r="M1022">
        <v>0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  <c r="S1022" t="s">
        <v>26</v>
      </c>
      <c r="T1022" t="s">
        <v>26</v>
      </c>
      <c r="U1022" t="s">
        <v>26</v>
      </c>
      <c r="V1022">
        <v>0</v>
      </c>
      <c r="W1022">
        <f>E1022/100</f>
        <v>0.22</v>
      </c>
      <c r="X1022">
        <f>F1022/1000000</f>
        <v>0.1</v>
      </c>
      <c r="Y1022">
        <f>IF(D1022="C",1,0)</f>
        <v>1</v>
      </c>
      <c r="Z1022">
        <f>IF(G1022="C",1,0)</f>
        <v>0</v>
      </c>
      <c r="AA1022">
        <f>IF(G1022="S",1,0)</f>
        <v>0</v>
      </c>
      <c r="AB1022">
        <f>IF(G1022="U",1,0)</f>
        <v>0</v>
      </c>
      <c r="AC1022" s="5">
        <f>IF(AND(ISNUMBER(H1022),NOT(ISNUMBER(P1022))),1,0)</f>
        <v>1</v>
      </c>
      <c r="AD1022" s="5">
        <f>IF(AND(ISNUMBER(H1022),ISNUMBER(P1022)),1,0)</f>
        <v>0</v>
      </c>
      <c r="AE1022" s="5">
        <f>W1022</f>
        <v>0.22</v>
      </c>
      <c r="AF1022" s="5">
        <f>X1022</f>
        <v>0.1</v>
      </c>
      <c r="AG1022" s="5">
        <f>Y1022</f>
        <v>1</v>
      </c>
      <c r="AH1022" s="5">
        <f>IF(OR(G1022="C",G1022="S",G1022="U"),1,0)</f>
        <v>0</v>
      </c>
      <c r="AI1022" s="5">
        <f>IF(ISNUMBER(H1022),1,0)</f>
        <v>1</v>
      </c>
      <c r="AJ1022" s="5">
        <f>IF(ISNUMBER(P1022),1,0)</f>
        <v>0</v>
      </c>
      <c r="AK1022" s="5">
        <f>IF(AI1022=1,IF(J1022&gt;0,1,0),"")</f>
        <v>0</v>
      </c>
      <c r="AL1022" s="5" t="str">
        <f>IF(AJ1022=1,IF(OR(Q1022&gt;0,R1022&gt;0),1,0),"")</f>
        <v/>
      </c>
    </row>
    <row r="1023" spans="1:38">
      <c r="A1023">
        <v>3351532</v>
      </c>
      <c r="B1023" t="s">
        <v>1093</v>
      </c>
      <c r="C1023" t="s">
        <v>82</v>
      </c>
      <c r="D1023" t="s">
        <v>24</v>
      </c>
      <c r="E1023">
        <v>19</v>
      </c>
      <c r="F1023">
        <v>1800000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  <c r="S1023" t="s">
        <v>26</v>
      </c>
      <c r="T1023" t="s">
        <v>26</v>
      </c>
      <c r="U1023" t="s">
        <v>26</v>
      </c>
      <c r="V1023">
        <v>0</v>
      </c>
      <c r="W1023">
        <f>E1023/100</f>
        <v>0.19</v>
      </c>
      <c r="X1023">
        <f>F1023/1000000</f>
        <v>1.8</v>
      </c>
      <c r="Y1023">
        <f>IF(D1023="C",1,0)</f>
        <v>0</v>
      </c>
      <c r="Z1023">
        <f>IF(G1023="C",1,0)</f>
        <v>0</v>
      </c>
      <c r="AA1023">
        <f>IF(G1023="S",1,0)</f>
        <v>0</v>
      </c>
      <c r="AB1023">
        <f>IF(G1023="U",1,0)</f>
        <v>0</v>
      </c>
      <c r="AC1023" s="5">
        <f>IF(AND(ISNUMBER(H1023),NOT(ISNUMBER(P1023))),1,0)</f>
        <v>1</v>
      </c>
      <c r="AD1023" s="5">
        <f>IF(AND(ISNUMBER(H1023),ISNUMBER(P1023)),1,0)</f>
        <v>0</v>
      </c>
      <c r="AE1023" s="5">
        <f>W1023</f>
        <v>0.19</v>
      </c>
      <c r="AF1023" s="5">
        <f>X1023</f>
        <v>1.8</v>
      </c>
      <c r="AG1023" s="5">
        <f>Y1023</f>
        <v>0</v>
      </c>
      <c r="AH1023" s="5">
        <f>IF(OR(G1023="C",G1023="S",G1023="U"),1,0)</f>
        <v>0</v>
      </c>
      <c r="AI1023" s="5">
        <f>IF(ISNUMBER(H1023),1,0)</f>
        <v>1</v>
      </c>
      <c r="AJ1023" s="5">
        <f>IF(ISNUMBER(P1023),1,0)</f>
        <v>0</v>
      </c>
      <c r="AK1023" s="5">
        <f>IF(AI1023=1,IF(J1023&gt;0,1,0),"")</f>
        <v>0</v>
      </c>
      <c r="AL1023" s="5" t="str">
        <f>IF(AJ1023=1,IF(OR(Q1023&gt;0,R1023&gt;0),1,0),"")</f>
        <v/>
      </c>
    </row>
    <row r="1024" spans="1:38">
      <c r="A1024">
        <v>3354030</v>
      </c>
      <c r="B1024" t="s">
        <v>1094</v>
      </c>
      <c r="C1024" t="s">
        <v>37</v>
      </c>
      <c r="D1024" t="s">
        <v>24</v>
      </c>
      <c r="E1024">
        <v>217</v>
      </c>
      <c r="F1024">
        <v>2112620</v>
      </c>
      <c r="H1024">
        <v>1</v>
      </c>
      <c r="I1024">
        <v>0</v>
      </c>
      <c r="J1024">
        <v>0</v>
      </c>
      <c r="K1024">
        <v>0</v>
      </c>
      <c r="L1024" t="s">
        <v>26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  <c r="S1024" t="s">
        <v>26</v>
      </c>
      <c r="T1024" t="s">
        <v>26</v>
      </c>
      <c r="U1024" t="s">
        <v>26</v>
      </c>
      <c r="V1024">
        <v>0</v>
      </c>
      <c r="W1024">
        <f>E1024/100</f>
        <v>2.17</v>
      </c>
      <c r="X1024">
        <f>F1024/1000000</f>
        <v>2.1126200000000002</v>
      </c>
      <c r="Y1024">
        <f>IF(D1024="C",1,0)</f>
        <v>0</v>
      </c>
      <c r="Z1024">
        <f>IF(G1024="C",1,0)</f>
        <v>0</v>
      </c>
      <c r="AA1024">
        <f>IF(G1024="S",1,0)</f>
        <v>0</v>
      </c>
      <c r="AB1024">
        <f>IF(G1024="U",1,0)</f>
        <v>0</v>
      </c>
      <c r="AC1024" s="5">
        <f>IF(AND(ISNUMBER(H1024),NOT(ISNUMBER(P1024))),1,0)</f>
        <v>1</v>
      </c>
      <c r="AD1024" s="5">
        <f>IF(AND(ISNUMBER(H1024),ISNUMBER(P1024)),1,0)</f>
        <v>0</v>
      </c>
      <c r="AE1024" s="5">
        <f>W1024</f>
        <v>2.17</v>
      </c>
      <c r="AF1024" s="5">
        <f>X1024</f>
        <v>2.1126200000000002</v>
      </c>
      <c r="AG1024" s="5">
        <f>Y1024</f>
        <v>0</v>
      </c>
      <c r="AH1024" s="5">
        <f>IF(OR(G1024="C",G1024="S",G1024="U"),1,0)</f>
        <v>0</v>
      </c>
      <c r="AI1024" s="5">
        <f>IF(ISNUMBER(H1024),1,0)</f>
        <v>1</v>
      </c>
      <c r="AJ1024" s="5">
        <f>IF(ISNUMBER(P1024),1,0)</f>
        <v>0</v>
      </c>
      <c r="AK1024" s="5">
        <f>IF(AI1024=1,IF(J1024&gt;0,1,0),"")</f>
        <v>0</v>
      </c>
      <c r="AL1024" s="5" t="str">
        <f>IF(AJ1024=1,IF(OR(Q1024&gt;0,R1024&gt;0),1,0),"")</f>
        <v/>
      </c>
    </row>
    <row r="1025" spans="1:38">
      <c r="A1025">
        <v>3359436</v>
      </c>
      <c r="B1025" t="s">
        <v>1095</v>
      </c>
      <c r="C1025" t="s">
        <v>23</v>
      </c>
      <c r="D1025" t="s">
        <v>24</v>
      </c>
      <c r="E1025">
        <v>2</v>
      </c>
      <c r="F1025">
        <v>233069</v>
      </c>
      <c r="H1025">
        <v>1</v>
      </c>
      <c r="I1025">
        <v>4</v>
      </c>
      <c r="J1025">
        <v>2</v>
      </c>
      <c r="K1025">
        <v>1</v>
      </c>
      <c r="L1025">
        <v>0.5</v>
      </c>
      <c r="M1025" t="s">
        <v>26</v>
      </c>
      <c r="N1025">
        <v>0.5</v>
      </c>
      <c r="O1025" t="s">
        <v>26</v>
      </c>
      <c r="P1025" t="s">
        <v>26</v>
      </c>
      <c r="Q1025" t="s">
        <v>26</v>
      </c>
      <c r="R1025" t="s">
        <v>26</v>
      </c>
      <c r="S1025" t="s">
        <v>26</v>
      </c>
      <c r="T1025" t="s">
        <v>26</v>
      </c>
      <c r="U1025" t="s">
        <v>26</v>
      </c>
      <c r="V1025">
        <v>1</v>
      </c>
      <c r="W1025">
        <f>E1025/100</f>
        <v>0.02</v>
      </c>
      <c r="X1025">
        <f>F1025/1000000</f>
        <v>0.233069</v>
      </c>
      <c r="Y1025">
        <f>IF(D1025="C",1,0)</f>
        <v>0</v>
      </c>
      <c r="Z1025">
        <f>IF(G1025="C",1,0)</f>
        <v>0</v>
      </c>
      <c r="AA1025">
        <f>IF(G1025="S",1,0)</f>
        <v>0</v>
      </c>
      <c r="AB1025">
        <f>IF(G1025="U",1,0)</f>
        <v>0</v>
      </c>
      <c r="AC1025" s="5">
        <f>IF(AND(ISNUMBER(H1025),NOT(ISNUMBER(P1025))),1,0)</f>
        <v>1</v>
      </c>
      <c r="AD1025" s="5">
        <f>IF(AND(ISNUMBER(H1025),ISNUMBER(P1025)),1,0)</f>
        <v>0</v>
      </c>
      <c r="AE1025" s="5">
        <f>W1025</f>
        <v>0.02</v>
      </c>
      <c r="AF1025" s="5">
        <f>X1025</f>
        <v>0.233069</v>
      </c>
      <c r="AG1025" s="5">
        <f>Y1025</f>
        <v>0</v>
      </c>
      <c r="AH1025" s="5">
        <f>IF(OR(G1025="C",G1025="S",G1025="U"),1,0)</f>
        <v>0</v>
      </c>
      <c r="AI1025" s="5">
        <f>IF(ISNUMBER(H1025),1,0)</f>
        <v>1</v>
      </c>
      <c r="AJ1025" s="5">
        <f>IF(ISNUMBER(P1025),1,0)</f>
        <v>0</v>
      </c>
      <c r="AK1025" s="5">
        <f>IF(AI1025=1,IF(J1025&gt;0,1,0),"")</f>
        <v>1</v>
      </c>
      <c r="AL1025" s="5" t="str">
        <f>IF(AJ1025=1,IF(OR(Q1025&gt;0,R1025&gt;0),1,0),"")</f>
        <v/>
      </c>
    </row>
    <row r="1026" spans="1:38">
      <c r="A1026">
        <v>3377565</v>
      </c>
      <c r="B1026" t="s">
        <v>1096</v>
      </c>
      <c r="C1026" t="s">
        <v>135</v>
      </c>
      <c r="D1026" t="s">
        <v>24</v>
      </c>
      <c r="E1026">
        <v>1</v>
      </c>
      <c r="F1026">
        <v>80000</v>
      </c>
      <c r="H1026">
        <v>1</v>
      </c>
      <c r="I1026">
        <v>13</v>
      </c>
      <c r="J1026">
        <v>3</v>
      </c>
      <c r="K1026">
        <v>1</v>
      </c>
      <c r="L1026">
        <v>0.23080000000000001</v>
      </c>
      <c r="M1026">
        <v>0</v>
      </c>
      <c r="N1026">
        <v>0.42859999999999998</v>
      </c>
      <c r="O1026" t="s">
        <v>26</v>
      </c>
      <c r="P1026" t="s">
        <v>26</v>
      </c>
      <c r="Q1026" t="s">
        <v>26</v>
      </c>
      <c r="R1026" t="s">
        <v>26</v>
      </c>
      <c r="S1026" t="s">
        <v>26</v>
      </c>
      <c r="T1026" t="s">
        <v>26</v>
      </c>
      <c r="U1026" t="s">
        <v>26</v>
      </c>
      <c r="V1026">
        <v>1</v>
      </c>
      <c r="W1026">
        <f>E1026/100</f>
        <v>0.01</v>
      </c>
      <c r="X1026">
        <f>F1026/1000000</f>
        <v>0.08</v>
      </c>
      <c r="Y1026">
        <f>IF(D1026="C",1,0)</f>
        <v>0</v>
      </c>
      <c r="Z1026">
        <f>IF(G1026="C",1,0)</f>
        <v>0</v>
      </c>
      <c r="AA1026">
        <f>IF(G1026="S",1,0)</f>
        <v>0</v>
      </c>
      <c r="AB1026">
        <f>IF(G1026="U",1,0)</f>
        <v>0</v>
      </c>
      <c r="AC1026" s="5">
        <f>IF(AND(ISNUMBER(H1026),NOT(ISNUMBER(P1026))),1,0)</f>
        <v>1</v>
      </c>
      <c r="AD1026" s="5">
        <f>IF(AND(ISNUMBER(H1026),ISNUMBER(P1026)),1,0)</f>
        <v>0</v>
      </c>
      <c r="AE1026" s="5">
        <f>W1026</f>
        <v>0.01</v>
      </c>
      <c r="AF1026" s="5">
        <f>X1026</f>
        <v>0.08</v>
      </c>
      <c r="AG1026" s="5">
        <f>Y1026</f>
        <v>0</v>
      </c>
      <c r="AH1026" s="5">
        <f>IF(OR(G1026="C",G1026="S",G1026="U"),1,0)</f>
        <v>0</v>
      </c>
      <c r="AI1026" s="5">
        <f>IF(ISNUMBER(H1026),1,0)</f>
        <v>1</v>
      </c>
      <c r="AJ1026" s="5">
        <f>IF(ISNUMBER(P1026),1,0)</f>
        <v>0</v>
      </c>
      <c r="AK1026" s="5">
        <f>IF(AI1026=1,IF(J1026&gt;0,1,0),"")</f>
        <v>1</v>
      </c>
      <c r="AL1026" s="5" t="str">
        <f>IF(AJ1026=1,IF(OR(Q1026&gt;0,R1026&gt;0),1,0),"")</f>
        <v/>
      </c>
    </row>
    <row r="1027" spans="1:38">
      <c r="A1027">
        <v>3387492</v>
      </c>
      <c r="B1027" t="s">
        <v>1097</v>
      </c>
      <c r="C1027" t="s">
        <v>23</v>
      </c>
      <c r="D1027" t="s">
        <v>33</v>
      </c>
      <c r="E1027">
        <v>5</v>
      </c>
      <c r="F1027">
        <v>144000</v>
      </c>
      <c r="H1027">
        <v>1</v>
      </c>
      <c r="I1027">
        <v>0</v>
      </c>
      <c r="J1027">
        <v>0</v>
      </c>
      <c r="K1027">
        <v>0</v>
      </c>
      <c r="L1027" t="s">
        <v>26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  <c r="S1027" t="s">
        <v>26</v>
      </c>
      <c r="T1027" t="s">
        <v>26</v>
      </c>
      <c r="U1027" t="s">
        <v>26</v>
      </c>
      <c r="V1027">
        <v>0</v>
      </c>
      <c r="W1027">
        <f>E1027/100</f>
        <v>0.05</v>
      </c>
      <c r="X1027">
        <f>F1027/1000000</f>
        <v>0.14399999999999999</v>
      </c>
      <c r="Y1027">
        <f>IF(D1027="C",1,0)</f>
        <v>1</v>
      </c>
      <c r="Z1027">
        <f>IF(G1027="C",1,0)</f>
        <v>0</v>
      </c>
      <c r="AA1027">
        <f>IF(G1027="S",1,0)</f>
        <v>0</v>
      </c>
      <c r="AB1027">
        <f>IF(G1027="U",1,0)</f>
        <v>0</v>
      </c>
      <c r="AC1027" s="5">
        <f>IF(AND(ISNUMBER(H1027),NOT(ISNUMBER(P1027))),1,0)</f>
        <v>1</v>
      </c>
      <c r="AD1027" s="5">
        <f>IF(AND(ISNUMBER(H1027),ISNUMBER(P1027)),1,0)</f>
        <v>0</v>
      </c>
      <c r="AE1027" s="5">
        <f>W1027</f>
        <v>0.05</v>
      </c>
      <c r="AF1027" s="5">
        <f>X1027</f>
        <v>0.14399999999999999</v>
      </c>
      <c r="AG1027" s="5">
        <f>Y1027</f>
        <v>1</v>
      </c>
      <c r="AH1027" s="5">
        <f>IF(OR(G1027="C",G1027="S",G1027="U"),1,0)</f>
        <v>0</v>
      </c>
      <c r="AI1027" s="5">
        <f>IF(ISNUMBER(H1027),1,0)</f>
        <v>1</v>
      </c>
      <c r="AJ1027" s="5">
        <f>IF(ISNUMBER(P1027),1,0)</f>
        <v>0</v>
      </c>
      <c r="AK1027" s="5">
        <f>IF(AI1027=1,IF(J1027&gt;0,1,0),"")</f>
        <v>0</v>
      </c>
      <c r="AL1027" s="5" t="str">
        <f>IF(AJ1027=1,IF(OR(Q1027&gt;0,R1027&gt;0),1,0),"")</f>
        <v/>
      </c>
    </row>
    <row r="1028" spans="1:38">
      <c r="A1028">
        <v>3397884</v>
      </c>
      <c r="B1028" t="s">
        <v>1098</v>
      </c>
      <c r="C1028" t="s">
        <v>125</v>
      </c>
      <c r="D1028" t="s">
        <v>24</v>
      </c>
      <c r="E1028">
        <v>1</v>
      </c>
      <c r="F1028">
        <v>75000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  <c r="S1028" t="s">
        <v>26</v>
      </c>
      <c r="T1028" t="s">
        <v>26</v>
      </c>
      <c r="U1028" t="s">
        <v>26</v>
      </c>
      <c r="V1028">
        <v>0</v>
      </c>
      <c r="W1028">
        <f>E1028/100</f>
        <v>0.01</v>
      </c>
      <c r="X1028">
        <f>F1028/1000000</f>
        <v>7.4999999999999997E-2</v>
      </c>
      <c r="Y1028">
        <f>IF(D1028="C",1,0)</f>
        <v>0</v>
      </c>
      <c r="Z1028">
        <f>IF(G1028="C",1,0)</f>
        <v>0</v>
      </c>
      <c r="AA1028">
        <f>IF(G1028="S",1,0)</f>
        <v>0</v>
      </c>
      <c r="AB1028">
        <f>IF(G1028="U",1,0)</f>
        <v>0</v>
      </c>
      <c r="AC1028" s="5">
        <f>IF(AND(ISNUMBER(H1028),NOT(ISNUMBER(P1028))),1,0)</f>
        <v>1</v>
      </c>
      <c r="AD1028" s="5">
        <f>IF(AND(ISNUMBER(H1028),ISNUMBER(P1028)),1,0)</f>
        <v>0</v>
      </c>
      <c r="AE1028" s="5">
        <f>W1028</f>
        <v>0.01</v>
      </c>
      <c r="AF1028" s="5">
        <f>X1028</f>
        <v>7.4999999999999997E-2</v>
      </c>
      <c r="AG1028" s="5">
        <f>Y1028</f>
        <v>0</v>
      </c>
      <c r="AH1028" s="5">
        <f>IF(OR(G1028="C",G1028="S",G1028="U"),1,0)</f>
        <v>0</v>
      </c>
      <c r="AI1028" s="5">
        <f>IF(ISNUMBER(H1028),1,0)</f>
        <v>1</v>
      </c>
      <c r="AJ1028" s="5">
        <f>IF(ISNUMBER(P1028),1,0)</f>
        <v>0</v>
      </c>
      <c r="AK1028" s="5">
        <f>IF(AI1028=1,IF(J1028&gt;0,1,0),"")</f>
        <v>0</v>
      </c>
      <c r="AL1028" s="5" t="str">
        <f>IF(AJ1028=1,IF(OR(Q1028&gt;0,R1028&gt;0),1,0),"")</f>
        <v/>
      </c>
    </row>
    <row r="1029" spans="1:38">
      <c r="A1029">
        <v>3398820</v>
      </c>
      <c r="B1029" t="s">
        <v>1099</v>
      </c>
      <c r="C1029" t="s">
        <v>23</v>
      </c>
      <c r="D1029" t="s">
        <v>33</v>
      </c>
      <c r="E1029">
        <v>3</v>
      </c>
      <c r="F1029">
        <v>300000</v>
      </c>
      <c r="H1029">
        <v>1</v>
      </c>
      <c r="I1029">
        <v>0</v>
      </c>
      <c r="J1029">
        <v>0</v>
      </c>
      <c r="K1029">
        <v>0</v>
      </c>
      <c r="L1029" t="s">
        <v>26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  <c r="S1029" t="s">
        <v>26</v>
      </c>
      <c r="T1029" t="s">
        <v>26</v>
      </c>
      <c r="U1029" t="s">
        <v>26</v>
      </c>
      <c r="V1029">
        <v>0</v>
      </c>
      <c r="W1029">
        <f>E1029/100</f>
        <v>0.03</v>
      </c>
      <c r="X1029">
        <f>F1029/1000000</f>
        <v>0.3</v>
      </c>
      <c r="Y1029">
        <f>IF(D1029="C",1,0)</f>
        <v>1</v>
      </c>
      <c r="Z1029">
        <f>IF(G1029="C",1,0)</f>
        <v>0</v>
      </c>
      <c r="AA1029">
        <f>IF(G1029="S",1,0)</f>
        <v>0</v>
      </c>
      <c r="AB1029">
        <f>IF(G1029="U",1,0)</f>
        <v>0</v>
      </c>
      <c r="AC1029" s="5">
        <f>IF(AND(ISNUMBER(H1029),NOT(ISNUMBER(P1029))),1,0)</f>
        <v>1</v>
      </c>
      <c r="AD1029" s="5">
        <f>IF(AND(ISNUMBER(H1029),ISNUMBER(P1029)),1,0)</f>
        <v>0</v>
      </c>
      <c r="AE1029" s="5">
        <f>W1029</f>
        <v>0.03</v>
      </c>
      <c r="AF1029" s="5">
        <f>X1029</f>
        <v>0.3</v>
      </c>
      <c r="AG1029" s="5">
        <f>Y1029</f>
        <v>1</v>
      </c>
      <c r="AH1029" s="5">
        <f>IF(OR(G1029="C",G1029="S",G1029="U"),1,0)</f>
        <v>0</v>
      </c>
      <c r="AI1029" s="5">
        <f>IF(ISNUMBER(H1029),1,0)</f>
        <v>1</v>
      </c>
      <c r="AJ1029" s="5">
        <f>IF(ISNUMBER(P1029),1,0)</f>
        <v>0</v>
      </c>
      <c r="AK1029" s="5">
        <f>IF(AI1029=1,IF(J1029&gt;0,1,0),"")</f>
        <v>0</v>
      </c>
      <c r="AL1029" s="5" t="str">
        <f>IF(AJ1029=1,IF(OR(Q1029&gt;0,R1029&gt;0),1,0),"")</f>
        <v/>
      </c>
    </row>
    <row r="1030" spans="1:38">
      <c r="A1030">
        <v>3425965</v>
      </c>
      <c r="B1030" t="s">
        <v>1100</v>
      </c>
      <c r="C1030" t="s">
        <v>159</v>
      </c>
      <c r="D1030" t="s">
        <v>24</v>
      </c>
      <c r="E1030">
        <v>17</v>
      </c>
      <c r="F1030">
        <v>1668787</v>
      </c>
      <c r="H1030">
        <v>1</v>
      </c>
      <c r="I1030">
        <v>2</v>
      </c>
      <c r="J1030">
        <v>0</v>
      </c>
      <c r="K1030">
        <v>0</v>
      </c>
      <c r="L1030">
        <v>0</v>
      </c>
      <c r="M1030" t="s">
        <v>26</v>
      </c>
      <c r="N1030">
        <v>0</v>
      </c>
      <c r="O1030" t="s">
        <v>26</v>
      </c>
      <c r="P1030" t="s">
        <v>26</v>
      </c>
      <c r="Q1030" t="s">
        <v>26</v>
      </c>
      <c r="R1030" t="s">
        <v>26</v>
      </c>
      <c r="S1030" t="s">
        <v>26</v>
      </c>
      <c r="T1030" t="s">
        <v>26</v>
      </c>
      <c r="U1030" t="s">
        <v>26</v>
      </c>
      <c r="V1030">
        <v>0</v>
      </c>
      <c r="W1030">
        <f>E1030/100</f>
        <v>0.17</v>
      </c>
      <c r="X1030">
        <f>F1030/1000000</f>
        <v>1.668787</v>
      </c>
      <c r="Y1030">
        <f>IF(D1030="C",1,0)</f>
        <v>0</v>
      </c>
      <c r="Z1030">
        <f>IF(G1030="C",1,0)</f>
        <v>0</v>
      </c>
      <c r="AA1030">
        <f>IF(G1030="S",1,0)</f>
        <v>0</v>
      </c>
      <c r="AB1030">
        <f>IF(G1030="U",1,0)</f>
        <v>0</v>
      </c>
      <c r="AC1030" s="5">
        <f>IF(AND(ISNUMBER(H1030),NOT(ISNUMBER(P1030))),1,0)</f>
        <v>1</v>
      </c>
      <c r="AD1030" s="5">
        <f>IF(AND(ISNUMBER(H1030),ISNUMBER(P1030)),1,0)</f>
        <v>0</v>
      </c>
      <c r="AE1030" s="5">
        <f>W1030</f>
        <v>0.17</v>
      </c>
      <c r="AF1030" s="5">
        <f>X1030</f>
        <v>1.668787</v>
      </c>
      <c r="AG1030" s="5">
        <f>Y1030</f>
        <v>0</v>
      </c>
      <c r="AH1030" s="5">
        <f>IF(OR(G1030="C",G1030="S",G1030="U"),1,0)</f>
        <v>0</v>
      </c>
      <c r="AI1030" s="5">
        <f>IF(ISNUMBER(H1030),1,0)</f>
        <v>1</v>
      </c>
      <c r="AJ1030" s="5">
        <f>IF(ISNUMBER(P1030),1,0)</f>
        <v>0</v>
      </c>
      <c r="AK1030" s="5">
        <f>IF(AI1030=1,IF(J1030&gt;0,1,0),"")</f>
        <v>0</v>
      </c>
      <c r="AL1030" s="5" t="str">
        <f>IF(AJ1030=1,IF(OR(Q1030&gt;0,R1030&gt;0),1,0),"")</f>
        <v/>
      </c>
    </row>
    <row r="1031" spans="1:38">
      <c r="A1031">
        <v>3433943</v>
      </c>
      <c r="B1031" t="s">
        <v>1101</v>
      </c>
      <c r="C1031" t="s">
        <v>135</v>
      </c>
      <c r="D1031" t="s">
        <v>24</v>
      </c>
      <c r="E1031">
        <v>1</v>
      </c>
      <c r="F1031">
        <v>245000</v>
      </c>
      <c r="H1031">
        <v>1</v>
      </c>
      <c r="I1031">
        <v>12</v>
      </c>
      <c r="J1031">
        <v>3</v>
      </c>
      <c r="K1031">
        <v>1</v>
      </c>
      <c r="L1031">
        <v>0.25</v>
      </c>
      <c r="M1031">
        <v>1</v>
      </c>
      <c r="N1031">
        <v>0.18179999999999999</v>
      </c>
      <c r="O1031" t="s">
        <v>26</v>
      </c>
      <c r="P1031" t="s">
        <v>26</v>
      </c>
      <c r="Q1031" t="s">
        <v>26</v>
      </c>
      <c r="R1031" t="s">
        <v>26</v>
      </c>
      <c r="S1031" t="s">
        <v>26</v>
      </c>
      <c r="T1031" t="s">
        <v>26</v>
      </c>
      <c r="U1031" t="s">
        <v>26</v>
      </c>
      <c r="V1031">
        <v>1</v>
      </c>
      <c r="W1031">
        <f>E1031/100</f>
        <v>0.01</v>
      </c>
      <c r="X1031">
        <f>F1031/1000000</f>
        <v>0.245</v>
      </c>
      <c r="Y1031">
        <f>IF(D1031="C",1,0)</f>
        <v>0</v>
      </c>
      <c r="Z1031">
        <f>IF(G1031="C",1,0)</f>
        <v>0</v>
      </c>
      <c r="AA1031">
        <f>IF(G1031="S",1,0)</f>
        <v>0</v>
      </c>
      <c r="AB1031">
        <f>IF(G1031="U",1,0)</f>
        <v>0</v>
      </c>
      <c r="AC1031" s="5">
        <f>IF(AND(ISNUMBER(H1031),NOT(ISNUMBER(P1031))),1,0)</f>
        <v>1</v>
      </c>
      <c r="AD1031" s="5">
        <f>IF(AND(ISNUMBER(H1031),ISNUMBER(P1031)),1,0)</f>
        <v>0</v>
      </c>
      <c r="AE1031" s="5">
        <f>W1031</f>
        <v>0.01</v>
      </c>
      <c r="AF1031" s="5">
        <f>X1031</f>
        <v>0.245</v>
      </c>
      <c r="AG1031" s="5">
        <f>Y1031</f>
        <v>0</v>
      </c>
      <c r="AH1031" s="5">
        <f>IF(OR(G1031="C",G1031="S",G1031="U"),1,0)</f>
        <v>0</v>
      </c>
      <c r="AI1031" s="5">
        <f>IF(ISNUMBER(H1031),1,0)</f>
        <v>1</v>
      </c>
      <c r="AJ1031" s="5">
        <f>IF(ISNUMBER(P1031),1,0)</f>
        <v>0</v>
      </c>
      <c r="AK1031" s="5">
        <f>IF(AI1031=1,IF(J1031&gt;0,1,0),"")</f>
        <v>1</v>
      </c>
      <c r="AL1031" s="5" t="str">
        <f>IF(AJ1031=1,IF(OR(Q1031&gt;0,R1031&gt;0),1,0),"")</f>
        <v/>
      </c>
    </row>
    <row r="1032" spans="1:38">
      <c r="A1032">
        <v>3451609</v>
      </c>
      <c r="B1032" t="s">
        <v>1102</v>
      </c>
      <c r="C1032" t="s">
        <v>82</v>
      </c>
      <c r="D1032" t="s">
        <v>24</v>
      </c>
      <c r="E1032">
        <v>6</v>
      </c>
      <c r="F1032">
        <v>45375</v>
      </c>
      <c r="H1032">
        <v>1</v>
      </c>
      <c r="I1032">
        <v>7</v>
      </c>
      <c r="J1032">
        <v>5</v>
      </c>
      <c r="K1032">
        <v>1</v>
      </c>
      <c r="L1032">
        <v>0.71430000000000005</v>
      </c>
      <c r="M1032">
        <v>1</v>
      </c>
      <c r="N1032">
        <v>0.66669999999999996</v>
      </c>
      <c r="O1032" t="s">
        <v>26</v>
      </c>
      <c r="P1032" t="s">
        <v>26</v>
      </c>
      <c r="Q1032" t="s">
        <v>26</v>
      </c>
      <c r="R1032" t="s">
        <v>26</v>
      </c>
      <c r="S1032" t="s">
        <v>26</v>
      </c>
      <c r="T1032" t="s">
        <v>26</v>
      </c>
      <c r="U1032" t="s">
        <v>26</v>
      </c>
      <c r="V1032">
        <v>1</v>
      </c>
      <c r="W1032">
        <f>E1032/100</f>
        <v>0.06</v>
      </c>
      <c r="X1032">
        <f>F1032/1000000</f>
        <v>4.5374999999999999E-2</v>
      </c>
      <c r="Y1032">
        <f>IF(D1032="C",1,0)</f>
        <v>0</v>
      </c>
      <c r="Z1032">
        <f>IF(G1032="C",1,0)</f>
        <v>0</v>
      </c>
      <c r="AA1032">
        <f>IF(G1032="S",1,0)</f>
        <v>0</v>
      </c>
      <c r="AB1032">
        <f>IF(G1032="U",1,0)</f>
        <v>0</v>
      </c>
      <c r="AC1032" s="5">
        <f>IF(AND(ISNUMBER(H1032),NOT(ISNUMBER(P1032))),1,0)</f>
        <v>1</v>
      </c>
      <c r="AD1032" s="5">
        <f>IF(AND(ISNUMBER(H1032),ISNUMBER(P1032)),1,0)</f>
        <v>0</v>
      </c>
      <c r="AE1032" s="5">
        <f>W1032</f>
        <v>0.06</v>
      </c>
      <c r="AF1032" s="5">
        <f>X1032</f>
        <v>4.5374999999999999E-2</v>
      </c>
      <c r="AG1032" s="5">
        <f>Y1032</f>
        <v>0</v>
      </c>
      <c r="AH1032" s="5">
        <f>IF(OR(G1032="C",G1032="S",G1032="U"),1,0)</f>
        <v>0</v>
      </c>
      <c r="AI1032" s="5">
        <f>IF(ISNUMBER(H1032),1,0)</f>
        <v>1</v>
      </c>
      <c r="AJ1032" s="5">
        <f>IF(ISNUMBER(P1032),1,0)</f>
        <v>0</v>
      </c>
      <c r="AK1032" s="5">
        <f>IF(AI1032=1,IF(J1032&gt;0,1,0),"")</f>
        <v>1</v>
      </c>
      <c r="AL1032" s="5" t="str">
        <f>IF(AJ1032=1,IF(OR(Q1032&gt;0,R1032&gt;0),1,0),"")</f>
        <v/>
      </c>
    </row>
    <row r="1033" spans="1:38">
      <c r="A1033">
        <v>3460135</v>
      </c>
      <c r="B1033" t="s">
        <v>1103</v>
      </c>
      <c r="C1033" t="s">
        <v>77</v>
      </c>
      <c r="D1033" t="s">
        <v>24</v>
      </c>
      <c r="E1033">
        <v>10</v>
      </c>
      <c r="F1033">
        <v>1000080</v>
      </c>
      <c r="H1033">
        <v>1</v>
      </c>
      <c r="I1033">
        <v>1</v>
      </c>
      <c r="J1033">
        <v>0</v>
      </c>
      <c r="K1033">
        <v>0</v>
      </c>
      <c r="L1033">
        <v>0</v>
      </c>
      <c r="M1033" t="s">
        <v>26</v>
      </c>
      <c r="N1033">
        <v>0</v>
      </c>
      <c r="O1033" t="s">
        <v>26</v>
      </c>
      <c r="P1033" t="s">
        <v>26</v>
      </c>
      <c r="Q1033" t="s">
        <v>26</v>
      </c>
      <c r="R1033" t="s">
        <v>26</v>
      </c>
      <c r="S1033" t="s">
        <v>26</v>
      </c>
      <c r="T1033" t="s">
        <v>26</v>
      </c>
      <c r="U1033" t="s">
        <v>26</v>
      </c>
      <c r="V1033">
        <v>0</v>
      </c>
      <c r="W1033">
        <f>E1033/100</f>
        <v>0.1</v>
      </c>
      <c r="X1033">
        <f>F1033/1000000</f>
        <v>1.0000800000000001</v>
      </c>
      <c r="Y1033">
        <f>IF(D1033="C",1,0)</f>
        <v>0</v>
      </c>
      <c r="Z1033">
        <f>IF(G1033="C",1,0)</f>
        <v>0</v>
      </c>
      <c r="AA1033">
        <f>IF(G1033="S",1,0)</f>
        <v>0</v>
      </c>
      <c r="AB1033">
        <f>IF(G1033="U",1,0)</f>
        <v>0</v>
      </c>
      <c r="AC1033" s="5">
        <f>IF(AND(ISNUMBER(H1033),NOT(ISNUMBER(P1033))),1,0)</f>
        <v>1</v>
      </c>
      <c r="AD1033" s="5">
        <f>IF(AND(ISNUMBER(H1033),ISNUMBER(P1033)),1,0)</f>
        <v>0</v>
      </c>
      <c r="AE1033" s="5">
        <f>W1033</f>
        <v>0.1</v>
      </c>
      <c r="AF1033" s="5">
        <f>X1033</f>
        <v>1.0000800000000001</v>
      </c>
      <c r="AG1033" s="5">
        <f>Y1033</f>
        <v>0</v>
      </c>
      <c r="AH1033" s="5">
        <f>IF(OR(G1033="C",G1033="S",G1033="U"),1,0)</f>
        <v>0</v>
      </c>
      <c r="AI1033" s="5">
        <f>IF(ISNUMBER(H1033),1,0)</f>
        <v>1</v>
      </c>
      <c r="AJ1033" s="5">
        <f>IF(ISNUMBER(P1033),1,0)</f>
        <v>0</v>
      </c>
      <c r="AK1033" s="5">
        <f>IF(AI1033=1,IF(J1033&gt;0,1,0),"")</f>
        <v>0</v>
      </c>
      <c r="AL1033" s="5" t="str">
        <f>IF(AJ1033=1,IF(OR(Q1033&gt;0,R1033&gt;0),1,0),"")</f>
        <v/>
      </c>
    </row>
    <row r="1034" spans="1:38">
      <c r="A1034">
        <v>3460580</v>
      </c>
      <c r="B1034" t="s">
        <v>1104</v>
      </c>
      <c r="C1034" t="s">
        <v>23</v>
      </c>
      <c r="D1034" t="s">
        <v>24</v>
      </c>
      <c r="E1034">
        <v>1</v>
      </c>
      <c r="F1034">
        <v>500000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  <c r="S1034" t="s">
        <v>26</v>
      </c>
      <c r="T1034" t="s">
        <v>26</v>
      </c>
      <c r="U1034" t="s">
        <v>26</v>
      </c>
      <c r="V1034">
        <v>0</v>
      </c>
      <c r="W1034">
        <f>E1034/100</f>
        <v>0.01</v>
      </c>
      <c r="X1034">
        <f>F1034/1000000</f>
        <v>0.5</v>
      </c>
      <c r="Y1034">
        <f>IF(D1034="C",1,0)</f>
        <v>0</v>
      </c>
      <c r="Z1034">
        <f>IF(G1034="C",1,0)</f>
        <v>0</v>
      </c>
      <c r="AA1034">
        <f>IF(G1034="S",1,0)</f>
        <v>0</v>
      </c>
      <c r="AB1034">
        <f>IF(G1034="U",1,0)</f>
        <v>0</v>
      </c>
      <c r="AC1034" s="5">
        <f>IF(AND(ISNUMBER(H1034),NOT(ISNUMBER(P1034))),1,0)</f>
        <v>1</v>
      </c>
      <c r="AD1034" s="5">
        <f>IF(AND(ISNUMBER(H1034),ISNUMBER(P1034)),1,0)</f>
        <v>0</v>
      </c>
      <c r="AE1034" s="5">
        <f>W1034</f>
        <v>0.01</v>
      </c>
      <c r="AF1034" s="5">
        <f>X1034</f>
        <v>0.5</v>
      </c>
      <c r="AG1034" s="5">
        <f>Y1034</f>
        <v>0</v>
      </c>
      <c r="AH1034" s="5">
        <f>IF(OR(G1034="C",G1034="S",G1034="U"),1,0)</f>
        <v>0</v>
      </c>
      <c r="AI1034" s="5">
        <f>IF(ISNUMBER(H1034),1,0)</f>
        <v>1</v>
      </c>
      <c r="AJ1034" s="5">
        <f>IF(ISNUMBER(P1034),1,0)</f>
        <v>0</v>
      </c>
      <c r="AK1034" s="5">
        <f>IF(AI1034=1,IF(J1034&gt;0,1,0),"")</f>
        <v>0</v>
      </c>
      <c r="AL1034" s="5" t="str">
        <f>IF(AJ1034=1,IF(OR(Q1034&gt;0,R1034&gt;0),1,0),"")</f>
        <v/>
      </c>
    </row>
    <row r="1035" spans="1:38">
      <c r="A1035">
        <v>3476017</v>
      </c>
      <c r="B1035" t="s">
        <v>1105</v>
      </c>
      <c r="C1035" t="s">
        <v>37</v>
      </c>
      <c r="D1035" t="s">
        <v>24</v>
      </c>
      <c r="E1035">
        <v>9</v>
      </c>
      <c r="F1035">
        <v>500000</v>
      </c>
      <c r="G1035" t="s">
        <v>33</v>
      </c>
      <c r="H1035">
        <v>1</v>
      </c>
      <c r="I1035">
        <v>2</v>
      </c>
      <c r="J1035">
        <v>0</v>
      </c>
      <c r="K1035">
        <v>0</v>
      </c>
      <c r="L1035">
        <v>0</v>
      </c>
      <c r="M1035">
        <v>0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  <c r="S1035" t="s">
        <v>26</v>
      </c>
      <c r="T1035" t="s">
        <v>26</v>
      </c>
      <c r="U1035" t="s">
        <v>26</v>
      </c>
      <c r="V1035">
        <v>0</v>
      </c>
      <c r="W1035">
        <f>E1035/100</f>
        <v>0.09</v>
      </c>
      <c r="X1035">
        <f>F1035/1000000</f>
        <v>0.5</v>
      </c>
      <c r="Y1035">
        <f>IF(D1035="C",1,0)</f>
        <v>0</v>
      </c>
      <c r="Z1035">
        <f>IF(G1035="C",1,0)</f>
        <v>1</v>
      </c>
      <c r="AA1035">
        <f>IF(G1035="S",1,0)</f>
        <v>0</v>
      </c>
      <c r="AB1035">
        <f>IF(G1035="U",1,0)</f>
        <v>0</v>
      </c>
      <c r="AC1035" s="5">
        <f>IF(AND(ISNUMBER(H1035),NOT(ISNUMBER(P1035))),1,0)</f>
        <v>1</v>
      </c>
      <c r="AD1035" s="5">
        <f>IF(AND(ISNUMBER(H1035),ISNUMBER(P1035)),1,0)</f>
        <v>0</v>
      </c>
      <c r="AE1035" s="5">
        <f>W1035</f>
        <v>0.09</v>
      </c>
      <c r="AF1035" s="5">
        <f>X1035</f>
        <v>0.5</v>
      </c>
      <c r="AG1035" s="5">
        <f>Y1035</f>
        <v>0</v>
      </c>
      <c r="AH1035" s="5">
        <f>IF(OR(G1035="C",G1035="S",G1035="U"),1,0)</f>
        <v>1</v>
      </c>
      <c r="AI1035" s="5">
        <f>IF(ISNUMBER(H1035),1,0)</f>
        <v>1</v>
      </c>
      <c r="AJ1035" s="5">
        <f>IF(ISNUMBER(P1035),1,0)</f>
        <v>0</v>
      </c>
      <c r="AK1035" s="5">
        <f>IF(AI1035=1,IF(J1035&gt;0,1,0),"")</f>
        <v>0</v>
      </c>
      <c r="AL1035" s="5" t="str">
        <f>IF(AJ1035=1,IF(OR(Q1035&gt;0,R1035&gt;0),1,0),"")</f>
        <v/>
      </c>
    </row>
    <row r="1036" spans="1:38">
      <c r="A1036">
        <v>3493535</v>
      </c>
      <c r="B1036" t="s">
        <v>1106</v>
      </c>
      <c r="C1036" t="s">
        <v>23</v>
      </c>
      <c r="D1036" t="s">
        <v>33</v>
      </c>
      <c r="E1036">
        <v>2</v>
      </c>
      <c r="F1036">
        <v>30000</v>
      </c>
      <c r="H1036">
        <v>1</v>
      </c>
      <c r="I1036">
        <v>4</v>
      </c>
      <c r="J1036">
        <v>0</v>
      </c>
      <c r="K1036">
        <v>0</v>
      </c>
      <c r="L1036">
        <v>0</v>
      </c>
      <c r="M1036" t="s">
        <v>26</v>
      </c>
      <c r="N1036">
        <v>0</v>
      </c>
      <c r="O1036" t="s">
        <v>26</v>
      </c>
      <c r="P1036" t="s">
        <v>26</v>
      </c>
      <c r="Q1036" t="s">
        <v>26</v>
      </c>
      <c r="R1036" t="s">
        <v>26</v>
      </c>
      <c r="S1036" t="s">
        <v>26</v>
      </c>
      <c r="T1036" t="s">
        <v>26</v>
      </c>
      <c r="U1036" t="s">
        <v>26</v>
      </c>
      <c r="V1036">
        <v>0</v>
      </c>
      <c r="W1036">
        <f>E1036/100</f>
        <v>0.02</v>
      </c>
      <c r="X1036">
        <f>F1036/1000000</f>
        <v>0.03</v>
      </c>
      <c r="Y1036">
        <f>IF(D1036="C",1,0)</f>
        <v>1</v>
      </c>
      <c r="Z1036">
        <f>IF(G1036="C",1,0)</f>
        <v>0</v>
      </c>
      <c r="AA1036">
        <f>IF(G1036="S",1,0)</f>
        <v>0</v>
      </c>
      <c r="AB1036">
        <f>IF(G1036="U",1,0)</f>
        <v>0</v>
      </c>
      <c r="AC1036" s="5">
        <f>IF(AND(ISNUMBER(H1036),NOT(ISNUMBER(P1036))),1,0)</f>
        <v>1</v>
      </c>
      <c r="AD1036" s="5">
        <f>IF(AND(ISNUMBER(H1036),ISNUMBER(P1036)),1,0)</f>
        <v>0</v>
      </c>
      <c r="AE1036" s="5">
        <f>W1036</f>
        <v>0.02</v>
      </c>
      <c r="AF1036" s="5">
        <f>X1036</f>
        <v>0.03</v>
      </c>
      <c r="AG1036" s="5">
        <f>Y1036</f>
        <v>1</v>
      </c>
      <c r="AH1036" s="5">
        <f>IF(OR(G1036="C",G1036="S",G1036="U"),1,0)</f>
        <v>0</v>
      </c>
      <c r="AI1036" s="5">
        <f>IF(ISNUMBER(H1036),1,0)</f>
        <v>1</v>
      </c>
      <c r="AJ1036" s="5">
        <f>IF(ISNUMBER(P1036),1,0)</f>
        <v>0</v>
      </c>
      <c r="AK1036" s="5">
        <f>IF(AI1036=1,IF(J1036&gt;0,1,0),"")</f>
        <v>0</v>
      </c>
      <c r="AL1036" s="5" t="str">
        <f>IF(AJ1036=1,IF(OR(Q1036&gt;0,R1036&gt;0),1,0),"")</f>
        <v/>
      </c>
    </row>
    <row r="1037" spans="1:38">
      <c r="A1037">
        <v>3512175</v>
      </c>
      <c r="B1037" t="s">
        <v>1107</v>
      </c>
      <c r="C1037" t="s">
        <v>190</v>
      </c>
      <c r="D1037" t="s">
        <v>24</v>
      </c>
      <c r="E1037">
        <v>65</v>
      </c>
      <c r="F1037">
        <v>8450000</v>
      </c>
      <c r="H1037">
        <v>1</v>
      </c>
      <c r="I1037">
        <v>3</v>
      </c>
      <c r="J1037">
        <v>0</v>
      </c>
      <c r="K1037">
        <v>0</v>
      </c>
      <c r="L1037">
        <v>0</v>
      </c>
      <c r="M1037">
        <v>0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  <c r="S1037" t="s">
        <v>26</v>
      </c>
      <c r="T1037" t="s">
        <v>26</v>
      </c>
      <c r="U1037" t="s">
        <v>26</v>
      </c>
      <c r="V1037">
        <v>0</v>
      </c>
      <c r="W1037">
        <f>E1037/100</f>
        <v>0.65</v>
      </c>
      <c r="X1037">
        <f>F1037/1000000</f>
        <v>8.4499999999999993</v>
      </c>
      <c r="Y1037">
        <f>IF(D1037="C",1,0)</f>
        <v>0</v>
      </c>
      <c r="Z1037">
        <f>IF(G1037="C",1,0)</f>
        <v>0</v>
      </c>
      <c r="AA1037">
        <f>IF(G1037="S",1,0)</f>
        <v>0</v>
      </c>
      <c r="AB1037">
        <f>IF(G1037="U",1,0)</f>
        <v>0</v>
      </c>
      <c r="AC1037" s="5">
        <f>IF(AND(ISNUMBER(H1037),NOT(ISNUMBER(P1037))),1,0)</f>
        <v>1</v>
      </c>
      <c r="AD1037" s="5">
        <f>IF(AND(ISNUMBER(H1037),ISNUMBER(P1037)),1,0)</f>
        <v>0</v>
      </c>
      <c r="AE1037" s="5">
        <f>W1037</f>
        <v>0.65</v>
      </c>
      <c r="AF1037" s="5">
        <f>X1037</f>
        <v>8.4499999999999993</v>
      </c>
      <c r="AG1037" s="5">
        <f>Y1037</f>
        <v>0</v>
      </c>
      <c r="AH1037" s="5">
        <f>IF(OR(G1037="C",G1037="S",G1037="U"),1,0)</f>
        <v>0</v>
      </c>
      <c r="AI1037" s="5">
        <f>IF(ISNUMBER(H1037),1,0)</f>
        <v>1</v>
      </c>
      <c r="AJ1037" s="5">
        <f>IF(ISNUMBER(P1037),1,0)</f>
        <v>0</v>
      </c>
      <c r="AK1037" s="5">
        <f>IF(AI1037=1,IF(J1037&gt;0,1,0),"")</f>
        <v>0</v>
      </c>
      <c r="AL1037" s="5" t="str">
        <f>IF(AJ1037=1,IF(OR(Q1037&gt;0,R1037&gt;0),1,0),"")</f>
        <v/>
      </c>
    </row>
    <row r="1038" spans="1:38">
      <c r="A1038">
        <v>3520205</v>
      </c>
      <c r="B1038" t="s">
        <v>1108</v>
      </c>
      <c r="C1038" t="s">
        <v>159</v>
      </c>
      <c r="D1038" t="s">
        <v>24</v>
      </c>
      <c r="E1038">
        <v>45</v>
      </c>
      <c r="F1038">
        <v>7950000</v>
      </c>
      <c r="H1038">
        <v>1</v>
      </c>
      <c r="I1038">
        <v>3</v>
      </c>
      <c r="J1038">
        <v>0</v>
      </c>
      <c r="K1038">
        <v>0</v>
      </c>
      <c r="L1038">
        <v>0</v>
      </c>
      <c r="M1038">
        <v>0</v>
      </c>
      <c r="N1038">
        <v>0</v>
      </c>
      <c r="O1038" t="s">
        <v>26</v>
      </c>
      <c r="P1038" t="s">
        <v>26</v>
      </c>
      <c r="Q1038" t="s">
        <v>26</v>
      </c>
      <c r="R1038" t="s">
        <v>26</v>
      </c>
      <c r="S1038" t="s">
        <v>26</v>
      </c>
      <c r="T1038" t="s">
        <v>26</v>
      </c>
      <c r="U1038" t="s">
        <v>26</v>
      </c>
      <c r="V1038">
        <v>0</v>
      </c>
      <c r="W1038">
        <f>E1038/100</f>
        <v>0.45</v>
      </c>
      <c r="X1038">
        <f>F1038/1000000</f>
        <v>7.95</v>
      </c>
      <c r="Y1038">
        <f>IF(D1038="C",1,0)</f>
        <v>0</v>
      </c>
      <c r="Z1038">
        <f>IF(G1038="C",1,0)</f>
        <v>0</v>
      </c>
      <c r="AA1038">
        <f>IF(G1038="S",1,0)</f>
        <v>0</v>
      </c>
      <c r="AB1038">
        <f>IF(G1038="U",1,0)</f>
        <v>0</v>
      </c>
      <c r="AC1038" s="5">
        <f>IF(AND(ISNUMBER(H1038),NOT(ISNUMBER(P1038))),1,0)</f>
        <v>1</v>
      </c>
      <c r="AD1038" s="5">
        <f>IF(AND(ISNUMBER(H1038),ISNUMBER(P1038)),1,0)</f>
        <v>0</v>
      </c>
      <c r="AE1038" s="5">
        <f>W1038</f>
        <v>0.45</v>
      </c>
      <c r="AF1038" s="5">
        <f>X1038</f>
        <v>7.95</v>
      </c>
      <c r="AG1038" s="5">
        <f>Y1038</f>
        <v>0</v>
      </c>
      <c r="AH1038" s="5">
        <f>IF(OR(G1038="C",G1038="S",G1038="U"),1,0)</f>
        <v>0</v>
      </c>
      <c r="AI1038" s="5">
        <f>IF(ISNUMBER(H1038),1,0)</f>
        <v>1</v>
      </c>
      <c r="AJ1038" s="5">
        <f>IF(ISNUMBER(P1038),1,0)</f>
        <v>0</v>
      </c>
      <c r="AK1038" s="5">
        <f>IF(AI1038=1,IF(J1038&gt;0,1,0),"")</f>
        <v>0</v>
      </c>
      <c r="AL1038" s="5" t="str">
        <f>IF(AJ1038=1,IF(OR(Q1038&gt;0,R1038&gt;0),1,0),"")</f>
        <v/>
      </c>
    </row>
    <row r="1039" spans="1:38">
      <c r="A1039">
        <v>3575025</v>
      </c>
      <c r="B1039" t="s">
        <v>1109</v>
      </c>
      <c r="C1039" t="s">
        <v>37</v>
      </c>
      <c r="D1039" t="s">
        <v>24</v>
      </c>
      <c r="E1039">
        <v>36</v>
      </c>
      <c r="F1039">
        <v>659794</v>
      </c>
      <c r="H1039">
        <v>1</v>
      </c>
      <c r="I1039">
        <v>0</v>
      </c>
      <c r="J1039">
        <v>0</v>
      </c>
      <c r="K1039">
        <v>0</v>
      </c>
      <c r="L1039" t="s">
        <v>26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  <c r="S1039" t="s">
        <v>26</v>
      </c>
      <c r="T1039" t="s">
        <v>26</v>
      </c>
      <c r="U1039" t="s">
        <v>26</v>
      </c>
      <c r="V1039">
        <v>0</v>
      </c>
      <c r="W1039">
        <f>E1039/100</f>
        <v>0.36</v>
      </c>
      <c r="X1039">
        <f>F1039/1000000</f>
        <v>0.65979399999999999</v>
      </c>
      <c r="Y1039">
        <f>IF(D1039="C",1,0)</f>
        <v>0</v>
      </c>
      <c r="Z1039">
        <f>IF(G1039="C",1,0)</f>
        <v>0</v>
      </c>
      <c r="AA1039">
        <f>IF(G1039="S",1,0)</f>
        <v>0</v>
      </c>
      <c r="AB1039">
        <f>IF(G1039="U",1,0)</f>
        <v>0</v>
      </c>
      <c r="AC1039" s="5">
        <f>IF(AND(ISNUMBER(H1039),NOT(ISNUMBER(P1039))),1,0)</f>
        <v>1</v>
      </c>
      <c r="AD1039" s="5">
        <f>IF(AND(ISNUMBER(H1039),ISNUMBER(P1039)),1,0)</f>
        <v>0</v>
      </c>
      <c r="AE1039" s="5">
        <f>W1039</f>
        <v>0.36</v>
      </c>
      <c r="AF1039" s="5">
        <f>X1039</f>
        <v>0.65979399999999999</v>
      </c>
      <c r="AG1039" s="5">
        <f>Y1039</f>
        <v>0</v>
      </c>
      <c r="AH1039" s="5">
        <f>IF(OR(G1039="C",G1039="S",G1039="U"),1,0)</f>
        <v>0</v>
      </c>
      <c r="AI1039" s="5">
        <f>IF(ISNUMBER(H1039),1,0)</f>
        <v>1</v>
      </c>
      <c r="AJ1039" s="5">
        <f>IF(ISNUMBER(P1039),1,0)</f>
        <v>0</v>
      </c>
      <c r="AK1039" s="5">
        <f>IF(AI1039=1,IF(J1039&gt;0,1,0),"")</f>
        <v>0</v>
      </c>
      <c r="AL1039" s="5" t="str">
        <f>IF(AJ1039=1,IF(OR(Q1039&gt;0,R1039&gt;0),1,0),"")</f>
        <v/>
      </c>
    </row>
    <row r="1040" spans="1:38">
      <c r="A1040">
        <v>3576500</v>
      </c>
      <c r="B1040" t="s">
        <v>1110</v>
      </c>
      <c r="C1040" t="s">
        <v>135</v>
      </c>
      <c r="D1040" t="s">
        <v>24</v>
      </c>
      <c r="E1040">
        <v>1</v>
      </c>
      <c r="F1040">
        <v>691355</v>
      </c>
      <c r="H1040">
        <v>1</v>
      </c>
      <c r="I1040">
        <v>8</v>
      </c>
      <c r="J1040">
        <v>2</v>
      </c>
      <c r="K1040">
        <v>1</v>
      </c>
      <c r="L1040">
        <v>0.25</v>
      </c>
      <c r="M1040">
        <v>0</v>
      </c>
      <c r="N1040">
        <v>0.28570000000000001</v>
      </c>
      <c r="O1040" t="s">
        <v>26</v>
      </c>
      <c r="P1040" t="s">
        <v>26</v>
      </c>
      <c r="Q1040" t="s">
        <v>26</v>
      </c>
      <c r="R1040" t="s">
        <v>26</v>
      </c>
      <c r="S1040" t="s">
        <v>26</v>
      </c>
      <c r="T1040" t="s">
        <v>26</v>
      </c>
      <c r="U1040" t="s">
        <v>26</v>
      </c>
      <c r="V1040">
        <v>1</v>
      </c>
      <c r="W1040">
        <f>E1040/100</f>
        <v>0.01</v>
      </c>
      <c r="X1040">
        <f>F1040/1000000</f>
        <v>0.69135500000000005</v>
      </c>
      <c r="Y1040">
        <f>IF(D1040="C",1,0)</f>
        <v>0</v>
      </c>
      <c r="Z1040">
        <f>IF(G1040="C",1,0)</f>
        <v>0</v>
      </c>
      <c r="AA1040">
        <f>IF(G1040="S",1,0)</f>
        <v>0</v>
      </c>
      <c r="AB1040">
        <f>IF(G1040="U",1,0)</f>
        <v>0</v>
      </c>
      <c r="AC1040" s="5">
        <f>IF(AND(ISNUMBER(H1040),NOT(ISNUMBER(P1040))),1,0)</f>
        <v>1</v>
      </c>
      <c r="AD1040" s="5">
        <f>IF(AND(ISNUMBER(H1040),ISNUMBER(P1040)),1,0)</f>
        <v>0</v>
      </c>
      <c r="AE1040" s="5">
        <f>W1040</f>
        <v>0.01</v>
      </c>
      <c r="AF1040" s="5">
        <f>X1040</f>
        <v>0.69135500000000005</v>
      </c>
      <c r="AG1040" s="5">
        <f>Y1040</f>
        <v>0</v>
      </c>
      <c r="AH1040" s="5">
        <f>IF(OR(G1040="C",G1040="S",G1040="U"),1,0)</f>
        <v>0</v>
      </c>
      <c r="AI1040" s="5">
        <f>IF(ISNUMBER(H1040),1,0)</f>
        <v>1</v>
      </c>
      <c r="AJ1040" s="5">
        <f>IF(ISNUMBER(P1040),1,0)</f>
        <v>0</v>
      </c>
      <c r="AK1040" s="5">
        <f>IF(AI1040=1,IF(J1040&gt;0,1,0),"")</f>
        <v>1</v>
      </c>
      <c r="AL1040" s="5" t="str">
        <f>IF(AJ1040=1,IF(OR(Q1040&gt;0,R1040&gt;0),1,0),"")</f>
        <v/>
      </c>
    </row>
    <row r="1041" spans="1:38">
      <c r="A1041">
        <v>3591574</v>
      </c>
      <c r="B1041" t="s">
        <v>1111</v>
      </c>
      <c r="C1041" t="s">
        <v>23</v>
      </c>
      <c r="D1041" t="s">
        <v>24</v>
      </c>
      <c r="E1041">
        <v>1</v>
      </c>
      <c r="F1041">
        <v>100962</v>
      </c>
      <c r="H1041">
        <v>1</v>
      </c>
      <c r="I1041">
        <v>2</v>
      </c>
      <c r="J1041">
        <v>1</v>
      </c>
      <c r="K1041">
        <v>1</v>
      </c>
      <c r="L1041">
        <v>0.5</v>
      </c>
      <c r="M1041">
        <v>1</v>
      </c>
      <c r="N1041">
        <v>0</v>
      </c>
      <c r="O1041" t="s">
        <v>26</v>
      </c>
      <c r="P1041" t="s">
        <v>26</v>
      </c>
      <c r="Q1041" t="s">
        <v>26</v>
      </c>
      <c r="R1041" t="s">
        <v>26</v>
      </c>
      <c r="S1041" t="s">
        <v>26</v>
      </c>
      <c r="T1041" t="s">
        <v>26</v>
      </c>
      <c r="U1041" t="s">
        <v>26</v>
      </c>
      <c r="V1041">
        <v>1</v>
      </c>
      <c r="W1041">
        <f>E1041/100</f>
        <v>0.01</v>
      </c>
      <c r="X1041">
        <f>F1041/1000000</f>
        <v>0.100962</v>
      </c>
      <c r="Y1041">
        <f>IF(D1041="C",1,0)</f>
        <v>0</v>
      </c>
      <c r="Z1041">
        <f>IF(G1041="C",1,0)</f>
        <v>0</v>
      </c>
      <c r="AA1041">
        <f>IF(G1041="S",1,0)</f>
        <v>0</v>
      </c>
      <c r="AB1041">
        <f>IF(G1041="U",1,0)</f>
        <v>0</v>
      </c>
      <c r="AC1041" s="5">
        <f>IF(AND(ISNUMBER(H1041),NOT(ISNUMBER(P1041))),1,0)</f>
        <v>1</v>
      </c>
      <c r="AD1041" s="5">
        <f>IF(AND(ISNUMBER(H1041),ISNUMBER(P1041)),1,0)</f>
        <v>0</v>
      </c>
      <c r="AE1041" s="5">
        <f>W1041</f>
        <v>0.01</v>
      </c>
      <c r="AF1041" s="5">
        <f>X1041</f>
        <v>0.100962</v>
      </c>
      <c r="AG1041" s="5">
        <f>Y1041</f>
        <v>0</v>
      </c>
      <c r="AH1041" s="5">
        <f>IF(OR(G1041="C",G1041="S",G1041="U"),1,0)</f>
        <v>0</v>
      </c>
      <c r="AI1041" s="5">
        <f>IF(ISNUMBER(H1041),1,0)</f>
        <v>1</v>
      </c>
      <c r="AJ1041" s="5">
        <f>IF(ISNUMBER(P1041),1,0)</f>
        <v>0</v>
      </c>
      <c r="AK1041" s="5">
        <f>IF(AI1041=1,IF(J1041&gt;0,1,0),"")</f>
        <v>1</v>
      </c>
      <c r="AL1041" s="5" t="str">
        <f>IF(AJ1041=1,IF(OR(Q1041&gt;0,R1041&gt;0),1,0),"")</f>
        <v/>
      </c>
    </row>
    <row r="1042" spans="1:38">
      <c r="A1042">
        <v>3604806</v>
      </c>
      <c r="B1042" t="s">
        <v>1112</v>
      </c>
      <c r="C1042" t="s">
        <v>105</v>
      </c>
      <c r="D1042" t="s">
        <v>24</v>
      </c>
      <c r="E1042">
        <v>45</v>
      </c>
      <c r="F1042">
        <v>3168000</v>
      </c>
      <c r="H1042">
        <v>1</v>
      </c>
      <c r="I1042">
        <v>0</v>
      </c>
      <c r="J1042">
        <v>0</v>
      </c>
      <c r="K1042">
        <v>0</v>
      </c>
      <c r="L1042" t="s">
        <v>26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  <c r="S1042" t="s">
        <v>26</v>
      </c>
      <c r="T1042" t="s">
        <v>26</v>
      </c>
      <c r="U1042" t="s">
        <v>26</v>
      </c>
      <c r="V1042">
        <v>0</v>
      </c>
      <c r="W1042">
        <f>E1042/100</f>
        <v>0.45</v>
      </c>
      <c r="X1042">
        <f>F1042/1000000</f>
        <v>3.1680000000000001</v>
      </c>
      <c r="Y1042">
        <f>IF(D1042="C",1,0)</f>
        <v>0</v>
      </c>
      <c r="Z1042">
        <f>IF(G1042="C",1,0)</f>
        <v>0</v>
      </c>
      <c r="AA1042">
        <f>IF(G1042="S",1,0)</f>
        <v>0</v>
      </c>
      <c r="AB1042">
        <f>IF(G1042="U",1,0)</f>
        <v>0</v>
      </c>
      <c r="AC1042" s="5">
        <f>IF(AND(ISNUMBER(H1042),NOT(ISNUMBER(P1042))),1,0)</f>
        <v>1</v>
      </c>
      <c r="AD1042" s="5">
        <f>IF(AND(ISNUMBER(H1042),ISNUMBER(P1042)),1,0)</f>
        <v>0</v>
      </c>
      <c r="AE1042" s="5">
        <f>W1042</f>
        <v>0.45</v>
      </c>
      <c r="AF1042" s="5">
        <f>X1042</f>
        <v>3.1680000000000001</v>
      </c>
      <c r="AG1042" s="5">
        <f>Y1042</f>
        <v>0</v>
      </c>
      <c r="AH1042" s="5">
        <f>IF(OR(G1042="C",G1042="S",G1042="U"),1,0)</f>
        <v>0</v>
      </c>
      <c r="AI1042" s="5">
        <f>IF(ISNUMBER(H1042),1,0)</f>
        <v>1</v>
      </c>
      <c r="AJ1042" s="5">
        <f>IF(ISNUMBER(P1042),1,0)</f>
        <v>0</v>
      </c>
      <c r="AK1042" s="5">
        <f>IF(AI1042=1,IF(J1042&gt;0,1,0),"")</f>
        <v>0</v>
      </c>
      <c r="AL1042" s="5" t="str">
        <f>IF(AJ1042=1,IF(OR(Q1042&gt;0,R1042&gt;0),1,0),"")</f>
        <v/>
      </c>
    </row>
    <row r="1043" spans="1:38">
      <c r="A1043">
        <v>3645062</v>
      </c>
      <c r="B1043" t="s">
        <v>1113</v>
      </c>
      <c r="C1043" t="s">
        <v>1044</v>
      </c>
      <c r="D1043" t="s">
        <v>24</v>
      </c>
      <c r="E1043">
        <v>70</v>
      </c>
      <c r="F1043">
        <v>9478154</v>
      </c>
      <c r="H1043">
        <v>1</v>
      </c>
      <c r="I1043">
        <v>2</v>
      </c>
      <c r="J1043">
        <v>0</v>
      </c>
      <c r="K1043">
        <v>0</v>
      </c>
      <c r="L1043">
        <v>0</v>
      </c>
      <c r="M1043">
        <v>0</v>
      </c>
      <c r="N1043">
        <v>0</v>
      </c>
      <c r="O1043" t="s">
        <v>26</v>
      </c>
      <c r="P1043" t="s">
        <v>26</v>
      </c>
      <c r="Q1043" t="s">
        <v>26</v>
      </c>
      <c r="R1043" t="s">
        <v>26</v>
      </c>
      <c r="S1043" t="s">
        <v>26</v>
      </c>
      <c r="T1043" t="s">
        <v>26</v>
      </c>
      <c r="U1043" t="s">
        <v>26</v>
      </c>
      <c r="V1043">
        <v>0</v>
      </c>
      <c r="W1043">
        <f>E1043/100</f>
        <v>0.7</v>
      </c>
      <c r="X1043">
        <f>F1043/1000000</f>
        <v>9.478154</v>
      </c>
      <c r="Y1043">
        <f>IF(D1043="C",1,0)</f>
        <v>0</v>
      </c>
      <c r="Z1043">
        <f>IF(G1043="C",1,0)</f>
        <v>0</v>
      </c>
      <c r="AA1043">
        <f>IF(G1043="S",1,0)</f>
        <v>0</v>
      </c>
      <c r="AB1043">
        <f>IF(G1043="U",1,0)</f>
        <v>0</v>
      </c>
      <c r="AC1043" s="5">
        <f>IF(AND(ISNUMBER(H1043),NOT(ISNUMBER(P1043))),1,0)</f>
        <v>1</v>
      </c>
      <c r="AD1043" s="5">
        <f>IF(AND(ISNUMBER(H1043),ISNUMBER(P1043)),1,0)</f>
        <v>0</v>
      </c>
      <c r="AE1043" s="5">
        <f>W1043</f>
        <v>0.7</v>
      </c>
      <c r="AF1043" s="5">
        <f>X1043</f>
        <v>9.478154</v>
      </c>
      <c r="AG1043" s="5">
        <f>Y1043</f>
        <v>0</v>
      </c>
      <c r="AH1043" s="5">
        <f>IF(OR(G1043="C",G1043="S",G1043="U"),1,0)</f>
        <v>0</v>
      </c>
      <c r="AI1043" s="5">
        <f>IF(ISNUMBER(H1043),1,0)</f>
        <v>1</v>
      </c>
      <c r="AJ1043" s="5">
        <f>IF(ISNUMBER(P1043),1,0)</f>
        <v>0</v>
      </c>
      <c r="AK1043" s="5">
        <f>IF(AI1043=1,IF(J1043&gt;0,1,0),"")</f>
        <v>0</v>
      </c>
      <c r="AL1043" s="5" t="str">
        <f>IF(AJ1043=1,IF(OR(Q1043&gt;0,R1043&gt;0),1,0),"")</f>
        <v/>
      </c>
    </row>
    <row r="1044" spans="1:38">
      <c r="A1044">
        <v>3645269</v>
      </c>
      <c r="B1044" t="s">
        <v>1114</v>
      </c>
      <c r="C1044" t="s">
        <v>23</v>
      </c>
      <c r="D1044" t="s">
        <v>24</v>
      </c>
      <c r="E1044">
        <v>2</v>
      </c>
      <c r="F1044">
        <v>55854</v>
      </c>
      <c r="H1044">
        <v>1</v>
      </c>
      <c r="I1044">
        <v>15</v>
      </c>
      <c r="J1044">
        <v>3</v>
      </c>
      <c r="K1044">
        <v>1</v>
      </c>
      <c r="L1044">
        <v>0.2</v>
      </c>
      <c r="M1044">
        <v>0</v>
      </c>
      <c r="N1044">
        <v>0.23080000000000001</v>
      </c>
      <c r="O1044" t="s">
        <v>26</v>
      </c>
      <c r="P1044" t="s">
        <v>26</v>
      </c>
      <c r="Q1044" t="s">
        <v>26</v>
      </c>
      <c r="R1044" t="s">
        <v>26</v>
      </c>
      <c r="S1044" t="s">
        <v>26</v>
      </c>
      <c r="T1044" t="s">
        <v>26</v>
      </c>
      <c r="U1044" t="s">
        <v>26</v>
      </c>
      <c r="V1044">
        <v>1</v>
      </c>
      <c r="W1044">
        <f>E1044/100</f>
        <v>0.02</v>
      </c>
      <c r="X1044">
        <f>F1044/1000000</f>
        <v>5.5854000000000001E-2</v>
      </c>
      <c r="Y1044">
        <f>IF(D1044="C",1,0)</f>
        <v>0</v>
      </c>
      <c r="Z1044">
        <f>IF(G1044="C",1,0)</f>
        <v>0</v>
      </c>
      <c r="AA1044">
        <f>IF(G1044="S",1,0)</f>
        <v>0</v>
      </c>
      <c r="AB1044">
        <f>IF(G1044="U",1,0)</f>
        <v>0</v>
      </c>
      <c r="AC1044" s="5">
        <f>IF(AND(ISNUMBER(H1044),NOT(ISNUMBER(P1044))),1,0)</f>
        <v>1</v>
      </c>
      <c r="AD1044" s="5">
        <f>IF(AND(ISNUMBER(H1044),ISNUMBER(P1044)),1,0)</f>
        <v>0</v>
      </c>
      <c r="AE1044" s="5">
        <f>W1044</f>
        <v>0.02</v>
      </c>
      <c r="AF1044" s="5">
        <f>X1044</f>
        <v>5.5854000000000001E-2</v>
      </c>
      <c r="AG1044" s="5">
        <f>Y1044</f>
        <v>0</v>
      </c>
      <c r="AH1044" s="5">
        <f>IF(OR(G1044="C",G1044="S",G1044="U"),1,0)</f>
        <v>0</v>
      </c>
      <c r="AI1044" s="5">
        <f>IF(ISNUMBER(H1044),1,0)</f>
        <v>1</v>
      </c>
      <c r="AJ1044" s="5">
        <f>IF(ISNUMBER(P1044),1,0)</f>
        <v>0</v>
      </c>
      <c r="AK1044" s="5">
        <f>IF(AI1044=1,IF(J1044&gt;0,1,0),"")</f>
        <v>1</v>
      </c>
      <c r="AL1044" s="5" t="str">
        <f>IF(AJ1044=1,IF(OR(Q1044&gt;0,R1044&gt;0),1,0),"")</f>
        <v/>
      </c>
    </row>
    <row r="1045" spans="1:38">
      <c r="A1045">
        <v>3663231</v>
      </c>
      <c r="B1045" t="s">
        <v>1115</v>
      </c>
      <c r="C1045" t="s">
        <v>82</v>
      </c>
      <c r="D1045" t="s">
        <v>24</v>
      </c>
      <c r="E1045">
        <v>4</v>
      </c>
      <c r="F1045">
        <v>31216</v>
      </c>
      <c r="H1045">
        <v>1</v>
      </c>
      <c r="I1045">
        <v>6</v>
      </c>
      <c r="J1045">
        <v>2</v>
      </c>
      <c r="K1045">
        <v>1</v>
      </c>
      <c r="L1045">
        <v>0.33329999999999999</v>
      </c>
      <c r="M1045">
        <v>1</v>
      </c>
      <c r="N1045">
        <v>0</v>
      </c>
      <c r="O1045" t="s">
        <v>26</v>
      </c>
      <c r="P1045" t="s">
        <v>26</v>
      </c>
      <c r="Q1045" t="s">
        <v>26</v>
      </c>
      <c r="R1045" t="s">
        <v>26</v>
      </c>
      <c r="S1045" t="s">
        <v>26</v>
      </c>
      <c r="T1045" t="s">
        <v>26</v>
      </c>
      <c r="U1045" t="s">
        <v>26</v>
      </c>
      <c r="V1045">
        <v>1</v>
      </c>
      <c r="W1045">
        <f>E1045/100</f>
        <v>0.04</v>
      </c>
      <c r="X1045">
        <f>F1045/1000000</f>
        <v>3.1216000000000001E-2</v>
      </c>
      <c r="Y1045">
        <f>IF(D1045="C",1,0)</f>
        <v>0</v>
      </c>
      <c r="Z1045">
        <f>IF(G1045="C",1,0)</f>
        <v>0</v>
      </c>
      <c r="AA1045">
        <f>IF(G1045="S",1,0)</f>
        <v>0</v>
      </c>
      <c r="AB1045">
        <f>IF(G1045="U",1,0)</f>
        <v>0</v>
      </c>
      <c r="AC1045" s="5">
        <f>IF(AND(ISNUMBER(H1045),NOT(ISNUMBER(P1045))),1,0)</f>
        <v>1</v>
      </c>
      <c r="AD1045" s="5">
        <f>IF(AND(ISNUMBER(H1045),ISNUMBER(P1045)),1,0)</f>
        <v>0</v>
      </c>
      <c r="AE1045" s="5">
        <f>W1045</f>
        <v>0.04</v>
      </c>
      <c r="AF1045" s="5">
        <f>X1045</f>
        <v>3.1216000000000001E-2</v>
      </c>
      <c r="AG1045" s="5">
        <f>Y1045</f>
        <v>0</v>
      </c>
      <c r="AH1045" s="5">
        <f>IF(OR(G1045="C",G1045="S",G1045="U"),1,0)</f>
        <v>0</v>
      </c>
      <c r="AI1045" s="5">
        <f>IF(ISNUMBER(H1045),1,0)</f>
        <v>1</v>
      </c>
      <c r="AJ1045" s="5">
        <f>IF(ISNUMBER(P1045),1,0)</f>
        <v>0</v>
      </c>
      <c r="AK1045" s="5">
        <f>IF(AI1045=1,IF(J1045&gt;0,1,0),"")</f>
        <v>1</v>
      </c>
      <c r="AL1045" s="5" t="str">
        <f>IF(AJ1045=1,IF(OR(Q1045&gt;0,R1045&gt;0),1,0),"")</f>
        <v/>
      </c>
    </row>
    <row r="1046" spans="1:38">
      <c r="A1046">
        <v>3681966</v>
      </c>
      <c r="B1046" t="s">
        <v>1116</v>
      </c>
      <c r="C1046" t="s">
        <v>456</v>
      </c>
      <c r="D1046" t="s">
        <v>24</v>
      </c>
      <c r="E1046">
        <v>27</v>
      </c>
      <c r="F1046">
        <v>2700000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  <c r="S1046" t="s">
        <v>26</v>
      </c>
      <c r="T1046" t="s">
        <v>26</v>
      </c>
      <c r="U1046" t="s">
        <v>26</v>
      </c>
      <c r="V1046">
        <v>0</v>
      </c>
      <c r="W1046">
        <f>E1046/100</f>
        <v>0.27</v>
      </c>
      <c r="X1046">
        <f>F1046/1000000</f>
        <v>2.7</v>
      </c>
      <c r="Y1046">
        <f>IF(D1046="C",1,0)</f>
        <v>0</v>
      </c>
      <c r="Z1046">
        <f>IF(G1046="C",1,0)</f>
        <v>0</v>
      </c>
      <c r="AA1046">
        <f>IF(G1046="S",1,0)</f>
        <v>0</v>
      </c>
      <c r="AB1046">
        <f>IF(G1046="U",1,0)</f>
        <v>0</v>
      </c>
      <c r="AC1046" s="5">
        <f>IF(AND(ISNUMBER(H1046),NOT(ISNUMBER(P1046))),1,0)</f>
        <v>1</v>
      </c>
      <c r="AD1046" s="5">
        <f>IF(AND(ISNUMBER(H1046),ISNUMBER(P1046)),1,0)</f>
        <v>0</v>
      </c>
      <c r="AE1046" s="5">
        <f>W1046</f>
        <v>0.27</v>
      </c>
      <c r="AF1046" s="5">
        <f>X1046</f>
        <v>2.7</v>
      </c>
      <c r="AG1046" s="5">
        <f>Y1046</f>
        <v>0</v>
      </c>
      <c r="AH1046" s="5">
        <f>IF(OR(G1046="C",G1046="S",G1046="U"),1,0)</f>
        <v>0</v>
      </c>
      <c r="AI1046" s="5">
        <f>IF(ISNUMBER(H1046),1,0)</f>
        <v>1</v>
      </c>
      <c r="AJ1046" s="5">
        <f>IF(ISNUMBER(P1046),1,0)</f>
        <v>0</v>
      </c>
      <c r="AK1046" s="5">
        <f>IF(AI1046=1,IF(J1046&gt;0,1,0),"")</f>
        <v>0</v>
      </c>
      <c r="AL1046" s="5" t="str">
        <f>IF(AJ1046=1,IF(OR(Q1046&gt;0,R1046&gt;0),1,0),"")</f>
        <v/>
      </c>
    </row>
    <row r="1047" spans="1:38">
      <c r="A1047">
        <v>3684023</v>
      </c>
      <c r="B1047" t="s">
        <v>1117</v>
      </c>
      <c r="C1047" t="s">
        <v>23</v>
      </c>
      <c r="D1047" t="s">
        <v>24</v>
      </c>
      <c r="E1047">
        <v>3</v>
      </c>
      <c r="F1047">
        <v>42000</v>
      </c>
      <c r="H1047">
        <v>1</v>
      </c>
      <c r="I1047">
        <v>0</v>
      </c>
      <c r="J1047">
        <v>0</v>
      </c>
      <c r="K1047">
        <v>0</v>
      </c>
      <c r="L1047" t="s">
        <v>26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  <c r="S1047" t="s">
        <v>26</v>
      </c>
      <c r="T1047" t="s">
        <v>26</v>
      </c>
      <c r="U1047" t="s">
        <v>26</v>
      </c>
      <c r="V1047">
        <v>0</v>
      </c>
      <c r="W1047">
        <f>E1047/100</f>
        <v>0.03</v>
      </c>
      <c r="X1047">
        <f>F1047/1000000</f>
        <v>4.2000000000000003E-2</v>
      </c>
      <c r="Y1047">
        <f>IF(D1047="C",1,0)</f>
        <v>0</v>
      </c>
      <c r="Z1047">
        <f>IF(G1047="C",1,0)</f>
        <v>0</v>
      </c>
      <c r="AA1047">
        <f>IF(G1047="S",1,0)</f>
        <v>0</v>
      </c>
      <c r="AB1047">
        <f>IF(G1047="U",1,0)</f>
        <v>0</v>
      </c>
      <c r="AC1047" s="5">
        <f>IF(AND(ISNUMBER(H1047),NOT(ISNUMBER(P1047))),1,0)</f>
        <v>1</v>
      </c>
      <c r="AD1047" s="5">
        <f>IF(AND(ISNUMBER(H1047),ISNUMBER(P1047)),1,0)</f>
        <v>0</v>
      </c>
      <c r="AE1047" s="5">
        <f>W1047</f>
        <v>0.03</v>
      </c>
      <c r="AF1047" s="5">
        <f>X1047</f>
        <v>4.2000000000000003E-2</v>
      </c>
      <c r="AG1047" s="5">
        <f>Y1047</f>
        <v>0</v>
      </c>
      <c r="AH1047" s="5">
        <f>IF(OR(G1047="C",G1047="S",G1047="U"),1,0)</f>
        <v>0</v>
      </c>
      <c r="AI1047" s="5">
        <f>IF(ISNUMBER(H1047),1,0)</f>
        <v>1</v>
      </c>
      <c r="AJ1047" s="5">
        <f>IF(ISNUMBER(P1047),1,0)</f>
        <v>0</v>
      </c>
      <c r="AK1047" s="5">
        <f>IF(AI1047=1,IF(J1047&gt;0,1,0),"")</f>
        <v>0</v>
      </c>
      <c r="AL1047" s="5" t="str">
        <f>IF(AJ1047=1,IF(OR(Q1047&gt;0,R1047&gt;0),1,0),"")</f>
        <v/>
      </c>
    </row>
    <row r="1048" spans="1:38">
      <c r="A1048">
        <v>3703854</v>
      </c>
      <c r="B1048" t="s">
        <v>1118</v>
      </c>
      <c r="C1048" t="s">
        <v>23</v>
      </c>
      <c r="D1048" t="s">
        <v>24</v>
      </c>
      <c r="E1048">
        <v>1</v>
      </c>
      <c r="F1048">
        <v>9998</v>
      </c>
      <c r="H1048">
        <v>1</v>
      </c>
      <c r="I1048">
        <v>5</v>
      </c>
      <c r="J1048">
        <v>1</v>
      </c>
      <c r="K1048">
        <v>1</v>
      </c>
      <c r="L1048">
        <v>0.2</v>
      </c>
      <c r="M1048">
        <v>0.33329999999999999</v>
      </c>
      <c r="N1048">
        <v>0</v>
      </c>
      <c r="O1048" t="s">
        <v>26</v>
      </c>
      <c r="P1048" t="s">
        <v>26</v>
      </c>
      <c r="Q1048" t="s">
        <v>26</v>
      </c>
      <c r="R1048" t="s">
        <v>26</v>
      </c>
      <c r="S1048" t="s">
        <v>26</v>
      </c>
      <c r="T1048" t="s">
        <v>26</v>
      </c>
      <c r="U1048" t="s">
        <v>26</v>
      </c>
      <c r="V1048">
        <v>1</v>
      </c>
      <c r="W1048">
        <f>E1048/100</f>
        <v>0.01</v>
      </c>
      <c r="X1048">
        <f>F1048/1000000</f>
        <v>9.9979999999999999E-3</v>
      </c>
      <c r="Y1048">
        <f>IF(D1048="C",1,0)</f>
        <v>0</v>
      </c>
      <c r="Z1048">
        <f>IF(G1048="C",1,0)</f>
        <v>0</v>
      </c>
      <c r="AA1048">
        <f>IF(G1048="S",1,0)</f>
        <v>0</v>
      </c>
      <c r="AB1048">
        <f>IF(G1048="U",1,0)</f>
        <v>0</v>
      </c>
      <c r="AC1048" s="5">
        <f>IF(AND(ISNUMBER(H1048),NOT(ISNUMBER(P1048))),1,0)</f>
        <v>1</v>
      </c>
      <c r="AD1048" s="5">
        <f>IF(AND(ISNUMBER(H1048),ISNUMBER(P1048)),1,0)</f>
        <v>0</v>
      </c>
      <c r="AE1048" s="5">
        <f>W1048</f>
        <v>0.01</v>
      </c>
      <c r="AF1048" s="5">
        <f>X1048</f>
        <v>9.9979999999999999E-3</v>
      </c>
      <c r="AG1048" s="5">
        <f>Y1048</f>
        <v>0</v>
      </c>
      <c r="AH1048" s="5">
        <f>IF(OR(G1048="C",G1048="S",G1048="U"),1,0)</f>
        <v>0</v>
      </c>
      <c r="AI1048" s="5">
        <f>IF(ISNUMBER(H1048),1,0)</f>
        <v>1</v>
      </c>
      <c r="AJ1048" s="5">
        <f>IF(ISNUMBER(P1048),1,0)</f>
        <v>0</v>
      </c>
      <c r="AK1048" s="5">
        <f>IF(AI1048=1,IF(J1048&gt;0,1,0),"")</f>
        <v>1</v>
      </c>
      <c r="AL1048" s="5" t="str">
        <f>IF(AJ1048=1,IF(OR(Q1048&gt;0,R1048&gt;0),1,0),"")</f>
        <v/>
      </c>
    </row>
    <row r="1049" spans="1:38">
      <c r="A1049">
        <v>3736846</v>
      </c>
      <c r="B1049" t="s">
        <v>1119</v>
      </c>
      <c r="C1049" t="s">
        <v>82</v>
      </c>
      <c r="D1049" t="s">
        <v>24</v>
      </c>
      <c r="E1049">
        <v>25</v>
      </c>
      <c r="F1049">
        <v>8546278</v>
      </c>
      <c r="H1049">
        <v>1</v>
      </c>
      <c r="I1049">
        <v>0</v>
      </c>
      <c r="J1049">
        <v>0</v>
      </c>
      <c r="K1049">
        <v>0</v>
      </c>
      <c r="L1049" t="s">
        <v>26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  <c r="S1049" t="s">
        <v>26</v>
      </c>
      <c r="T1049" t="s">
        <v>26</v>
      </c>
      <c r="U1049" t="s">
        <v>26</v>
      </c>
      <c r="V1049">
        <v>0</v>
      </c>
      <c r="W1049">
        <f>E1049/100</f>
        <v>0.25</v>
      </c>
      <c r="X1049">
        <f>F1049/1000000</f>
        <v>8.5462779999999992</v>
      </c>
      <c r="Y1049">
        <f>IF(D1049="C",1,0)</f>
        <v>0</v>
      </c>
      <c r="Z1049">
        <f>IF(G1049="C",1,0)</f>
        <v>0</v>
      </c>
      <c r="AA1049">
        <f>IF(G1049="S",1,0)</f>
        <v>0</v>
      </c>
      <c r="AB1049">
        <f>IF(G1049="U",1,0)</f>
        <v>0</v>
      </c>
      <c r="AC1049" s="5">
        <f>IF(AND(ISNUMBER(H1049),NOT(ISNUMBER(P1049))),1,0)</f>
        <v>1</v>
      </c>
      <c r="AD1049" s="5">
        <f>IF(AND(ISNUMBER(H1049),ISNUMBER(P1049)),1,0)</f>
        <v>0</v>
      </c>
      <c r="AE1049" s="5">
        <f>W1049</f>
        <v>0.25</v>
      </c>
      <c r="AF1049" s="5">
        <f>X1049</f>
        <v>8.5462779999999992</v>
      </c>
      <c r="AG1049" s="5">
        <f>Y1049</f>
        <v>0</v>
      </c>
      <c r="AH1049" s="5">
        <f>IF(OR(G1049="C",G1049="S",G1049="U"),1,0)</f>
        <v>0</v>
      </c>
      <c r="AI1049" s="5">
        <f>IF(ISNUMBER(H1049),1,0)</f>
        <v>1</v>
      </c>
      <c r="AJ1049" s="5">
        <f>IF(ISNUMBER(P1049),1,0)</f>
        <v>0</v>
      </c>
      <c r="AK1049" s="5">
        <f>IF(AI1049=1,IF(J1049&gt;0,1,0),"")</f>
        <v>0</v>
      </c>
      <c r="AL1049" s="5" t="str">
        <f>IF(AJ1049=1,IF(OR(Q1049&gt;0,R1049&gt;0),1,0),"")</f>
        <v/>
      </c>
    </row>
    <row r="1050" spans="1:38">
      <c r="A1050">
        <v>3743078</v>
      </c>
      <c r="B1050" t="s">
        <v>1120</v>
      </c>
      <c r="C1050" t="s">
        <v>23</v>
      </c>
      <c r="D1050" t="s">
        <v>33</v>
      </c>
      <c r="E1050">
        <v>1</v>
      </c>
      <c r="F1050">
        <v>30000</v>
      </c>
      <c r="H1050">
        <v>1</v>
      </c>
      <c r="I1050">
        <v>1</v>
      </c>
      <c r="J1050">
        <v>0</v>
      </c>
      <c r="K1050">
        <v>0</v>
      </c>
      <c r="L1050">
        <v>0</v>
      </c>
      <c r="M1050" t="s">
        <v>26</v>
      </c>
      <c r="N1050">
        <v>0</v>
      </c>
      <c r="O1050" t="s">
        <v>26</v>
      </c>
      <c r="P1050" t="s">
        <v>26</v>
      </c>
      <c r="Q1050" t="s">
        <v>26</v>
      </c>
      <c r="R1050" t="s">
        <v>26</v>
      </c>
      <c r="S1050" t="s">
        <v>26</v>
      </c>
      <c r="T1050" t="s">
        <v>26</v>
      </c>
      <c r="U1050" t="s">
        <v>26</v>
      </c>
      <c r="V1050">
        <v>0</v>
      </c>
      <c r="W1050">
        <f>E1050/100</f>
        <v>0.01</v>
      </c>
      <c r="X1050">
        <f>F1050/1000000</f>
        <v>0.03</v>
      </c>
      <c r="Y1050">
        <f>IF(D1050="C",1,0)</f>
        <v>1</v>
      </c>
      <c r="Z1050">
        <f>IF(G1050="C",1,0)</f>
        <v>0</v>
      </c>
      <c r="AA1050">
        <f>IF(G1050="S",1,0)</f>
        <v>0</v>
      </c>
      <c r="AB1050">
        <f>IF(G1050="U",1,0)</f>
        <v>0</v>
      </c>
      <c r="AC1050" s="5">
        <f>IF(AND(ISNUMBER(H1050),NOT(ISNUMBER(P1050))),1,0)</f>
        <v>1</v>
      </c>
      <c r="AD1050" s="5">
        <f>IF(AND(ISNUMBER(H1050),ISNUMBER(P1050)),1,0)</f>
        <v>0</v>
      </c>
      <c r="AE1050" s="5">
        <f>W1050</f>
        <v>0.01</v>
      </c>
      <c r="AF1050" s="5">
        <f>X1050</f>
        <v>0.03</v>
      </c>
      <c r="AG1050" s="5">
        <f>Y1050</f>
        <v>1</v>
      </c>
      <c r="AH1050" s="5">
        <f>IF(OR(G1050="C",G1050="S",G1050="U"),1,0)</f>
        <v>0</v>
      </c>
      <c r="AI1050" s="5">
        <f>IF(ISNUMBER(H1050),1,0)</f>
        <v>1</v>
      </c>
      <c r="AJ1050" s="5">
        <f>IF(ISNUMBER(P1050),1,0)</f>
        <v>0</v>
      </c>
      <c r="AK1050" s="5">
        <f>IF(AI1050=1,IF(J1050&gt;0,1,0),"")</f>
        <v>0</v>
      </c>
      <c r="AL1050" s="5" t="str">
        <f>IF(AJ1050=1,IF(OR(Q1050&gt;0,R1050&gt;0),1,0),"")</f>
        <v/>
      </c>
    </row>
    <row r="1051" spans="1:38">
      <c r="A1051">
        <v>3752464</v>
      </c>
      <c r="B1051" t="s">
        <v>1121</v>
      </c>
      <c r="C1051" t="s">
        <v>23</v>
      </c>
      <c r="D1051" t="s">
        <v>24</v>
      </c>
      <c r="E1051">
        <v>3</v>
      </c>
      <c r="F1051">
        <v>31200</v>
      </c>
      <c r="H1051">
        <v>1</v>
      </c>
      <c r="I1051">
        <v>1</v>
      </c>
      <c r="J1051">
        <v>1</v>
      </c>
      <c r="K1051">
        <v>1</v>
      </c>
      <c r="L1051">
        <v>1</v>
      </c>
      <c r="M1051" t="s">
        <v>26</v>
      </c>
      <c r="N1051">
        <v>1</v>
      </c>
      <c r="O1051" t="s">
        <v>26</v>
      </c>
      <c r="P1051" t="s">
        <v>26</v>
      </c>
      <c r="Q1051" t="s">
        <v>26</v>
      </c>
      <c r="R1051" t="s">
        <v>26</v>
      </c>
      <c r="S1051" t="s">
        <v>26</v>
      </c>
      <c r="T1051" t="s">
        <v>26</v>
      </c>
      <c r="U1051" t="s">
        <v>26</v>
      </c>
      <c r="V1051">
        <v>1</v>
      </c>
      <c r="W1051">
        <f>E1051/100</f>
        <v>0.03</v>
      </c>
      <c r="X1051">
        <f>F1051/1000000</f>
        <v>3.1199999999999999E-2</v>
      </c>
      <c r="Y1051">
        <f>IF(D1051="C",1,0)</f>
        <v>0</v>
      </c>
      <c r="Z1051">
        <f>IF(G1051="C",1,0)</f>
        <v>0</v>
      </c>
      <c r="AA1051">
        <f>IF(G1051="S",1,0)</f>
        <v>0</v>
      </c>
      <c r="AB1051">
        <f>IF(G1051="U",1,0)</f>
        <v>0</v>
      </c>
      <c r="AC1051" s="5">
        <f>IF(AND(ISNUMBER(H1051),NOT(ISNUMBER(P1051))),1,0)</f>
        <v>1</v>
      </c>
      <c r="AD1051" s="5">
        <f>IF(AND(ISNUMBER(H1051),ISNUMBER(P1051)),1,0)</f>
        <v>0</v>
      </c>
      <c r="AE1051" s="5">
        <f>W1051</f>
        <v>0.03</v>
      </c>
      <c r="AF1051" s="5">
        <f>X1051</f>
        <v>3.1199999999999999E-2</v>
      </c>
      <c r="AG1051" s="5">
        <f>Y1051</f>
        <v>0</v>
      </c>
      <c r="AH1051" s="5">
        <f>IF(OR(G1051="C",G1051="S",G1051="U"),1,0)</f>
        <v>0</v>
      </c>
      <c r="AI1051" s="5">
        <f>IF(ISNUMBER(H1051),1,0)</f>
        <v>1</v>
      </c>
      <c r="AJ1051" s="5">
        <f>IF(ISNUMBER(P1051),1,0)</f>
        <v>0</v>
      </c>
      <c r="AK1051" s="5">
        <f>IF(AI1051=1,IF(J1051&gt;0,1,0),"")</f>
        <v>1</v>
      </c>
      <c r="AL1051" s="5" t="str">
        <f>IF(AJ1051=1,IF(OR(Q1051&gt;0,R1051&gt;0),1,0),"")</f>
        <v/>
      </c>
    </row>
    <row r="1052" spans="1:38">
      <c r="A1052">
        <v>3759777</v>
      </c>
      <c r="B1052" t="s">
        <v>1122</v>
      </c>
      <c r="C1052" t="s">
        <v>815</v>
      </c>
      <c r="D1052" t="s">
        <v>24</v>
      </c>
      <c r="E1052">
        <v>30</v>
      </c>
      <c r="F1052">
        <v>2820204</v>
      </c>
      <c r="H1052">
        <v>1</v>
      </c>
      <c r="I1052">
        <v>0</v>
      </c>
      <c r="J1052">
        <v>0</v>
      </c>
      <c r="K1052">
        <v>0</v>
      </c>
      <c r="L1052" t="s">
        <v>26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  <c r="S1052" t="s">
        <v>26</v>
      </c>
      <c r="T1052" t="s">
        <v>26</v>
      </c>
      <c r="U1052" t="s">
        <v>26</v>
      </c>
      <c r="V1052">
        <v>0</v>
      </c>
      <c r="W1052">
        <f>E1052/100</f>
        <v>0.3</v>
      </c>
      <c r="X1052">
        <f>F1052/1000000</f>
        <v>2.8202039999999999</v>
      </c>
      <c r="Y1052">
        <f>IF(D1052="C",1,0)</f>
        <v>0</v>
      </c>
      <c r="Z1052">
        <f>IF(G1052="C",1,0)</f>
        <v>0</v>
      </c>
      <c r="AA1052">
        <f>IF(G1052="S",1,0)</f>
        <v>0</v>
      </c>
      <c r="AB1052">
        <f>IF(G1052="U",1,0)</f>
        <v>0</v>
      </c>
      <c r="AC1052" s="5">
        <f>IF(AND(ISNUMBER(H1052),NOT(ISNUMBER(P1052))),1,0)</f>
        <v>1</v>
      </c>
      <c r="AD1052" s="5">
        <f>IF(AND(ISNUMBER(H1052),ISNUMBER(P1052)),1,0)</f>
        <v>0</v>
      </c>
      <c r="AE1052" s="5">
        <f>W1052</f>
        <v>0.3</v>
      </c>
      <c r="AF1052" s="5">
        <f>X1052</f>
        <v>2.8202039999999999</v>
      </c>
      <c r="AG1052" s="5">
        <f>Y1052</f>
        <v>0</v>
      </c>
      <c r="AH1052" s="5">
        <f>IF(OR(G1052="C",G1052="S",G1052="U"),1,0)</f>
        <v>0</v>
      </c>
      <c r="AI1052" s="5">
        <f>IF(ISNUMBER(H1052),1,0)</f>
        <v>1</v>
      </c>
      <c r="AJ1052" s="5">
        <f>IF(ISNUMBER(P1052),1,0)</f>
        <v>0</v>
      </c>
      <c r="AK1052" s="5">
        <f>IF(AI1052=1,IF(J1052&gt;0,1,0),"")</f>
        <v>0</v>
      </c>
      <c r="AL1052" s="5" t="str">
        <f>IF(AJ1052=1,IF(OR(Q1052&gt;0,R1052&gt;0),1,0),"")</f>
        <v/>
      </c>
    </row>
    <row r="1053" spans="1:38">
      <c r="A1053">
        <v>3767156</v>
      </c>
      <c r="B1053" t="s">
        <v>1123</v>
      </c>
      <c r="C1053" t="s">
        <v>42</v>
      </c>
      <c r="D1053" t="s">
        <v>24</v>
      </c>
      <c r="E1053">
        <v>1</v>
      </c>
      <c r="F1053">
        <v>80000</v>
      </c>
      <c r="H1053">
        <v>1</v>
      </c>
      <c r="I1053">
        <v>4</v>
      </c>
      <c r="J1053">
        <v>0</v>
      </c>
      <c r="K1053">
        <v>0</v>
      </c>
      <c r="L1053">
        <v>0</v>
      </c>
      <c r="M1053" t="s">
        <v>26</v>
      </c>
      <c r="N1053">
        <v>0</v>
      </c>
      <c r="O1053" t="s">
        <v>26</v>
      </c>
      <c r="P1053" t="s">
        <v>26</v>
      </c>
      <c r="Q1053" t="s">
        <v>26</v>
      </c>
      <c r="R1053" t="s">
        <v>26</v>
      </c>
      <c r="S1053" t="s">
        <v>26</v>
      </c>
      <c r="T1053" t="s">
        <v>26</v>
      </c>
      <c r="U1053" t="s">
        <v>26</v>
      </c>
      <c r="V1053">
        <v>0</v>
      </c>
      <c r="W1053">
        <f>E1053/100</f>
        <v>0.01</v>
      </c>
      <c r="X1053">
        <f>F1053/1000000</f>
        <v>0.08</v>
      </c>
      <c r="Y1053">
        <f>IF(D1053="C",1,0)</f>
        <v>0</v>
      </c>
      <c r="Z1053">
        <f>IF(G1053="C",1,0)</f>
        <v>0</v>
      </c>
      <c r="AA1053">
        <f>IF(G1053="S",1,0)</f>
        <v>0</v>
      </c>
      <c r="AB1053">
        <f>IF(G1053="U",1,0)</f>
        <v>0</v>
      </c>
      <c r="AC1053" s="5">
        <f>IF(AND(ISNUMBER(H1053),NOT(ISNUMBER(P1053))),1,0)</f>
        <v>1</v>
      </c>
      <c r="AD1053" s="5">
        <f>IF(AND(ISNUMBER(H1053),ISNUMBER(P1053)),1,0)</f>
        <v>0</v>
      </c>
      <c r="AE1053" s="5">
        <f>W1053</f>
        <v>0.01</v>
      </c>
      <c r="AF1053" s="5">
        <f>X1053</f>
        <v>0.08</v>
      </c>
      <c r="AG1053" s="5">
        <f>Y1053</f>
        <v>0</v>
      </c>
      <c r="AH1053" s="5">
        <f>IF(OR(G1053="C",G1053="S",G1053="U"),1,0)</f>
        <v>0</v>
      </c>
      <c r="AI1053" s="5">
        <f>IF(ISNUMBER(H1053),1,0)</f>
        <v>1</v>
      </c>
      <c r="AJ1053" s="5">
        <f>IF(ISNUMBER(P1053),1,0)</f>
        <v>0</v>
      </c>
      <c r="AK1053" s="5">
        <f>IF(AI1053=1,IF(J1053&gt;0,1,0),"")</f>
        <v>0</v>
      </c>
      <c r="AL1053" s="5" t="str">
        <f>IF(AJ1053=1,IF(OR(Q1053&gt;0,R1053&gt;0),1,0),"")</f>
        <v/>
      </c>
    </row>
    <row r="1054" spans="1:38">
      <c r="A1054">
        <v>3768026</v>
      </c>
      <c r="B1054" t="s">
        <v>1124</v>
      </c>
      <c r="C1054" t="s">
        <v>135</v>
      </c>
      <c r="D1054" t="s">
        <v>24</v>
      </c>
      <c r="E1054">
        <v>3</v>
      </c>
      <c r="F1054">
        <v>250000</v>
      </c>
      <c r="H1054">
        <v>1</v>
      </c>
      <c r="I1054">
        <v>4</v>
      </c>
      <c r="J1054">
        <v>1</v>
      </c>
      <c r="K1054">
        <v>1</v>
      </c>
      <c r="L1054">
        <v>0.25</v>
      </c>
      <c r="M1054">
        <v>0.5</v>
      </c>
      <c r="N1054">
        <v>0</v>
      </c>
      <c r="O1054" t="s">
        <v>26</v>
      </c>
      <c r="P1054" t="s">
        <v>26</v>
      </c>
      <c r="Q1054" t="s">
        <v>26</v>
      </c>
      <c r="R1054" t="s">
        <v>26</v>
      </c>
      <c r="S1054" t="s">
        <v>26</v>
      </c>
      <c r="T1054" t="s">
        <v>26</v>
      </c>
      <c r="U1054" t="s">
        <v>26</v>
      </c>
      <c r="V1054">
        <v>1</v>
      </c>
      <c r="W1054">
        <f>E1054/100</f>
        <v>0.03</v>
      </c>
      <c r="X1054">
        <f>F1054/1000000</f>
        <v>0.25</v>
      </c>
      <c r="Y1054">
        <f>IF(D1054="C",1,0)</f>
        <v>0</v>
      </c>
      <c r="Z1054">
        <f>IF(G1054="C",1,0)</f>
        <v>0</v>
      </c>
      <c r="AA1054">
        <f>IF(G1054="S",1,0)</f>
        <v>0</v>
      </c>
      <c r="AB1054">
        <f>IF(G1054="U",1,0)</f>
        <v>0</v>
      </c>
      <c r="AC1054" s="5">
        <f>IF(AND(ISNUMBER(H1054),NOT(ISNUMBER(P1054))),1,0)</f>
        <v>1</v>
      </c>
      <c r="AD1054" s="5">
        <f>IF(AND(ISNUMBER(H1054),ISNUMBER(P1054)),1,0)</f>
        <v>0</v>
      </c>
      <c r="AE1054" s="5">
        <f>W1054</f>
        <v>0.03</v>
      </c>
      <c r="AF1054" s="5">
        <f>X1054</f>
        <v>0.25</v>
      </c>
      <c r="AG1054" s="5">
        <f>Y1054</f>
        <v>0</v>
      </c>
      <c r="AH1054" s="5">
        <f>IF(OR(G1054="C",G1054="S",G1054="U"),1,0)</f>
        <v>0</v>
      </c>
      <c r="AI1054" s="5">
        <f>IF(ISNUMBER(H1054),1,0)</f>
        <v>1</v>
      </c>
      <c r="AJ1054" s="5">
        <f>IF(ISNUMBER(P1054),1,0)</f>
        <v>0</v>
      </c>
      <c r="AK1054" s="5">
        <f>IF(AI1054=1,IF(J1054&gt;0,1,0),"")</f>
        <v>1</v>
      </c>
      <c r="AL1054" s="5" t="str">
        <f>IF(AJ1054=1,IF(OR(Q1054&gt;0,R1054&gt;0),1,0),"")</f>
        <v/>
      </c>
    </row>
    <row r="1055" spans="1:38">
      <c r="A1055">
        <v>3775104</v>
      </c>
      <c r="B1055" t="s">
        <v>1125</v>
      </c>
      <c r="C1055" t="s">
        <v>23</v>
      </c>
      <c r="D1055" t="s">
        <v>24</v>
      </c>
      <c r="E1055">
        <v>1</v>
      </c>
      <c r="F1055">
        <v>22250</v>
      </c>
      <c r="H1055">
        <v>1</v>
      </c>
      <c r="I1055">
        <v>3</v>
      </c>
      <c r="J1055">
        <v>0</v>
      </c>
      <c r="K1055">
        <v>0</v>
      </c>
      <c r="L1055">
        <v>0</v>
      </c>
      <c r="M1055" t="s">
        <v>26</v>
      </c>
      <c r="N1055">
        <v>0</v>
      </c>
      <c r="O1055" t="s">
        <v>26</v>
      </c>
      <c r="P1055" t="s">
        <v>26</v>
      </c>
      <c r="Q1055" t="s">
        <v>26</v>
      </c>
      <c r="R1055" t="s">
        <v>26</v>
      </c>
      <c r="S1055" t="s">
        <v>26</v>
      </c>
      <c r="T1055" t="s">
        <v>26</v>
      </c>
      <c r="U1055" t="s">
        <v>26</v>
      </c>
      <c r="V1055">
        <v>0</v>
      </c>
      <c r="W1055">
        <f>E1055/100</f>
        <v>0.01</v>
      </c>
      <c r="X1055">
        <f>F1055/1000000</f>
        <v>2.2249999999999999E-2</v>
      </c>
      <c r="Y1055">
        <f>IF(D1055="C",1,0)</f>
        <v>0</v>
      </c>
      <c r="Z1055">
        <f>IF(G1055="C",1,0)</f>
        <v>0</v>
      </c>
      <c r="AA1055">
        <f>IF(G1055="S",1,0)</f>
        <v>0</v>
      </c>
      <c r="AB1055">
        <f>IF(G1055="U",1,0)</f>
        <v>0</v>
      </c>
      <c r="AC1055" s="5">
        <f>IF(AND(ISNUMBER(H1055),NOT(ISNUMBER(P1055))),1,0)</f>
        <v>1</v>
      </c>
      <c r="AD1055" s="5">
        <f>IF(AND(ISNUMBER(H1055),ISNUMBER(P1055)),1,0)</f>
        <v>0</v>
      </c>
      <c r="AE1055" s="5">
        <f>W1055</f>
        <v>0.01</v>
      </c>
      <c r="AF1055" s="5">
        <f>X1055</f>
        <v>2.2249999999999999E-2</v>
      </c>
      <c r="AG1055" s="5">
        <f>Y1055</f>
        <v>0</v>
      </c>
      <c r="AH1055" s="5">
        <f>IF(OR(G1055="C",G1055="S",G1055="U"),1,0)</f>
        <v>0</v>
      </c>
      <c r="AI1055" s="5">
        <f>IF(ISNUMBER(H1055),1,0)</f>
        <v>1</v>
      </c>
      <c r="AJ1055" s="5">
        <f>IF(ISNUMBER(P1055),1,0)</f>
        <v>0</v>
      </c>
      <c r="AK1055" s="5">
        <f>IF(AI1055=1,IF(J1055&gt;0,1,0),"")</f>
        <v>0</v>
      </c>
      <c r="AL1055" s="5" t="str">
        <f>IF(AJ1055=1,IF(OR(Q1055&gt;0,R1055&gt;0),1,0),"")</f>
        <v/>
      </c>
    </row>
    <row r="1056" spans="1:38">
      <c r="A1056">
        <v>3785407</v>
      </c>
      <c r="B1056" t="s">
        <v>1126</v>
      </c>
      <c r="C1056" t="s">
        <v>23</v>
      </c>
      <c r="D1056" t="s">
        <v>24</v>
      </c>
      <c r="E1056">
        <v>1</v>
      </c>
      <c r="F1056">
        <v>36529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  <c r="S1056" t="s">
        <v>26</v>
      </c>
      <c r="T1056" t="s">
        <v>26</v>
      </c>
      <c r="U1056" t="s">
        <v>26</v>
      </c>
      <c r="V1056">
        <v>0</v>
      </c>
      <c r="W1056">
        <f>E1056/100</f>
        <v>0.01</v>
      </c>
      <c r="X1056">
        <f>F1056/1000000</f>
        <v>3.6528999999999999E-2</v>
      </c>
      <c r="Y1056">
        <f>IF(D1056="C",1,0)</f>
        <v>0</v>
      </c>
      <c r="Z1056">
        <f>IF(G1056="C",1,0)</f>
        <v>0</v>
      </c>
      <c r="AA1056">
        <f>IF(G1056="S",1,0)</f>
        <v>0</v>
      </c>
      <c r="AB1056">
        <f>IF(G1056="U",1,0)</f>
        <v>0</v>
      </c>
      <c r="AC1056" s="5">
        <f>IF(AND(ISNUMBER(H1056),NOT(ISNUMBER(P1056))),1,0)</f>
        <v>1</v>
      </c>
      <c r="AD1056" s="5">
        <f>IF(AND(ISNUMBER(H1056),ISNUMBER(P1056)),1,0)</f>
        <v>0</v>
      </c>
      <c r="AE1056" s="5">
        <f>W1056</f>
        <v>0.01</v>
      </c>
      <c r="AF1056" s="5">
        <f>X1056</f>
        <v>3.6528999999999999E-2</v>
      </c>
      <c r="AG1056" s="5">
        <f>Y1056</f>
        <v>0</v>
      </c>
      <c r="AH1056" s="5">
        <f>IF(OR(G1056="C",G1056="S",G1056="U"),1,0)</f>
        <v>0</v>
      </c>
      <c r="AI1056" s="5">
        <f>IF(ISNUMBER(H1056),1,0)</f>
        <v>1</v>
      </c>
      <c r="AJ1056" s="5">
        <f>IF(ISNUMBER(P1056),1,0)</f>
        <v>0</v>
      </c>
      <c r="AK1056" s="5">
        <f>IF(AI1056=1,IF(J1056&gt;0,1,0),"")</f>
        <v>0</v>
      </c>
      <c r="AL1056" s="5" t="str">
        <f>IF(AJ1056=1,IF(OR(Q1056&gt;0,R1056&gt;0),1,0),"")</f>
        <v/>
      </c>
    </row>
    <row r="1057" spans="1:38">
      <c r="A1057">
        <v>3785601</v>
      </c>
      <c r="B1057" t="s">
        <v>1127</v>
      </c>
      <c r="C1057" t="s">
        <v>37</v>
      </c>
      <c r="D1057" t="s">
        <v>24</v>
      </c>
      <c r="E1057">
        <v>3</v>
      </c>
      <c r="F1057">
        <v>30000</v>
      </c>
      <c r="H1057">
        <v>1</v>
      </c>
      <c r="I1057">
        <v>3</v>
      </c>
      <c r="J1057">
        <v>0</v>
      </c>
      <c r="K1057">
        <v>0</v>
      </c>
      <c r="L1057">
        <v>0</v>
      </c>
      <c r="M1057" t="s">
        <v>26</v>
      </c>
      <c r="N1057">
        <v>0</v>
      </c>
      <c r="O1057" t="s">
        <v>26</v>
      </c>
      <c r="P1057" t="s">
        <v>26</v>
      </c>
      <c r="Q1057" t="s">
        <v>26</v>
      </c>
      <c r="R1057" t="s">
        <v>26</v>
      </c>
      <c r="S1057" t="s">
        <v>26</v>
      </c>
      <c r="T1057" t="s">
        <v>26</v>
      </c>
      <c r="U1057" t="s">
        <v>26</v>
      </c>
      <c r="V1057">
        <v>0</v>
      </c>
      <c r="W1057">
        <f>E1057/100</f>
        <v>0.03</v>
      </c>
      <c r="X1057">
        <f>F1057/1000000</f>
        <v>0.03</v>
      </c>
      <c r="Y1057">
        <f>IF(D1057="C",1,0)</f>
        <v>0</v>
      </c>
      <c r="Z1057">
        <f>IF(G1057="C",1,0)</f>
        <v>0</v>
      </c>
      <c r="AA1057">
        <f>IF(G1057="S",1,0)</f>
        <v>0</v>
      </c>
      <c r="AB1057">
        <f>IF(G1057="U",1,0)</f>
        <v>0</v>
      </c>
      <c r="AC1057" s="5">
        <f>IF(AND(ISNUMBER(H1057),NOT(ISNUMBER(P1057))),1,0)</f>
        <v>1</v>
      </c>
      <c r="AD1057" s="5">
        <f>IF(AND(ISNUMBER(H1057),ISNUMBER(P1057)),1,0)</f>
        <v>0</v>
      </c>
      <c r="AE1057" s="5">
        <f>W1057</f>
        <v>0.03</v>
      </c>
      <c r="AF1057" s="5">
        <f>X1057</f>
        <v>0.03</v>
      </c>
      <c r="AG1057" s="5">
        <f>Y1057</f>
        <v>0</v>
      </c>
      <c r="AH1057" s="5">
        <f>IF(OR(G1057="C",G1057="S",G1057="U"),1,0)</f>
        <v>0</v>
      </c>
      <c r="AI1057" s="5">
        <f>IF(ISNUMBER(H1057),1,0)</f>
        <v>1</v>
      </c>
      <c r="AJ1057" s="5">
        <f>IF(ISNUMBER(P1057),1,0)</f>
        <v>0</v>
      </c>
      <c r="AK1057" s="5">
        <f>IF(AI1057=1,IF(J1057&gt;0,1,0),"")</f>
        <v>0</v>
      </c>
      <c r="AL1057" s="5" t="str">
        <f>IF(AJ1057=1,IF(OR(Q1057&gt;0,R1057&gt;0),1,0),"")</f>
        <v/>
      </c>
    </row>
    <row r="1058" spans="1:38">
      <c r="A1058">
        <v>3800058</v>
      </c>
      <c r="B1058" t="s">
        <v>1128</v>
      </c>
      <c r="C1058" t="s">
        <v>23</v>
      </c>
      <c r="D1058" t="s">
        <v>24</v>
      </c>
      <c r="E1058">
        <v>1</v>
      </c>
      <c r="F1058">
        <v>30000</v>
      </c>
      <c r="H1058">
        <v>1</v>
      </c>
      <c r="I1058">
        <v>1</v>
      </c>
      <c r="J1058">
        <v>0</v>
      </c>
      <c r="K1058">
        <v>0</v>
      </c>
      <c r="L1058">
        <v>0</v>
      </c>
      <c r="M1058" t="s">
        <v>26</v>
      </c>
      <c r="N1058">
        <v>0</v>
      </c>
      <c r="O1058" t="s">
        <v>26</v>
      </c>
      <c r="P1058" t="s">
        <v>26</v>
      </c>
      <c r="Q1058" t="s">
        <v>26</v>
      </c>
      <c r="R1058" t="s">
        <v>26</v>
      </c>
      <c r="S1058" t="s">
        <v>26</v>
      </c>
      <c r="T1058" t="s">
        <v>26</v>
      </c>
      <c r="U1058" t="s">
        <v>26</v>
      </c>
      <c r="V1058">
        <v>0</v>
      </c>
      <c r="W1058">
        <f>E1058/100</f>
        <v>0.01</v>
      </c>
      <c r="X1058">
        <f>F1058/1000000</f>
        <v>0.03</v>
      </c>
      <c r="Y1058">
        <f>IF(D1058="C",1,0)</f>
        <v>0</v>
      </c>
      <c r="Z1058">
        <f>IF(G1058="C",1,0)</f>
        <v>0</v>
      </c>
      <c r="AA1058">
        <f>IF(G1058="S",1,0)</f>
        <v>0</v>
      </c>
      <c r="AB1058">
        <f>IF(G1058="U",1,0)</f>
        <v>0</v>
      </c>
      <c r="AC1058" s="5">
        <f>IF(AND(ISNUMBER(H1058),NOT(ISNUMBER(P1058))),1,0)</f>
        <v>1</v>
      </c>
      <c r="AD1058" s="5">
        <f>IF(AND(ISNUMBER(H1058),ISNUMBER(P1058)),1,0)</f>
        <v>0</v>
      </c>
      <c r="AE1058" s="5">
        <f>W1058</f>
        <v>0.01</v>
      </c>
      <c r="AF1058" s="5">
        <f>X1058</f>
        <v>0.03</v>
      </c>
      <c r="AG1058" s="5">
        <f>Y1058</f>
        <v>0</v>
      </c>
      <c r="AH1058" s="5">
        <f>IF(OR(G1058="C",G1058="S",G1058="U"),1,0)</f>
        <v>0</v>
      </c>
      <c r="AI1058" s="5">
        <f>IF(ISNUMBER(H1058),1,0)</f>
        <v>1</v>
      </c>
      <c r="AJ1058" s="5">
        <f>IF(ISNUMBER(P1058),1,0)</f>
        <v>0</v>
      </c>
      <c r="AK1058" s="5">
        <f>IF(AI1058=1,IF(J1058&gt;0,1,0),"")</f>
        <v>0</v>
      </c>
      <c r="AL1058" s="5" t="str">
        <f>IF(AJ1058=1,IF(OR(Q1058&gt;0,R1058&gt;0),1,0),"")</f>
        <v/>
      </c>
    </row>
    <row r="1059" spans="1:38">
      <c r="A1059">
        <v>3803918</v>
      </c>
      <c r="B1059" t="s">
        <v>1129</v>
      </c>
      <c r="C1059" t="s">
        <v>23</v>
      </c>
      <c r="D1059" t="s">
        <v>24</v>
      </c>
      <c r="E1059">
        <v>1</v>
      </c>
      <c r="F1059">
        <v>30000</v>
      </c>
      <c r="H1059">
        <v>1</v>
      </c>
      <c r="I1059">
        <v>0</v>
      </c>
      <c r="J1059">
        <v>0</v>
      </c>
      <c r="K1059">
        <v>0</v>
      </c>
      <c r="L1059" t="s">
        <v>26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  <c r="S1059" t="s">
        <v>26</v>
      </c>
      <c r="T1059" t="s">
        <v>26</v>
      </c>
      <c r="U1059" t="s">
        <v>26</v>
      </c>
      <c r="V1059">
        <v>0</v>
      </c>
      <c r="W1059">
        <f>E1059/100</f>
        <v>0.01</v>
      </c>
      <c r="X1059">
        <f>F1059/1000000</f>
        <v>0.03</v>
      </c>
      <c r="Y1059">
        <f>IF(D1059="C",1,0)</f>
        <v>0</v>
      </c>
      <c r="Z1059">
        <f>IF(G1059="C",1,0)</f>
        <v>0</v>
      </c>
      <c r="AA1059">
        <f>IF(G1059="S",1,0)</f>
        <v>0</v>
      </c>
      <c r="AB1059">
        <f>IF(G1059="U",1,0)</f>
        <v>0</v>
      </c>
      <c r="AC1059" s="5">
        <f>IF(AND(ISNUMBER(H1059),NOT(ISNUMBER(P1059))),1,0)</f>
        <v>1</v>
      </c>
      <c r="AD1059" s="5">
        <f>IF(AND(ISNUMBER(H1059),ISNUMBER(P1059)),1,0)</f>
        <v>0</v>
      </c>
      <c r="AE1059" s="5">
        <f>W1059</f>
        <v>0.01</v>
      </c>
      <c r="AF1059" s="5">
        <f>X1059</f>
        <v>0.03</v>
      </c>
      <c r="AG1059" s="5">
        <f>Y1059</f>
        <v>0</v>
      </c>
      <c r="AH1059" s="5">
        <f>IF(OR(G1059="C",G1059="S",G1059="U"),1,0)</f>
        <v>0</v>
      </c>
      <c r="AI1059" s="5">
        <f>IF(ISNUMBER(H1059),1,0)</f>
        <v>1</v>
      </c>
      <c r="AJ1059" s="5">
        <f>IF(ISNUMBER(P1059),1,0)</f>
        <v>0</v>
      </c>
      <c r="AK1059" s="5">
        <f>IF(AI1059=1,IF(J1059&gt;0,1,0),"")</f>
        <v>0</v>
      </c>
      <c r="AL1059" s="5" t="str">
        <f>IF(AJ1059=1,IF(OR(Q1059&gt;0,R1059&gt;0),1,0),"")</f>
        <v/>
      </c>
    </row>
    <row r="1060" spans="1:38">
      <c r="A1060">
        <v>3807082</v>
      </c>
      <c r="B1060" t="s">
        <v>1130</v>
      </c>
      <c r="C1060" t="s">
        <v>37</v>
      </c>
      <c r="D1060" t="s">
        <v>24</v>
      </c>
      <c r="E1060">
        <v>3</v>
      </c>
      <c r="F1060">
        <v>66777</v>
      </c>
      <c r="H1060">
        <v>1</v>
      </c>
      <c r="I1060">
        <v>2</v>
      </c>
      <c r="J1060">
        <v>0</v>
      </c>
      <c r="K1060">
        <v>0</v>
      </c>
      <c r="L1060">
        <v>0</v>
      </c>
      <c r="M1060" t="s">
        <v>26</v>
      </c>
      <c r="N1060">
        <v>0</v>
      </c>
      <c r="O1060" t="s">
        <v>26</v>
      </c>
      <c r="P1060" t="s">
        <v>26</v>
      </c>
      <c r="Q1060" t="s">
        <v>26</v>
      </c>
      <c r="R1060" t="s">
        <v>26</v>
      </c>
      <c r="S1060" t="s">
        <v>26</v>
      </c>
      <c r="T1060" t="s">
        <v>26</v>
      </c>
      <c r="U1060" t="s">
        <v>26</v>
      </c>
      <c r="V1060">
        <v>0</v>
      </c>
      <c r="W1060">
        <f>E1060/100</f>
        <v>0.03</v>
      </c>
      <c r="X1060">
        <f>F1060/1000000</f>
        <v>6.6777000000000003E-2</v>
      </c>
      <c r="Y1060">
        <f>IF(D1060="C",1,0)</f>
        <v>0</v>
      </c>
      <c r="Z1060">
        <f>IF(G1060="C",1,0)</f>
        <v>0</v>
      </c>
      <c r="AA1060">
        <f>IF(G1060="S",1,0)</f>
        <v>0</v>
      </c>
      <c r="AB1060">
        <f>IF(G1060="U",1,0)</f>
        <v>0</v>
      </c>
      <c r="AC1060" s="5">
        <f>IF(AND(ISNUMBER(H1060),NOT(ISNUMBER(P1060))),1,0)</f>
        <v>1</v>
      </c>
      <c r="AD1060" s="5">
        <f>IF(AND(ISNUMBER(H1060),ISNUMBER(P1060)),1,0)</f>
        <v>0</v>
      </c>
      <c r="AE1060" s="5">
        <f>W1060</f>
        <v>0.03</v>
      </c>
      <c r="AF1060" s="5">
        <f>X1060</f>
        <v>6.6777000000000003E-2</v>
      </c>
      <c r="AG1060" s="5">
        <f>Y1060</f>
        <v>0</v>
      </c>
      <c r="AH1060" s="5">
        <f>IF(OR(G1060="C",G1060="S",G1060="U"),1,0)</f>
        <v>0</v>
      </c>
      <c r="AI1060" s="5">
        <f>IF(ISNUMBER(H1060),1,0)</f>
        <v>1</v>
      </c>
      <c r="AJ1060" s="5">
        <f>IF(ISNUMBER(P1060),1,0)</f>
        <v>0</v>
      </c>
      <c r="AK1060" s="5">
        <f>IF(AI1060=1,IF(J1060&gt;0,1,0),"")</f>
        <v>0</v>
      </c>
      <c r="AL1060" s="5" t="str">
        <f>IF(AJ1060=1,IF(OR(Q1060&gt;0,R1060&gt;0),1,0),"")</f>
        <v/>
      </c>
    </row>
    <row r="1061" spans="1:38">
      <c r="A1061">
        <v>3817616</v>
      </c>
      <c r="B1061" t="s">
        <v>1131</v>
      </c>
      <c r="C1061" t="s">
        <v>23</v>
      </c>
      <c r="D1061" t="s">
        <v>24</v>
      </c>
      <c r="E1061">
        <v>1</v>
      </c>
      <c r="F1061">
        <v>85000</v>
      </c>
      <c r="H1061">
        <v>1</v>
      </c>
      <c r="I1061">
        <v>0</v>
      </c>
      <c r="J1061">
        <v>0</v>
      </c>
      <c r="K1061">
        <v>0</v>
      </c>
      <c r="L1061" t="s">
        <v>26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  <c r="S1061" t="s">
        <v>26</v>
      </c>
      <c r="T1061" t="s">
        <v>26</v>
      </c>
      <c r="U1061" t="s">
        <v>26</v>
      </c>
      <c r="V1061">
        <v>0</v>
      </c>
      <c r="W1061">
        <f>E1061/100</f>
        <v>0.01</v>
      </c>
      <c r="X1061">
        <f>F1061/1000000</f>
        <v>8.5000000000000006E-2</v>
      </c>
      <c r="Y1061">
        <f>IF(D1061="C",1,0)</f>
        <v>0</v>
      </c>
      <c r="Z1061">
        <f>IF(G1061="C",1,0)</f>
        <v>0</v>
      </c>
      <c r="AA1061">
        <f>IF(G1061="S",1,0)</f>
        <v>0</v>
      </c>
      <c r="AB1061">
        <f>IF(G1061="U",1,0)</f>
        <v>0</v>
      </c>
      <c r="AC1061" s="5">
        <f>IF(AND(ISNUMBER(H1061),NOT(ISNUMBER(P1061))),1,0)</f>
        <v>1</v>
      </c>
      <c r="AD1061" s="5">
        <f>IF(AND(ISNUMBER(H1061),ISNUMBER(P1061)),1,0)</f>
        <v>0</v>
      </c>
      <c r="AE1061" s="5">
        <f>W1061</f>
        <v>0.01</v>
      </c>
      <c r="AF1061" s="5">
        <f>X1061</f>
        <v>8.5000000000000006E-2</v>
      </c>
      <c r="AG1061" s="5">
        <f>Y1061</f>
        <v>0</v>
      </c>
      <c r="AH1061" s="5">
        <f>IF(OR(G1061="C",G1061="S",G1061="U"),1,0)</f>
        <v>0</v>
      </c>
      <c r="AI1061" s="5">
        <f>IF(ISNUMBER(H1061),1,0)</f>
        <v>1</v>
      </c>
      <c r="AJ1061" s="5">
        <f>IF(ISNUMBER(P1061),1,0)</f>
        <v>0</v>
      </c>
      <c r="AK1061" s="5">
        <f>IF(AI1061=1,IF(J1061&gt;0,1,0),"")</f>
        <v>0</v>
      </c>
      <c r="AL1061" s="5" t="str">
        <f>IF(AJ1061=1,IF(OR(Q1061&gt;0,R1061&gt;0),1,0),"")</f>
        <v/>
      </c>
    </row>
    <row r="1062" spans="1:38">
      <c r="A1062">
        <v>3831271</v>
      </c>
      <c r="B1062" t="s">
        <v>1132</v>
      </c>
      <c r="C1062" t="s">
        <v>37</v>
      </c>
      <c r="D1062" t="s">
        <v>24</v>
      </c>
      <c r="E1062">
        <v>1</v>
      </c>
      <c r="F1062">
        <v>34000</v>
      </c>
      <c r="G1062" t="s">
        <v>33</v>
      </c>
      <c r="H1062">
        <v>1</v>
      </c>
      <c r="I1062">
        <v>3</v>
      </c>
      <c r="J1062">
        <v>1</v>
      </c>
      <c r="K1062">
        <v>1</v>
      </c>
      <c r="L1062">
        <v>0.33329999999999999</v>
      </c>
      <c r="M1062" t="s">
        <v>26</v>
      </c>
      <c r="N1062">
        <v>0.33329999999999999</v>
      </c>
      <c r="O1062" t="s">
        <v>26</v>
      </c>
      <c r="P1062" t="s">
        <v>26</v>
      </c>
      <c r="Q1062" t="s">
        <v>26</v>
      </c>
      <c r="R1062" t="s">
        <v>26</v>
      </c>
      <c r="S1062" t="s">
        <v>26</v>
      </c>
      <c r="T1062" t="s">
        <v>26</v>
      </c>
      <c r="U1062" t="s">
        <v>26</v>
      </c>
      <c r="V1062">
        <v>1</v>
      </c>
      <c r="W1062">
        <f>E1062/100</f>
        <v>0.01</v>
      </c>
      <c r="X1062">
        <f>F1062/1000000</f>
        <v>3.4000000000000002E-2</v>
      </c>
      <c r="Y1062">
        <f>IF(D1062="C",1,0)</f>
        <v>0</v>
      </c>
      <c r="Z1062">
        <f>IF(G1062="C",1,0)</f>
        <v>1</v>
      </c>
      <c r="AA1062">
        <f>IF(G1062="S",1,0)</f>
        <v>0</v>
      </c>
      <c r="AB1062">
        <f>IF(G1062="U",1,0)</f>
        <v>0</v>
      </c>
      <c r="AC1062" s="5">
        <f>IF(AND(ISNUMBER(H1062),NOT(ISNUMBER(P1062))),1,0)</f>
        <v>1</v>
      </c>
      <c r="AD1062" s="5">
        <f>IF(AND(ISNUMBER(H1062),ISNUMBER(P1062)),1,0)</f>
        <v>0</v>
      </c>
      <c r="AE1062" s="5">
        <f>W1062</f>
        <v>0.01</v>
      </c>
      <c r="AF1062" s="5">
        <f>X1062</f>
        <v>3.4000000000000002E-2</v>
      </c>
      <c r="AG1062" s="5">
        <f>Y1062</f>
        <v>0</v>
      </c>
      <c r="AH1062" s="5">
        <f>IF(OR(G1062="C",G1062="S",G1062="U"),1,0)</f>
        <v>1</v>
      </c>
      <c r="AI1062" s="5">
        <f>IF(ISNUMBER(H1062),1,0)</f>
        <v>1</v>
      </c>
      <c r="AJ1062" s="5">
        <f>IF(ISNUMBER(P1062),1,0)</f>
        <v>0</v>
      </c>
      <c r="AK1062" s="5">
        <f>IF(AI1062=1,IF(J1062&gt;0,1,0),"")</f>
        <v>1</v>
      </c>
      <c r="AL1062" s="5" t="str">
        <f>IF(AJ1062=1,IF(OR(Q1062&gt;0,R1062&gt;0),1,0),"")</f>
        <v/>
      </c>
    </row>
    <row r="1063" spans="1:38">
      <c r="A1063">
        <v>3843079</v>
      </c>
      <c r="B1063" t="s">
        <v>1133</v>
      </c>
      <c r="C1063" t="s">
        <v>23</v>
      </c>
      <c r="D1063" t="s">
        <v>33</v>
      </c>
      <c r="E1063">
        <v>2</v>
      </c>
      <c r="F1063">
        <v>30000</v>
      </c>
      <c r="H1063">
        <v>1</v>
      </c>
      <c r="I1063">
        <v>0</v>
      </c>
      <c r="J1063">
        <v>0</v>
      </c>
      <c r="K1063">
        <v>0</v>
      </c>
      <c r="L1063" t="s">
        <v>26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  <c r="S1063" t="s">
        <v>26</v>
      </c>
      <c r="T1063" t="s">
        <v>26</v>
      </c>
      <c r="U1063" t="s">
        <v>26</v>
      </c>
      <c r="V1063">
        <v>0</v>
      </c>
      <c r="W1063">
        <f>E1063/100</f>
        <v>0.02</v>
      </c>
      <c r="X1063">
        <f>F1063/1000000</f>
        <v>0.03</v>
      </c>
      <c r="Y1063">
        <f>IF(D1063="C",1,0)</f>
        <v>1</v>
      </c>
      <c r="Z1063">
        <f>IF(G1063="C",1,0)</f>
        <v>0</v>
      </c>
      <c r="AA1063">
        <f>IF(G1063="S",1,0)</f>
        <v>0</v>
      </c>
      <c r="AB1063">
        <f>IF(G1063="U",1,0)</f>
        <v>0</v>
      </c>
      <c r="AC1063" s="5">
        <f>IF(AND(ISNUMBER(H1063),NOT(ISNUMBER(P1063))),1,0)</f>
        <v>1</v>
      </c>
      <c r="AD1063" s="5">
        <f>IF(AND(ISNUMBER(H1063),ISNUMBER(P1063)),1,0)</f>
        <v>0</v>
      </c>
      <c r="AE1063" s="5">
        <f>W1063</f>
        <v>0.02</v>
      </c>
      <c r="AF1063" s="5">
        <f>X1063</f>
        <v>0.03</v>
      </c>
      <c r="AG1063" s="5">
        <f>Y1063</f>
        <v>1</v>
      </c>
      <c r="AH1063" s="5">
        <f>IF(OR(G1063="C",G1063="S",G1063="U"),1,0)</f>
        <v>0</v>
      </c>
      <c r="AI1063" s="5">
        <f>IF(ISNUMBER(H1063),1,0)</f>
        <v>1</v>
      </c>
      <c r="AJ1063" s="5">
        <f>IF(ISNUMBER(P1063),1,0)</f>
        <v>0</v>
      </c>
      <c r="AK1063" s="5">
        <f>IF(AI1063=1,IF(J1063&gt;0,1,0),"")</f>
        <v>0</v>
      </c>
      <c r="AL1063" s="5" t="str">
        <f>IF(AJ1063=1,IF(OR(Q1063&gt;0,R1063&gt;0),1,0),"")</f>
        <v/>
      </c>
    </row>
    <row r="1064" spans="1:38">
      <c r="A1064">
        <v>3850949</v>
      </c>
      <c r="B1064" t="s">
        <v>1134</v>
      </c>
      <c r="C1064" t="s">
        <v>23</v>
      </c>
      <c r="D1064" t="s">
        <v>33</v>
      </c>
      <c r="E1064">
        <v>159</v>
      </c>
      <c r="F1064">
        <v>3471000</v>
      </c>
      <c r="H1064">
        <v>1</v>
      </c>
      <c r="I1064">
        <v>0</v>
      </c>
      <c r="J1064">
        <v>0</v>
      </c>
      <c r="K1064">
        <v>0</v>
      </c>
      <c r="L1064" t="s">
        <v>26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  <c r="S1064" t="s">
        <v>26</v>
      </c>
      <c r="T1064" t="s">
        <v>26</v>
      </c>
      <c r="U1064" t="s">
        <v>26</v>
      </c>
      <c r="V1064">
        <v>0</v>
      </c>
      <c r="W1064">
        <f>E1064/100</f>
        <v>1.59</v>
      </c>
      <c r="X1064">
        <f>F1064/1000000</f>
        <v>3.4710000000000001</v>
      </c>
      <c r="Y1064">
        <f>IF(D1064="C",1,0)</f>
        <v>1</v>
      </c>
      <c r="Z1064">
        <f>IF(G1064="C",1,0)</f>
        <v>0</v>
      </c>
      <c r="AA1064">
        <f>IF(G1064="S",1,0)</f>
        <v>0</v>
      </c>
      <c r="AB1064">
        <f>IF(G1064="U",1,0)</f>
        <v>0</v>
      </c>
      <c r="AC1064" s="5">
        <f>IF(AND(ISNUMBER(H1064),NOT(ISNUMBER(P1064))),1,0)</f>
        <v>1</v>
      </c>
      <c r="AD1064" s="5">
        <f>IF(AND(ISNUMBER(H1064),ISNUMBER(P1064)),1,0)</f>
        <v>0</v>
      </c>
      <c r="AE1064" s="5">
        <f>W1064</f>
        <v>1.59</v>
      </c>
      <c r="AF1064" s="5">
        <f>X1064</f>
        <v>3.4710000000000001</v>
      </c>
      <c r="AG1064" s="5">
        <f>Y1064</f>
        <v>1</v>
      </c>
      <c r="AH1064" s="5">
        <f>IF(OR(G1064="C",G1064="S",G1064="U"),1,0)</f>
        <v>0</v>
      </c>
      <c r="AI1064" s="5">
        <f>IF(ISNUMBER(H1064),1,0)</f>
        <v>1</v>
      </c>
      <c r="AJ1064" s="5">
        <f>IF(ISNUMBER(P1064),1,0)</f>
        <v>0</v>
      </c>
      <c r="AK1064" s="5">
        <f>IF(AI1064=1,IF(J1064&gt;0,1,0),"")</f>
        <v>0</v>
      </c>
      <c r="AL1064" s="5" t="str">
        <f>IF(AJ1064=1,IF(OR(Q1064&gt;0,R1064&gt;0),1,0),"")</f>
        <v/>
      </c>
    </row>
    <row r="1065" spans="1:38">
      <c r="A1065">
        <v>3865708</v>
      </c>
      <c r="B1065" t="s">
        <v>1135</v>
      </c>
      <c r="C1065" t="s">
        <v>252</v>
      </c>
      <c r="D1065" t="s">
        <v>24</v>
      </c>
      <c r="E1065">
        <v>9</v>
      </c>
      <c r="F1065">
        <v>1523641</v>
      </c>
      <c r="H1065">
        <v>1</v>
      </c>
      <c r="I1065">
        <v>4</v>
      </c>
      <c r="J1065">
        <v>3</v>
      </c>
      <c r="K1065">
        <v>1</v>
      </c>
      <c r="L1065">
        <v>0.75</v>
      </c>
      <c r="M1065">
        <v>0.66669999999999996</v>
      </c>
      <c r="N1065">
        <v>1</v>
      </c>
      <c r="O1065" t="s">
        <v>26</v>
      </c>
      <c r="P1065" t="s">
        <v>26</v>
      </c>
      <c r="Q1065" t="s">
        <v>26</v>
      </c>
      <c r="R1065" t="s">
        <v>26</v>
      </c>
      <c r="S1065" t="s">
        <v>26</v>
      </c>
      <c r="T1065" t="s">
        <v>26</v>
      </c>
      <c r="U1065" t="s">
        <v>26</v>
      </c>
      <c r="V1065">
        <v>1</v>
      </c>
      <c r="W1065">
        <f>E1065/100</f>
        <v>0.09</v>
      </c>
      <c r="X1065">
        <f>F1065/1000000</f>
        <v>1.523641</v>
      </c>
      <c r="Y1065">
        <f>IF(D1065="C",1,0)</f>
        <v>0</v>
      </c>
      <c r="Z1065">
        <f>IF(G1065="C",1,0)</f>
        <v>0</v>
      </c>
      <c r="AA1065">
        <f>IF(G1065="S",1,0)</f>
        <v>0</v>
      </c>
      <c r="AB1065">
        <f>IF(G1065="U",1,0)</f>
        <v>0</v>
      </c>
      <c r="AC1065" s="5">
        <f>IF(AND(ISNUMBER(H1065),NOT(ISNUMBER(P1065))),1,0)</f>
        <v>1</v>
      </c>
      <c r="AD1065" s="5">
        <f>IF(AND(ISNUMBER(H1065),ISNUMBER(P1065)),1,0)</f>
        <v>0</v>
      </c>
      <c r="AE1065" s="5">
        <f>W1065</f>
        <v>0.09</v>
      </c>
      <c r="AF1065" s="5">
        <f>X1065</f>
        <v>1.523641</v>
      </c>
      <c r="AG1065" s="5">
        <f>Y1065</f>
        <v>0</v>
      </c>
      <c r="AH1065" s="5">
        <f>IF(OR(G1065="C",G1065="S",G1065="U"),1,0)</f>
        <v>0</v>
      </c>
      <c r="AI1065" s="5">
        <f>IF(ISNUMBER(H1065),1,0)</f>
        <v>1</v>
      </c>
      <c r="AJ1065" s="5">
        <f>IF(ISNUMBER(P1065),1,0)</f>
        <v>0</v>
      </c>
      <c r="AK1065" s="5">
        <f>IF(AI1065=1,IF(J1065&gt;0,1,0),"")</f>
        <v>1</v>
      </c>
      <c r="AL1065" s="5" t="str">
        <f>IF(AJ1065=1,IF(OR(Q1065&gt;0,R1065&gt;0),1,0),"")</f>
        <v/>
      </c>
    </row>
    <row r="1066" spans="1:38">
      <c r="A1066">
        <v>3866922</v>
      </c>
      <c r="B1066" t="s">
        <v>1136</v>
      </c>
      <c r="C1066" t="s">
        <v>82</v>
      </c>
      <c r="D1066" t="s">
        <v>24</v>
      </c>
      <c r="E1066">
        <v>1</v>
      </c>
      <c r="F1066">
        <v>14000</v>
      </c>
      <c r="H1066">
        <v>1</v>
      </c>
      <c r="I1066">
        <v>5</v>
      </c>
      <c r="J1066">
        <v>1</v>
      </c>
      <c r="K1066">
        <v>1</v>
      </c>
      <c r="L1066">
        <v>0.2</v>
      </c>
      <c r="M1066">
        <v>0</v>
      </c>
      <c r="N1066">
        <v>0.33329999999999999</v>
      </c>
      <c r="O1066" t="s">
        <v>26</v>
      </c>
      <c r="P1066" t="s">
        <v>26</v>
      </c>
      <c r="Q1066" t="s">
        <v>26</v>
      </c>
      <c r="R1066" t="s">
        <v>26</v>
      </c>
      <c r="S1066" t="s">
        <v>26</v>
      </c>
      <c r="T1066" t="s">
        <v>26</v>
      </c>
      <c r="U1066" t="s">
        <v>26</v>
      </c>
      <c r="V1066">
        <v>1</v>
      </c>
      <c r="W1066">
        <f>E1066/100</f>
        <v>0.01</v>
      </c>
      <c r="X1066">
        <f>F1066/1000000</f>
        <v>1.4E-2</v>
      </c>
      <c r="Y1066">
        <f>IF(D1066="C",1,0)</f>
        <v>0</v>
      </c>
      <c r="Z1066">
        <f>IF(G1066="C",1,0)</f>
        <v>0</v>
      </c>
      <c r="AA1066">
        <f>IF(G1066="S",1,0)</f>
        <v>0</v>
      </c>
      <c r="AB1066">
        <f>IF(G1066="U",1,0)</f>
        <v>0</v>
      </c>
      <c r="AC1066" s="5">
        <f>IF(AND(ISNUMBER(H1066),NOT(ISNUMBER(P1066))),1,0)</f>
        <v>1</v>
      </c>
      <c r="AD1066" s="5">
        <f>IF(AND(ISNUMBER(H1066),ISNUMBER(P1066)),1,0)</f>
        <v>0</v>
      </c>
      <c r="AE1066" s="5">
        <f>W1066</f>
        <v>0.01</v>
      </c>
      <c r="AF1066" s="5">
        <f>X1066</f>
        <v>1.4E-2</v>
      </c>
      <c r="AG1066" s="5">
        <f>Y1066</f>
        <v>0</v>
      </c>
      <c r="AH1066" s="5">
        <f>IF(OR(G1066="C",G1066="S",G1066="U"),1,0)</f>
        <v>0</v>
      </c>
      <c r="AI1066" s="5">
        <f>IF(ISNUMBER(H1066),1,0)</f>
        <v>1</v>
      </c>
      <c r="AJ1066" s="5">
        <f>IF(ISNUMBER(P1066),1,0)</f>
        <v>0</v>
      </c>
      <c r="AK1066" s="5">
        <f>IF(AI1066=1,IF(J1066&gt;0,1,0),"")</f>
        <v>1</v>
      </c>
      <c r="AL1066" s="5" t="str">
        <f>IF(AJ1066=1,IF(OR(Q1066&gt;0,R1066&gt;0),1,0),"")</f>
        <v/>
      </c>
    </row>
    <row r="1067" spans="1:38">
      <c r="A1067">
        <v>3879036</v>
      </c>
      <c r="B1067" t="s">
        <v>1137</v>
      </c>
      <c r="C1067" t="s">
        <v>23</v>
      </c>
      <c r="D1067" t="s">
        <v>24</v>
      </c>
      <c r="E1067">
        <v>1</v>
      </c>
      <c r="F1067">
        <v>40000</v>
      </c>
      <c r="H1067">
        <v>1</v>
      </c>
      <c r="I1067">
        <v>0</v>
      </c>
      <c r="J1067">
        <v>0</v>
      </c>
      <c r="K1067">
        <v>0</v>
      </c>
      <c r="L1067" t="s">
        <v>26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  <c r="S1067" t="s">
        <v>26</v>
      </c>
      <c r="T1067" t="s">
        <v>26</v>
      </c>
      <c r="U1067" t="s">
        <v>26</v>
      </c>
      <c r="V1067">
        <v>0</v>
      </c>
      <c r="W1067">
        <f>E1067/100</f>
        <v>0.01</v>
      </c>
      <c r="X1067">
        <f>F1067/1000000</f>
        <v>0.04</v>
      </c>
      <c r="Y1067">
        <f>IF(D1067="C",1,0)</f>
        <v>0</v>
      </c>
      <c r="Z1067">
        <f>IF(G1067="C",1,0)</f>
        <v>0</v>
      </c>
      <c r="AA1067">
        <f>IF(G1067="S",1,0)</f>
        <v>0</v>
      </c>
      <c r="AB1067">
        <f>IF(G1067="U",1,0)</f>
        <v>0</v>
      </c>
      <c r="AC1067" s="5">
        <f>IF(AND(ISNUMBER(H1067),NOT(ISNUMBER(P1067))),1,0)</f>
        <v>1</v>
      </c>
      <c r="AD1067" s="5">
        <f>IF(AND(ISNUMBER(H1067),ISNUMBER(P1067)),1,0)</f>
        <v>0</v>
      </c>
      <c r="AE1067" s="5">
        <f>W1067</f>
        <v>0.01</v>
      </c>
      <c r="AF1067" s="5">
        <f>X1067</f>
        <v>0.04</v>
      </c>
      <c r="AG1067" s="5">
        <f>Y1067</f>
        <v>0</v>
      </c>
      <c r="AH1067" s="5">
        <f>IF(OR(G1067="C",G1067="S",G1067="U"),1,0)</f>
        <v>0</v>
      </c>
      <c r="AI1067" s="5">
        <f>IF(ISNUMBER(H1067),1,0)</f>
        <v>1</v>
      </c>
      <c r="AJ1067" s="5">
        <f>IF(ISNUMBER(P1067),1,0)</f>
        <v>0</v>
      </c>
      <c r="AK1067" s="5">
        <f>IF(AI1067=1,IF(J1067&gt;0,1,0),"")</f>
        <v>0</v>
      </c>
      <c r="AL1067" s="5" t="str">
        <f>IF(AJ1067=1,IF(OR(Q1067&gt;0,R1067&gt;0),1,0),"")</f>
        <v/>
      </c>
    </row>
    <row r="1068" spans="1:38">
      <c r="A1068">
        <v>3885662</v>
      </c>
      <c r="B1068" t="s">
        <v>1138</v>
      </c>
      <c r="C1068" t="s">
        <v>82</v>
      </c>
      <c r="D1068" t="s">
        <v>24</v>
      </c>
      <c r="E1068">
        <v>1</v>
      </c>
      <c r="F1068">
        <v>5656</v>
      </c>
      <c r="H1068">
        <v>1</v>
      </c>
      <c r="I1068">
        <v>9</v>
      </c>
      <c r="J1068">
        <v>3</v>
      </c>
      <c r="K1068">
        <v>1</v>
      </c>
      <c r="L1068">
        <v>0.33329999999999999</v>
      </c>
      <c r="M1068">
        <v>0.5</v>
      </c>
      <c r="N1068">
        <v>0.2</v>
      </c>
      <c r="O1068" t="s">
        <v>26</v>
      </c>
      <c r="P1068" t="s">
        <v>26</v>
      </c>
      <c r="Q1068" t="s">
        <v>26</v>
      </c>
      <c r="R1068" t="s">
        <v>26</v>
      </c>
      <c r="S1068" t="s">
        <v>26</v>
      </c>
      <c r="T1068" t="s">
        <v>26</v>
      </c>
      <c r="U1068" t="s">
        <v>26</v>
      </c>
      <c r="V1068">
        <v>1</v>
      </c>
      <c r="W1068">
        <f>E1068/100</f>
        <v>0.01</v>
      </c>
      <c r="X1068">
        <f>F1068/1000000</f>
        <v>5.6559999999999996E-3</v>
      </c>
      <c r="Y1068">
        <f>IF(D1068="C",1,0)</f>
        <v>0</v>
      </c>
      <c r="Z1068">
        <f>IF(G1068="C",1,0)</f>
        <v>0</v>
      </c>
      <c r="AA1068">
        <f>IF(G1068="S",1,0)</f>
        <v>0</v>
      </c>
      <c r="AB1068">
        <f>IF(G1068="U",1,0)</f>
        <v>0</v>
      </c>
      <c r="AC1068" s="5">
        <f>IF(AND(ISNUMBER(H1068),NOT(ISNUMBER(P1068))),1,0)</f>
        <v>1</v>
      </c>
      <c r="AD1068" s="5">
        <f>IF(AND(ISNUMBER(H1068),ISNUMBER(P1068)),1,0)</f>
        <v>0</v>
      </c>
      <c r="AE1068" s="5">
        <f>W1068</f>
        <v>0.01</v>
      </c>
      <c r="AF1068" s="5">
        <f>X1068</f>
        <v>5.6559999999999996E-3</v>
      </c>
      <c r="AG1068" s="5">
        <f>Y1068</f>
        <v>0</v>
      </c>
      <c r="AH1068" s="5">
        <f>IF(OR(G1068="C",G1068="S",G1068="U"),1,0)</f>
        <v>0</v>
      </c>
      <c r="AI1068" s="5">
        <f>IF(ISNUMBER(H1068),1,0)</f>
        <v>1</v>
      </c>
      <c r="AJ1068" s="5">
        <f>IF(ISNUMBER(P1068),1,0)</f>
        <v>0</v>
      </c>
      <c r="AK1068" s="5">
        <f>IF(AI1068=1,IF(J1068&gt;0,1,0),"")</f>
        <v>1</v>
      </c>
      <c r="AL1068" s="5" t="str">
        <f>IF(AJ1068=1,IF(OR(Q1068&gt;0,R1068&gt;0),1,0),"")</f>
        <v/>
      </c>
    </row>
    <row r="1069" spans="1:38">
      <c r="A1069">
        <v>3895210</v>
      </c>
      <c r="B1069" t="s">
        <v>1139</v>
      </c>
      <c r="C1069" t="s">
        <v>190</v>
      </c>
      <c r="D1069" t="s">
        <v>24</v>
      </c>
      <c r="E1069">
        <v>2</v>
      </c>
      <c r="F1069">
        <v>850000</v>
      </c>
      <c r="H1069">
        <v>1</v>
      </c>
      <c r="I1069">
        <v>6</v>
      </c>
      <c r="J1069">
        <v>1</v>
      </c>
      <c r="K1069">
        <v>1</v>
      </c>
      <c r="L1069">
        <v>0.16669999999999999</v>
      </c>
      <c r="M1069">
        <v>0.5</v>
      </c>
      <c r="N1069">
        <v>0</v>
      </c>
      <c r="O1069" t="s">
        <v>26</v>
      </c>
      <c r="P1069" t="s">
        <v>26</v>
      </c>
      <c r="Q1069" t="s">
        <v>26</v>
      </c>
      <c r="R1069" t="s">
        <v>26</v>
      </c>
      <c r="S1069" t="s">
        <v>26</v>
      </c>
      <c r="T1069" t="s">
        <v>26</v>
      </c>
      <c r="U1069" t="s">
        <v>26</v>
      </c>
      <c r="V1069">
        <v>1</v>
      </c>
      <c r="W1069">
        <f>E1069/100</f>
        <v>0.02</v>
      </c>
      <c r="X1069">
        <f>F1069/1000000</f>
        <v>0.85</v>
      </c>
      <c r="Y1069">
        <f>IF(D1069="C",1,0)</f>
        <v>0</v>
      </c>
      <c r="Z1069">
        <f>IF(G1069="C",1,0)</f>
        <v>0</v>
      </c>
      <c r="AA1069">
        <f>IF(G1069="S",1,0)</f>
        <v>0</v>
      </c>
      <c r="AB1069">
        <f>IF(G1069="U",1,0)</f>
        <v>0</v>
      </c>
      <c r="AC1069" s="5">
        <f>IF(AND(ISNUMBER(H1069),NOT(ISNUMBER(P1069))),1,0)</f>
        <v>1</v>
      </c>
      <c r="AD1069" s="5">
        <f>IF(AND(ISNUMBER(H1069),ISNUMBER(P1069)),1,0)</f>
        <v>0</v>
      </c>
      <c r="AE1069" s="5">
        <f>W1069</f>
        <v>0.02</v>
      </c>
      <c r="AF1069" s="5">
        <f>X1069</f>
        <v>0.85</v>
      </c>
      <c r="AG1069" s="5">
        <f>Y1069</f>
        <v>0</v>
      </c>
      <c r="AH1069" s="5">
        <f>IF(OR(G1069="C",G1069="S",G1069="U"),1,0)</f>
        <v>0</v>
      </c>
      <c r="AI1069" s="5">
        <f>IF(ISNUMBER(H1069),1,0)</f>
        <v>1</v>
      </c>
      <c r="AJ1069" s="5">
        <f>IF(ISNUMBER(P1069),1,0)</f>
        <v>0</v>
      </c>
      <c r="AK1069" s="5">
        <f>IF(AI1069=1,IF(J1069&gt;0,1,0),"")</f>
        <v>1</v>
      </c>
      <c r="AL1069" s="5" t="str">
        <f>IF(AJ1069=1,IF(OR(Q1069&gt;0,R1069&gt;0),1,0),"")</f>
        <v/>
      </c>
    </row>
    <row r="1070" spans="1:38">
      <c r="A1070">
        <v>3900724</v>
      </c>
      <c r="B1070" t="s">
        <v>1140</v>
      </c>
      <c r="C1070" t="s">
        <v>101</v>
      </c>
      <c r="D1070" t="s">
        <v>24</v>
      </c>
      <c r="E1070">
        <v>2</v>
      </c>
      <c r="F1070">
        <v>49024</v>
      </c>
      <c r="H1070">
        <v>1</v>
      </c>
      <c r="I1070">
        <v>4</v>
      </c>
      <c r="J1070">
        <v>0</v>
      </c>
      <c r="K1070">
        <v>0</v>
      </c>
      <c r="L1070">
        <v>0</v>
      </c>
      <c r="M1070" t="s">
        <v>26</v>
      </c>
      <c r="N1070">
        <v>0</v>
      </c>
      <c r="O1070" t="s">
        <v>26</v>
      </c>
      <c r="P1070" t="s">
        <v>26</v>
      </c>
      <c r="Q1070" t="s">
        <v>26</v>
      </c>
      <c r="R1070" t="s">
        <v>26</v>
      </c>
      <c r="S1070" t="s">
        <v>26</v>
      </c>
      <c r="T1070" t="s">
        <v>26</v>
      </c>
      <c r="U1070" t="s">
        <v>26</v>
      </c>
      <c r="V1070">
        <v>0</v>
      </c>
      <c r="W1070">
        <f>E1070/100</f>
        <v>0.02</v>
      </c>
      <c r="X1070">
        <f>F1070/1000000</f>
        <v>4.9023999999999998E-2</v>
      </c>
      <c r="Y1070">
        <f>IF(D1070="C",1,0)</f>
        <v>0</v>
      </c>
      <c r="Z1070">
        <f>IF(G1070="C",1,0)</f>
        <v>0</v>
      </c>
      <c r="AA1070">
        <f>IF(G1070="S",1,0)</f>
        <v>0</v>
      </c>
      <c r="AB1070">
        <f>IF(G1070="U",1,0)</f>
        <v>0</v>
      </c>
      <c r="AC1070" s="5">
        <f>IF(AND(ISNUMBER(H1070),NOT(ISNUMBER(P1070))),1,0)</f>
        <v>1</v>
      </c>
      <c r="AD1070" s="5">
        <f>IF(AND(ISNUMBER(H1070),ISNUMBER(P1070)),1,0)</f>
        <v>0</v>
      </c>
      <c r="AE1070" s="5">
        <f>W1070</f>
        <v>0.02</v>
      </c>
      <c r="AF1070" s="5">
        <f>X1070</f>
        <v>4.9023999999999998E-2</v>
      </c>
      <c r="AG1070" s="5">
        <f>Y1070</f>
        <v>0</v>
      </c>
      <c r="AH1070" s="5">
        <f>IF(OR(G1070="C",G1070="S",G1070="U"),1,0)</f>
        <v>0</v>
      </c>
      <c r="AI1070" s="5">
        <f>IF(ISNUMBER(H1070),1,0)</f>
        <v>1</v>
      </c>
      <c r="AJ1070" s="5">
        <f>IF(ISNUMBER(P1070),1,0)</f>
        <v>0</v>
      </c>
      <c r="AK1070" s="5">
        <f>IF(AI1070=1,IF(J1070&gt;0,1,0),"")</f>
        <v>0</v>
      </c>
      <c r="AL1070" s="5" t="str">
        <f>IF(AJ1070=1,IF(OR(Q1070&gt;0,R1070&gt;0),1,0),"")</f>
        <v/>
      </c>
    </row>
    <row r="1071" spans="1:38">
      <c r="A1071">
        <v>3905879</v>
      </c>
      <c r="B1071" t="s">
        <v>1141</v>
      </c>
      <c r="C1071" t="s">
        <v>135</v>
      </c>
      <c r="D1071" t="s">
        <v>24</v>
      </c>
      <c r="E1071">
        <v>1</v>
      </c>
      <c r="F1071">
        <v>300000</v>
      </c>
      <c r="G1071" t="s">
        <v>25</v>
      </c>
      <c r="H1071">
        <v>1</v>
      </c>
      <c r="I1071">
        <v>14</v>
      </c>
      <c r="J1071">
        <v>3</v>
      </c>
      <c r="K1071">
        <v>1</v>
      </c>
      <c r="L1071">
        <v>0.21429999999999999</v>
      </c>
      <c r="M1071">
        <v>0.4</v>
      </c>
      <c r="N1071">
        <v>0.1111</v>
      </c>
      <c r="O1071" t="s">
        <v>26</v>
      </c>
      <c r="P1071" t="s">
        <v>26</v>
      </c>
      <c r="Q1071" t="s">
        <v>26</v>
      </c>
      <c r="R1071" t="s">
        <v>26</v>
      </c>
      <c r="S1071" t="s">
        <v>26</v>
      </c>
      <c r="T1071" t="s">
        <v>26</v>
      </c>
      <c r="U1071" t="s">
        <v>26</v>
      </c>
      <c r="V1071">
        <v>1</v>
      </c>
      <c r="W1071">
        <f>E1071/100</f>
        <v>0.01</v>
      </c>
      <c r="X1071">
        <f>F1071/1000000</f>
        <v>0.3</v>
      </c>
      <c r="Y1071">
        <f>IF(D1071="C",1,0)</f>
        <v>0</v>
      </c>
      <c r="Z1071">
        <f>IF(G1071="C",1,0)</f>
        <v>0</v>
      </c>
      <c r="AA1071">
        <f>IF(G1071="S",1,0)</f>
        <v>1</v>
      </c>
      <c r="AB1071">
        <f>IF(G1071="U",1,0)</f>
        <v>0</v>
      </c>
      <c r="AC1071" s="5">
        <f>IF(AND(ISNUMBER(H1071),NOT(ISNUMBER(P1071))),1,0)</f>
        <v>1</v>
      </c>
      <c r="AD1071" s="5">
        <f>IF(AND(ISNUMBER(H1071),ISNUMBER(P1071)),1,0)</f>
        <v>0</v>
      </c>
      <c r="AE1071" s="5">
        <f>W1071</f>
        <v>0.01</v>
      </c>
      <c r="AF1071" s="5">
        <f>X1071</f>
        <v>0.3</v>
      </c>
      <c r="AG1071" s="5">
        <f>Y1071</f>
        <v>0</v>
      </c>
      <c r="AH1071" s="5">
        <f>IF(OR(G1071="C",G1071="S",G1071="U"),1,0)</f>
        <v>1</v>
      </c>
      <c r="AI1071" s="5">
        <f>IF(ISNUMBER(H1071),1,0)</f>
        <v>1</v>
      </c>
      <c r="AJ1071" s="5">
        <f>IF(ISNUMBER(P1071),1,0)</f>
        <v>0</v>
      </c>
      <c r="AK1071" s="5">
        <f>IF(AI1071=1,IF(J1071&gt;0,1,0),"")</f>
        <v>1</v>
      </c>
      <c r="AL1071" s="5" t="str">
        <f>IF(AJ1071=1,IF(OR(Q1071&gt;0,R1071&gt;0),1,0),"")</f>
        <v/>
      </c>
    </row>
    <row r="1072" spans="1:38">
      <c r="A1072">
        <v>3972849</v>
      </c>
      <c r="B1072" t="s">
        <v>1142</v>
      </c>
      <c r="C1072" t="s">
        <v>77</v>
      </c>
      <c r="D1072" t="s">
        <v>24</v>
      </c>
      <c r="E1072">
        <v>35</v>
      </c>
      <c r="F1072">
        <v>1200000</v>
      </c>
      <c r="G1072" t="s">
        <v>419</v>
      </c>
      <c r="H1072">
        <v>1</v>
      </c>
      <c r="I1072">
        <v>0</v>
      </c>
      <c r="J1072">
        <v>0</v>
      </c>
      <c r="K1072">
        <v>0</v>
      </c>
      <c r="L1072" t="s">
        <v>26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  <c r="S1072" t="s">
        <v>26</v>
      </c>
      <c r="T1072" t="s">
        <v>26</v>
      </c>
      <c r="U1072" t="s">
        <v>26</v>
      </c>
      <c r="V1072">
        <v>0</v>
      </c>
      <c r="W1072">
        <f>E1072/100</f>
        <v>0.35</v>
      </c>
      <c r="X1072">
        <f>F1072/1000000</f>
        <v>1.2</v>
      </c>
      <c r="Y1072">
        <f>IF(D1072="C",1,0)</f>
        <v>0</v>
      </c>
      <c r="Z1072">
        <f>IF(G1072="C",1,0)</f>
        <v>0</v>
      </c>
      <c r="AA1072">
        <f>IF(G1072="S",1,0)</f>
        <v>0</v>
      </c>
      <c r="AB1072">
        <f>IF(G1072="U",1,0)</f>
        <v>1</v>
      </c>
      <c r="AC1072" s="5">
        <f>IF(AND(ISNUMBER(H1072),NOT(ISNUMBER(P1072))),1,0)</f>
        <v>1</v>
      </c>
      <c r="AD1072" s="5">
        <f>IF(AND(ISNUMBER(H1072),ISNUMBER(P1072)),1,0)</f>
        <v>0</v>
      </c>
      <c r="AE1072" s="5">
        <f>W1072</f>
        <v>0.35</v>
      </c>
      <c r="AF1072" s="5">
        <f>X1072</f>
        <v>1.2</v>
      </c>
      <c r="AG1072" s="5">
        <f>Y1072</f>
        <v>0</v>
      </c>
      <c r="AH1072" s="5">
        <f>IF(OR(G1072="C",G1072="S",G1072="U"),1,0)</f>
        <v>1</v>
      </c>
      <c r="AI1072" s="5">
        <f>IF(ISNUMBER(H1072),1,0)</f>
        <v>1</v>
      </c>
      <c r="AJ1072" s="5">
        <f>IF(ISNUMBER(P1072),1,0)</f>
        <v>0</v>
      </c>
      <c r="AK1072" s="5">
        <f>IF(AI1072=1,IF(J1072&gt;0,1,0),"")</f>
        <v>0</v>
      </c>
      <c r="AL1072" s="5" t="str">
        <f>IF(AJ1072=1,IF(OR(Q1072&gt;0,R1072&gt;0),1,0),"")</f>
        <v/>
      </c>
    </row>
    <row r="1073" spans="1:38">
      <c r="A1073">
        <v>4013289</v>
      </c>
      <c r="B1073" t="s">
        <v>1143</v>
      </c>
      <c r="C1073" t="s">
        <v>82</v>
      </c>
      <c r="D1073" t="s">
        <v>24</v>
      </c>
      <c r="E1073">
        <v>2</v>
      </c>
      <c r="F1073">
        <v>50000</v>
      </c>
      <c r="G1073" t="s">
        <v>25</v>
      </c>
      <c r="H1073">
        <v>1</v>
      </c>
      <c r="I1073">
        <v>5</v>
      </c>
      <c r="J1073">
        <v>1</v>
      </c>
      <c r="K1073">
        <v>1</v>
      </c>
      <c r="L1073">
        <v>0.2</v>
      </c>
      <c r="M1073">
        <v>0</v>
      </c>
      <c r="N1073">
        <v>0.25</v>
      </c>
      <c r="O1073" t="s">
        <v>26</v>
      </c>
      <c r="P1073" t="s">
        <v>26</v>
      </c>
      <c r="Q1073" t="s">
        <v>26</v>
      </c>
      <c r="R1073" t="s">
        <v>26</v>
      </c>
      <c r="S1073" t="s">
        <v>26</v>
      </c>
      <c r="T1073" t="s">
        <v>26</v>
      </c>
      <c r="U1073" t="s">
        <v>26</v>
      </c>
      <c r="V1073">
        <v>1</v>
      </c>
      <c r="W1073">
        <f>E1073/100</f>
        <v>0.02</v>
      </c>
      <c r="X1073">
        <f>F1073/1000000</f>
        <v>0.05</v>
      </c>
      <c r="Y1073">
        <f>IF(D1073="C",1,0)</f>
        <v>0</v>
      </c>
      <c r="Z1073">
        <f>IF(G1073="C",1,0)</f>
        <v>0</v>
      </c>
      <c r="AA1073">
        <f>IF(G1073="S",1,0)</f>
        <v>1</v>
      </c>
      <c r="AB1073">
        <f>IF(G1073="U",1,0)</f>
        <v>0</v>
      </c>
      <c r="AC1073" s="5">
        <f>IF(AND(ISNUMBER(H1073),NOT(ISNUMBER(P1073))),1,0)</f>
        <v>1</v>
      </c>
      <c r="AD1073" s="5">
        <f>IF(AND(ISNUMBER(H1073),ISNUMBER(P1073)),1,0)</f>
        <v>0</v>
      </c>
      <c r="AE1073" s="5">
        <f>W1073</f>
        <v>0.02</v>
      </c>
      <c r="AF1073" s="5">
        <f>X1073</f>
        <v>0.05</v>
      </c>
      <c r="AG1073" s="5">
        <f>Y1073</f>
        <v>0</v>
      </c>
      <c r="AH1073" s="5">
        <f>IF(OR(G1073="C",G1073="S",G1073="U"),1,0)</f>
        <v>1</v>
      </c>
      <c r="AI1073" s="5">
        <f>IF(ISNUMBER(H1073),1,0)</f>
        <v>1</v>
      </c>
      <c r="AJ1073" s="5">
        <f>IF(ISNUMBER(P1073),1,0)</f>
        <v>0</v>
      </c>
      <c r="AK1073" s="5">
        <f>IF(AI1073=1,IF(J1073&gt;0,1,0),"")</f>
        <v>1</v>
      </c>
      <c r="AL1073" s="5" t="str">
        <f>IF(AJ1073=1,IF(OR(Q1073&gt;0,R1073&gt;0),1,0),"")</f>
        <v/>
      </c>
    </row>
    <row r="1074" spans="1:38">
      <c r="A1074">
        <v>4033144</v>
      </c>
      <c r="B1074" t="s">
        <v>1144</v>
      </c>
      <c r="C1074" t="s">
        <v>23</v>
      </c>
      <c r="D1074" t="s">
        <v>24</v>
      </c>
      <c r="E1074">
        <v>1</v>
      </c>
      <c r="F1074">
        <v>40000</v>
      </c>
      <c r="H1074">
        <v>1</v>
      </c>
      <c r="I1074">
        <v>0</v>
      </c>
      <c r="J1074">
        <v>0</v>
      </c>
      <c r="K1074">
        <v>0</v>
      </c>
      <c r="L1074" t="s">
        <v>26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  <c r="S1074" t="s">
        <v>26</v>
      </c>
      <c r="T1074" t="s">
        <v>26</v>
      </c>
      <c r="U1074" t="s">
        <v>26</v>
      </c>
      <c r="V1074">
        <v>0</v>
      </c>
      <c r="W1074">
        <f>E1074/100</f>
        <v>0.01</v>
      </c>
      <c r="X1074">
        <f>F1074/1000000</f>
        <v>0.04</v>
      </c>
      <c r="Y1074">
        <f>IF(D1074="C",1,0)</f>
        <v>0</v>
      </c>
      <c r="Z1074">
        <f>IF(G1074="C",1,0)</f>
        <v>0</v>
      </c>
      <c r="AA1074">
        <f>IF(G1074="S",1,0)</f>
        <v>0</v>
      </c>
      <c r="AB1074">
        <f>IF(G1074="U",1,0)</f>
        <v>0</v>
      </c>
      <c r="AC1074" s="5">
        <f>IF(AND(ISNUMBER(H1074),NOT(ISNUMBER(P1074))),1,0)</f>
        <v>1</v>
      </c>
      <c r="AD1074" s="5">
        <f>IF(AND(ISNUMBER(H1074),ISNUMBER(P1074)),1,0)</f>
        <v>0</v>
      </c>
      <c r="AE1074" s="5">
        <f>W1074</f>
        <v>0.01</v>
      </c>
      <c r="AF1074" s="5">
        <f>X1074</f>
        <v>0.04</v>
      </c>
      <c r="AG1074" s="5">
        <f>Y1074</f>
        <v>0</v>
      </c>
      <c r="AH1074" s="5">
        <f>IF(OR(G1074="C",G1074="S",G1074="U"),1,0)</f>
        <v>0</v>
      </c>
      <c r="AI1074" s="5">
        <f>IF(ISNUMBER(H1074),1,0)</f>
        <v>1</v>
      </c>
      <c r="AJ1074" s="5">
        <f>IF(ISNUMBER(P1074),1,0)</f>
        <v>0</v>
      </c>
      <c r="AK1074" s="5">
        <f>IF(AI1074=1,IF(J1074&gt;0,1,0),"")</f>
        <v>0</v>
      </c>
      <c r="AL1074" s="5" t="str">
        <f>IF(AJ1074=1,IF(OR(Q1074&gt;0,R1074&gt;0),1,0),"")</f>
        <v/>
      </c>
    </row>
    <row r="1075" spans="1:38">
      <c r="A1075">
        <v>4038436</v>
      </c>
      <c r="B1075" t="s">
        <v>1145</v>
      </c>
      <c r="C1075" t="s">
        <v>23</v>
      </c>
      <c r="D1075" t="s">
        <v>24</v>
      </c>
      <c r="E1075">
        <v>3</v>
      </c>
      <c r="F1075">
        <v>8800</v>
      </c>
      <c r="H1075">
        <v>1</v>
      </c>
      <c r="I1075">
        <v>3</v>
      </c>
      <c r="J1075">
        <v>0</v>
      </c>
      <c r="K1075">
        <v>0</v>
      </c>
      <c r="L1075">
        <v>0</v>
      </c>
      <c r="M1075" t="s">
        <v>26</v>
      </c>
      <c r="N1075">
        <v>0</v>
      </c>
      <c r="O1075" t="s">
        <v>26</v>
      </c>
      <c r="P1075" t="s">
        <v>26</v>
      </c>
      <c r="Q1075" t="s">
        <v>26</v>
      </c>
      <c r="R1075" t="s">
        <v>26</v>
      </c>
      <c r="S1075" t="s">
        <v>26</v>
      </c>
      <c r="T1075" t="s">
        <v>26</v>
      </c>
      <c r="U1075" t="s">
        <v>26</v>
      </c>
      <c r="V1075">
        <v>0</v>
      </c>
      <c r="W1075">
        <f>E1075/100</f>
        <v>0.03</v>
      </c>
      <c r="X1075">
        <f>F1075/1000000</f>
        <v>8.8000000000000005E-3</v>
      </c>
      <c r="Y1075">
        <f>IF(D1075="C",1,0)</f>
        <v>0</v>
      </c>
      <c r="Z1075">
        <f>IF(G1075="C",1,0)</f>
        <v>0</v>
      </c>
      <c r="AA1075">
        <f>IF(G1075="S",1,0)</f>
        <v>0</v>
      </c>
      <c r="AB1075">
        <f>IF(G1075="U",1,0)</f>
        <v>0</v>
      </c>
      <c r="AC1075" s="5">
        <f>IF(AND(ISNUMBER(H1075),NOT(ISNUMBER(P1075))),1,0)</f>
        <v>1</v>
      </c>
      <c r="AD1075" s="5">
        <f>IF(AND(ISNUMBER(H1075),ISNUMBER(P1075)),1,0)</f>
        <v>0</v>
      </c>
      <c r="AE1075" s="5">
        <f>W1075</f>
        <v>0.03</v>
      </c>
      <c r="AF1075" s="5">
        <f>X1075</f>
        <v>8.8000000000000005E-3</v>
      </c>
      <c r="AG1075" s="5">
        <f>Y1075</f>
        <v>0</v>
      </c>
      <c r="AH1075" s="5">
        <f>IF(OR(G1075="C",G1075="S",G1075="U"),1,0)</f>
        <v>0</v>
      </c>
      <c r="AI1075" s="5">
        <f>IF(ISNUMBER(H1075),1,0)</f>
        <v>1</v>
      </c>
      <c r="AJ1075" s="5">
        <f>IF(ISNUMBER(P1075),1,0)</f>
        <v>0</v>
      </c>
      <c r="AK1075" s="5">
        <f>IF(AI1075=1,IF(J1075&gt;0,1,0),"")</f>
        <v>0</v>
      </c>
      <c r="AL1075" s="5" t="str">
        <f>IF(AJ1075=1,IF(OR(Q1075&gt;0,R1075&gt;0),1,0),"")</f>
        <v/>
      </c>
    </row>
    <row r="1076" spans="1:38">
      <c r="A1076">
        <v>4053336</v>
      </c>
      <c r="B1076" t="s">
        <v>1146</v>
      </c>
      <c r="C1076" t="s">
        <v>23</v>
      </c>
      <c r="D1076" t="s">
        <v>24</v>
      </c>
      <c r="E1076">
        <v>20</v>
      </c>
      <c r="F1076">
        <v>646918</v>
      </c>
      <c r="H1076">
        <v>1</v>
      </c>
      <c r="I1076">
        <v>1</v>
      </c>
      <c r="J1076">
        <v>0</v>
      </c>
      <c r="K1076">
        <v>0</v>
      </c>
      <c r="L1076">
        <v>0</v>
      </c>
      <c r="M1076" t="s">
        <v>26</v>
      </c>
      <c r="N1076">
        <v>0</v>
      </c>
      <c r="O1076" t="s">
        <v>26</v>
      </c>
      <c r="P1076" t="s">
        <v>26</v>
      </c>
      <c r="Q1076" t="s">
        <v>26</v>
      </c>
      <c r="R1076" t="s">
        <v>26</v>
      </c>
      <c r="S1076" t="s">
        <v>26</v>
      </c>
      <c r="T1076" t="s">
        <v>26</v>
      </c>
      <c r="U1076" t="s">
        <v>26</v>
      </c>
      <c r="V1076">
        <v>0</v>
      </c>
      <c r="W1076">
        <f>E1076/100</f>
        <v>0.2</v>
      </c>
      <c r="X1076">
        <f>F1076/1000000</f>
        <v>0.64691799999999999</v>
      </c>
      <c r="Y1076">
        <f>IF(D1076="C",1,0)</f>
        <v>0</v>
      </c>
      <c r="Z1076">
        <f>IF(G1076="C",1,0)</f>
        <v>0</v>
      </c>
      <c r="AA1076">
        <f>IF(G1076="S",1,0)</f>
        <v>0</v>
      </c>
      <c r="AB1076">
        <f>IF(G1076="U",1,0)</f>
        <v>0</v>
      </c>
      <c r="AC1076" s="5">
        <f>IF(AND(ISNUMBER(H1076),NOT(ISNUMBER(P1076))),1,0)</f>
        <v>1</v>
      </c>
      <c r="AD1076" s="5">
        <f>IF(AND(ISNUMBER(H1076),ISNUMBER(P1076)),1,0)</f>
        <v>0</v>
      </c>
      <c r="AE1076" s="5">
        <f>W1076</f>
        <v>0.2</v>
      </c>
      <c r="AF1076" s="5">
        <f>X1076</f>
        <v>0.64691799999999999</v>
      </c>
      <c r="AG1076" s="5">
        <f>Y1076</f>
        <v>0</v>
      </c>
      <c r="AH1076" s="5">
        <f>IF(OR(G1076="C",G1076="S",G1076="U"),1,0)</f>
        <v>0</v>
      </c>
      <c r="AI1076" s="5">
        <f>IF(ISNUMBER(H1076),1,0)</f>
        <v>1</v>
      </c>
      <c r="AJ1076" s="5">
        <f>IF(ISNUMBER(P1076),1,0)</f>
        <v>0</v>
      </c>
      <c r="AK1076" s="5">
        <f>IF(AI1076=1,IF(J1076&gt;0,1,0),"")</f>
        <v>0</v>
      </c>
      <c r="AL1076" s="5" t="str">
        <f>IF(AJ1076=1,IF(OR(Q1076&gt;0,R1076&gt;0),1,0),"")</f>
        <v/>
      </c>
    </row>
    <row r="1077" spans="1:38">
      <c r="A1077">
        <v>4061604</v>
      </c>
      <c r="B1077" t="s">
        <v>1147</v>
      </c>
      <c r="C1077" t="s">
        <v>77</v>
      </c>
      <c r="D1077" t="s">
        <v>24</v>
      </c>
      <c r="E1077">
        <v>2</v>
      </c>
      <c r="F1077">
        <v>100000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  <c r="S1077" t="s">
        <v>26</v>
      </c>
      <c r="T1077" t="s">
        <v>26</v>
      </c>
      <c r="U1077" t="s">
        <v>26</v>
      </c>
      <c r="V1077">
        <v>0</v>
      </c>
      <c r="W1077">
        <f>E1077/100</f>
        <v>0.02</v>
      </c>
      <c r="X1077">
        <f>F1077/1000000</f>
        <v>0.1</v>
      </c>
      <c r="Y1077">
        <f>IF(D1077="C",1,0)</f>
        <v>0</v>
      </c>
      <c r="Z1077">
        <f>IF(G1077="C",1,0)</f>
        <v>0</v>
      </c>
      <c r="AA1077">
        <f>IF(G1077="S",1,0)</f>
        <v>0</v>
      </c>
      <c r="AB1077">
        <f>IF(G1077="U",1,0)</f>
        <v>0</v>
      </c>
      <c r="AC1077" s="5">
        <f>IF(AND(ISNUMBER(H1077),NOT(ISNUMBER(P1077))),1,0)</f>
        <v>1</v>
      </c>
      <c r="AD1077" s="5">
        <f>IF(AND(ISNUMBER(H1077),ISNUMBER(P1077)),1,0)</f>
        <v>0</v>
      </c>
      <c r="AE1077" s="5">
        <f>W1077</f>
        <v>0.02</v>
      </c>
      <c r="AF1077" s="5">
        <f>X1077</f>
        <v>0.1</v>
      </c>
      <c r="AG1077" s="5">
        <f>Y1077</f>
        <v>0</v>
      </c>
      <c r="AH1077" s="5">
        <f>IF(OR(G1077="C",G1077="S",G1077="U"),1,0)</f>
        <v>0</v>
      </c>
      <c r="AI1077" s="5">
        <f>IF(ISNUMBER(H1077),1,0)</f>
        <v>1</v>
      </c>
      <c r="AJ1077" s="5">
        <f>IF(ISNUMBER(P1077),1,0)</f>
        <v>0</v>
      </c>
      <c r="AK1077" s="5">
        <f>IF(AI1077=1,IF(J1077&gt;0,1,0),"")</f>
        <v>0</v>
      </c>
      <c r="AL1077" s="5" t="str">
        <f>IF(AJ1077=1,IF(OR(Q1077&gt;0,R1077&gt;0),1,0),"")</f>
        <v/>
      </c>
    </row>
    <row r="1078" spans="1:38">
      <c r="A1078">
        <v>4066121</v>
      </c>
      <c r="B1078" t="s">
        <v>1148</v>
      </c>
      <c r="C1078" t="s">
        <v>370</v>
      </c>
      <c r="D1078" t="s">
        <v>24</v>
      </c>
      <c r="E1078">
        <v>2</v>
      </c>
      <c r="F1078">
        <v>108000</v>
      </c>
      <c r="H1078">
        <v>1</v>
      </c>
      <c r="I1078">
        <v>2</v>
      </c>
      <c r="J1078">
        <v>0</v>
      </c>
      <c r="K1078">
        <v>0</v>
      </c>
      <c r="L1078">
        <v>0</v>
      </c>
      <c r="M1078">
        <v>0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  <c r="S1078" t="s">
        <v>26</v>
      </c>
      <c r="T1078" t="s">
        <v>26</v>
      </c>
      <c r="U1078" t="s">
        <v>26</v>
      </c>
      <c r="V1078">
        <v>0</v>
      </c>
      <c r="W1078">
        <f>E1078/100</f>
        <v>0.02</v>
      </c>
      <c r="X1078">
        <f>F1078/1000000</f>
        <v>0.108</v>
      </c>
      <c r="Y1078">
        <f>IF(D1078="C",1,0)</f>
        <v>0</v>
      </c>
      <c r="Z1078">
        <f>IF(G1078="C",1,0)</f>
        <v>0</v>
      </c>
      <c r="AA1078">
        <f>IF(G1078="S",1,0)</f>
        <v>0</v>
      </c>
      <c r="AB1078">
        <f>IF(G1078="U",1,0)</f>
        <v>0</v>
      </c>
      <c r="AC1078" s="5">
        <f>IF(AND(ISNUMBER(H1078),NOT(ISNUMBER(P1078))),1,0)</f>
        <v>1</v>
      </c>
      <c r="AD1078" s="5">
        <f>IF(AND(ISNUMBER(H1078),ISNUMBER(P1078)),1,0)</f>
        <v>0</v>
      </c>
      <c r="AE1078" s="5">
        <f>W1078</f>
        <v>0.02</v>
      </c>
      <c r="AF1078" s="5">
        <f>X1078</f>
        <v>0.108</v>
      </c>
      <c r="AG1078" s="5">
        <f>Y1078</f>
        <v>0</v>
      </c>
      <c r="AH1078" s="5">
        <f>IF(OR(G1078="C",G1078="S",G1078="U"),1,0)</f>
        <v>0</v>
      </c>
      <c r="AI1078" s="5">
        <f>IF(ISNUMBER(H1078),1,0)</f>
        <v>1</v>
      </c>
      <c r="AJ1078" s="5">
        <f>IF(ISNUMBER(P1078),1,0)</f>
        <v>0</v>
      </c>
      <c r="AK1078" s="5">
        <f>IF(AI1078=1,IF(J1078&gt;0,1,0),"")</f>
        <v>0</v>
      </c>
      <c r="AL1078" s="5" t="str">
        <f>IF(AJ1078=1,IF(OR(Q1078&gt;0,R1078&gt;0),1,0),"")</f>
        <v/>
      </c>
    </row>
    <row r="1079" spans="1:38">
      <c r="A1079">
        <v>4066194</v>
      </c>
      <c r="B1079" t="s">
        <v>1149</v>
      </c>
      <c r="C1079" t="s">
        <v>37</v>
      </c>
      <c r="D1079" t="s">
        <v>24</v>
      </c>
      <c r="E1079">
        <v>1</v>
      </c>
      <c r="F1079">
        <v>7000</v>
      </c>
      <c r="H1079">
        <v>1</v>
      </c>
      <c r="I1079">
        <v>3</v>
      </c>
      <c r="J1079">
        <v>0</v>
      </c>
      <c r="K1079">
        <v>0</v>
      </c>
      <c r="L1079">
        <v>0</v>
      </c>
      <c r="M1079" t="s">
        <v>26</v>
      </c>
      <c r="N1079">
        <v>0</v>
      </c>
      <c r="O1079" t="s">
        <v>26</v>
      </c>
      <c r="P1079" t="s">
        <v>26</v>
      </c>
      <c r="Q1079" t="s">
        <v>26</v>
      </c>
      <c r="R1079" t="s">
        <v>26</v>
      </c>
      <c r="S1079" t="s">
        <v>26</v>
      </c>
      <c r="T1079" t="s">
        <v>26</v>
      </c>
      <c r="U1079" t="s">
        <v>26</v>
      </c>
      <c r="V1079">
        <v>0</v>
      </c>
      <c r="W1079">
        <f>E1079/100</f>
        <v>0.01</v>
      </c>
      <c r="X1079">
        <f>F1079/1000000</f>
        <v>7.0000000000000001E-3</v>
      </c>
      <c r="Y1079">
        <f>IF(D1079="C",1,0)</f>
        <v>0</v>
      </c>
      <c r="Z1079">
        <f>IF(G1079="C",1,0)</f>
        <v>0</v>
      </c>
      <c r="AA1079">
        <f>IF(G1079="S",1,0)</f>
        <v>0</v>
      </c>
      <c r="AB1079">
        <f>IF(G1079="U",1,0)</f>
        <v>0</v>
      </c>
      <c r="AC1079" s="5">
        <f>IF(AND(ISNUMBER(H1079),NOT(ISNUMBER(P1079))),1,0)</f>
        <v>1</v>
      </c>
      <c r="AD1079" s="5">
        <f>IF(AND(ISNUMBER(H1079),ISNUMBER(P1079)),1,0)</f>
        <v>0</v>
      </c>
      <c r="AE1079" s="5">
        <f>W1079</f>
        <v>0.01</v>
      </c>
      <c r="AF1079" s="5">
        <f>X1079</f>
        <v>7.0000000000000001E-3</v>
      </c>
      <c r="AG1079" s="5">
        <f>Y1079</f>
        <v>0</v>
      </c>
      <c r="AH1079" s="5">
        <f>IF(OR(G1079="C",G1079="S",G1079="U"),1,0)</f>
        <v>0</v>
      </c>
      <c r="AI1079" s="5">
        <f>IF(ISNUMBER(H1079),1,0)</f>
        <v>1</v>
      </c>
      <c r="AJ1079" s="5">
        <f>IF(ISNUMBER(P1079),1,0)</f>
        <v>0</v>
      </c>
      <c r="AK1079" s="5">
        <f>IF(AI1079=1,IF(J1079&gt;0,1,0),"")</f>
        <v>0</v>
      </c>
      <c r="AL1079" s="5" t="str">
        <f>IF(AJ1079=1,IF(OR(Q1079&gt;0,R1079&gt;0),1,0),"")</f>
        <v/>
      </c>
    </row>
    <row r="1080" spans="1:38">
      <c r="A1080">
        <v>4077631</v>
      </c>
      <c r="B1080" t="s">
        <v>1150</v>
      </c>
      <c r="C1080" t="s">
        <v>317</v>
      </c>
      <c r="D1080" t="s">
        <v>33</v>
      </c>
      <c r="E1080">
        <v>1</v>
      </c>
      <c r="F1080">
        <v>150000</v>
      </c>
      <c r="H1080">
        <v>1</v>
      </c>
      <c r="I1080">
        <v>3</v>
      </c>
      <c r="J1080">
        <v>2</v>
      </c>
      <c r="K1080">
        <v>1</v>
      </c>
      <c r="L1080">
        <v>0.66669999999999996</v>
      </c>
      <c r="M1080">
        <v>0.66669999999999996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  <c r="S1080" t="s">
        <v>26</v>
      </c>
      <c r="T1080" t="s">
        <v>26</v>
      </c>
      <c r="U1080" t="s">
        <v>26</v>
      </c>
      <c r="V1080">
        <v>1</v>
      </c>
      <c r="W1080">
        <f>E1080/100</f>
        <v>0.01</v>
      </c>
      <c r="X1080">
        <f>F1080/1000000</f>
        <v>0.15</v>
      </c>
      <c r="Y1080">
        <f>IF(D1080="C",1,0)</f>
        <v>1</v>
      </c>
      <c r="Z1080">
        <f>IF(G1080="C",1,0)</f>
        <v>0</v>
      </c>
      <c r="AA1080">
        <f>IF(G1080="S",1,0)</f>
        <v>0</v>
      </c>
      <c r="AB1080">
        <f>IF(G1080="U",1,0)</f>
        <v>0</v>
      </c>
      <c r="AC1080" s="5">
        <f>IF(AND(ISNUMBER(H1080),NOT(ISNUMBER(P1080))),1,0)</f>
        <v>1</v>
      </c>
      <c r="AD1080" s="5">
        <f>IF(AND(ISNUMBER(H1080),ISNUMBER(P1080)),1,0)</f>
        <v>0</v>
      </c>
      <c r="AE1080" s="5">
        <f>W1080</f>
        <v>0.01</v>
      </c>
      <c r="AF1080" s="5">
        <f>X1080</f>
        <v>0.15</v>
      </c>
      <c r="AG1080" s="5">
        <f>Y1080</f>
        <v>1</v>
      </c>
      <c r="AH1080" s="5">
        <f>IF(OR(G1080="C",G1080="S",G1080="U"),1,0)</f>
        <v>0</v>
      </c>
      <c r="AI1080" s="5">
        <f>IF(ISNUMBER(H1080),1,0)</f>
        <v>1</v>
      </c>
      <c r="AJ1080" s="5">
        <f>IF(ISNUMBER(P1080),1,0)</f>
        <v>0</v>
      </c>
      <c r="AK1080" s="5">
        <f>IF(AI1080=1,IF(J1080&gt;0,1,0),"")</f>
        <v>1</v>
      </c>
      <c r="AL1080" s="5" t="str">
        <f>IF(AJ1080=1,IF(OR(Q1080&gt;0,R1080&gt;0),1,0),"")</f>
        <v/>
      </c>
    </row>
    <row r="1081" spans="1:38">
      <c r="A1081">
        <v>4083116</v>
      </c>
      <c r="B1081" t="s">
        <v>1151</v>
      </c>
      <c r="C1081" t="s">
        <v>302</v>
      </c>
      <c r="D1081" t="s">
        <v>24</v>
      </c>
      <c r="E1081">
        <v>129</v>
      </c>
      <c r="F1081">
        <v>2300000</v>
      </c>
      <c r="H1081">
        <v>1</v>
      </c>
      <c r="I1081">
        <v>0</v>
      </c>
      <c r="J1081">
        <v>0</v>
      </c>
      <c r="K1081">
        <v>0</v>
      </c>
      <c r="L1081" t="s">
        <v>26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  <c r="S1081" t="s">
        <v>26</v>
      </c>
      <c r="T1081" t="s">
        <v>26</v>
      </c>
      <c r="U1081" t="s">
        <v>26</v>
      </c>
      <c r="V1081">
        <v>0</v>
      </c>
      <c r="W1081">
        <f>E1081/100</f>
        <v>1.29</v>
      </c>
      <c r="X1081">
        <f>F1081/1000000</f>
        <v>2.2999999999999998</v>
      </c>
      <c r="Y1081">
        <f>IF(D1081="C",1,0)</f>
        <v>0</v>
      </c>
      <c r="Z1081">
        <f>IF(G1081="C",1,0)</f>
        <v>0</v>
      </c>
      <c r="AA1081">
        <f>IF(G1081="S",1,0)</f>
        <v>0</v>
      </c>
      <c r="AB1081">
        <f>IF(G1081="U",1,0)</f>
        <v>0</v>
      </c>
      <c r="AC1081" s="5">
        <f>IF(AND(ISNUMBER(H1081),NOT(ISNUMBER(P1081))),1,0)</f>
        <v>1</v>
      </c>
      <c r="AD1081" s="5">
        <f>IF(AND(ISNUMBER(H1081),ISNUMBER(P1081)),1,0)</f>
        <v>0</v>
      </c>
      <c r="AE1081" s="5">
        <f>W1081</f>
        <v>1.29</v>
      </c>
      <c r="AF1081" s="5">
        <f>X1081</f>
        <v>2.2999999999999998</v>
      </c>
      <c r="AG1081" s="5">
        <f>Y1081</f>
        <v>0</v>
      </c>
      <c r="AH1081" s="5">
        <f>IF(OR(G1081="C",G1081="S",G1081="U"),1,0)</f>
        <v>0</v>
      </c>
      <c r="AI1081" s="5">
        <f>IF(ISNUMBER(H1081),1,0)</f>
        <v>1</v>
      </c>
      <c r="AJ1081" s="5">
        <f>IF(ISNUMBER(P1081),1,0)</f>
        <v>0</v>
      </c>
      <c r="AK1081" s="5">
        <f>IF(AI1081=1,IF(J1081&gt;0,1,0),"")</f>
        <v>0</v>
      </c>
      <c r="AL1081" s="5" t="str">
        <f>IF(AJ1081=1,IF(OR(Q1081&gt;0,R1081&gt;0),1,0),"")</f>
        <v/>
      </c>
    </row>
    <row r="1082" spans="1:38">
      <c r="A1082">
        <v>4100460</v>
      </c>
      <c r="B1082" t="s">
        <v>1152</v>
      </c>
      <c r="C1082" t="s">
        <v>23</v>
      </c>
      <c r="D1082" t="s">
        <v>33</v>
      </c>
      <c r="E1082">
        <v>2</v>
      </c>
      <c r="F1082">
        <v>10000</v>
      </c>
      <c r="H1082">
        <v>1</v>
      </c>
      <c r="I1082">
        <v>4</v>
      </c>
      <c r="J1082">
        <v>0</v>
      </c>
      <c r="K1082">
        <v>0</v>
      </c>
      <c r="L1082">
        <v>0</v>
      </c>
      <c r="M1082">
        <v>0</v>
      </c>
      <c r="N1082">
        <v>0</v>
      </c>
      <c r="O1082" t="s">
        <v>26</v>
      </c>
      <c r="P1082" t="s">
        <v>26</v>
      </c>
      <c r="Q1082" t="s">
        <v>26</v>
      </c>
      <c r="R1082" t="s">
        <v>26</v>
      </c>
      <c r="S1082" t="s">
        <v>26</v>
      </c>
      <c r="T1082" t="s">
        <v>26</v>
      </c>
      <c r="U1082" t="s">
        <v>26</v>
      </c>
      <c r="V1082">
        <v>0</v>
      </c>
      <c r="W1082">
        <f>E1082/100</f>
        <v>0.02</v>
      </c>
      <c r="X1082">
        <f>F1082/1000000</f>
        <v>0.01</v>
      </c>
      <c r="Y1082">
        <f>IF(D1082="C",1,0)</f>
        <v>1</v>
      </c>
      <c r="Z1082">
        <f>IF(G1082="C",1,0)</f>
        <v>0</v>
      </c>
      <c r="AA1082">
        <f>IF(G1082="S",1,0)</f>
        <v>0</v>
      </c>
      <c r="AB1082">
        <f>IF(G1082="U",1,0)</f>
        <v>0</v>
      </c>
      <c r="AC1082" s="5">
        <f>IF(AND(ISNUMBER(H1082),NOT(ISNUMBER(P1082))),1,0)</f>
        <v>1</v>
      </c>
      <c r="AD1082" s="5">
        <f>IF(AND(ISNUMBER(H1082),ISNUMBER(P1082)),1,0)</f>
        <v>0</v>
      </c>
      <c r="AE1082" s="5">
        <f>W1082</f>
        <v>0.02</v>
      </c>
      <c r="AF1082" s="5">
        <f>X1082</f>
        <v>0.01</v>
      </c>
      <c r="AG1082" s="5">
        <f>Y1082</f>
        <v>1</v>
      </c>
      <c r="AH1082" s="5">
        <f>IF(OR(G1082="C",G1082="S",G1082="U"),1,0)</f>
        <v>0</v>
      </c>
      <c r="AI1082" s="5">
        <f>IF(ISNUMBER(H1082),1,0)</f>
        <v>1</v>
      </c>
      <c r="AJ1082" s="5">
        <f>IF(ISNUMBER(P1082),1,0)</f>
        <v>0</v>
      </c>
      <c r="AK1082" s="5">
        <f>IF(AI1082=1,IF(J1082&gt;0,1,0),"")</f>
        <v>0</v>
      </c>
      <c r="AL1082" s="5" t="str">
        <f>IF(AJ1082=1,IF(OR(Q1082&gt;0,R1082&gt;0),1,0),"")</f>
        <v/>
      </c>
    </row>
  </sheetData>
  <sortState xmlns:xlrd2="http://schemas.microsoft.com/office/spreadsheetml/2017/richdata2" ref="A2:AM1083">
    <sortCondition descending="1" ref="AJ2:AJ108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Regression</vt:lpstr>
      <vt:lpstr>Regression_2</vt:lpstr>
      <vt:lpstr>Regression_3</vt:lpstr>
      <vt:lpstr>Regression_4</vt:lpstr>
      <vt:lpstr>carrier_scorecard_export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JT McGahran</cp:lastModifiedBy>
  <dcterms:created xsi:type="dcterms:W3CDTF">2026-10-05T13:42:42Z</dcterms:created>
  <dcterms:modified xsi:type="dcterms:W3CDTF">2026-10-05T13:42:42Z</dcterms:modified>
</cp:coreProperties>
</file>